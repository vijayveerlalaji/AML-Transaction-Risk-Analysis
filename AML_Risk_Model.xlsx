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1.xml" ContentType="application/vnd.openxmlformats-officedocument.spreadsheetml.chart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ac317ce8717cea/Desktop/AML Project/"/>
    </mc:Choice>
  </mc:AlternateContent>
  <xr:revisionPtr revIDLastSave="0" documentId="8_{13688D6E-8495-4A48-BEEF-C4F67DB5B3B7}" xr6:coauthVersionLast="47" xr6:coauthVersionMax="47" xr10:uidLastSave="{00000000-0000-0000-0000-000000000000}"/>
  <bookViews>
    <workbookView xWindow="-108" yWindow="-108" windowWidth="23256" windowHeight="13896" firstSheet="3" activeTab="7" xr2:uid="{A0AFEDA9-1906-4EBB-9172-20FA7CD77AF2}"/>
  </bookViews>
  <sheets>
    <sheet name="Flagged_transactions" sheetId="8" r:id="rId1"/>
    <sheet name="Fraud_By_Type" sheetId="3" r:id="rId2"/>
    <sheet name="Hourly_Pattern" sheetId="4" r:id="rId3"/>
    <sheet name="Risk_Scoring" sheetId="1" r:id="rId4"/>
    <sheet name="Pivot" sheetId="10" r:id="rId5"/>
    <sheet name="Risk_Chart" sheetId="11" r:id="rId6"/>
    <sheet name="Reconciliation" sheetId="12" r:id="rId7"/>
    <sheet name="DASHBOARD" sheetId="13" r:id="rId8"/>
  </sheets>
  <definedNames>
    <definedName name="ExternalData_1" localSheetId="0" hidden="1">Flagged_transactions!$A$1:$O$1143</definedName>
    <definedName name="ExternalData_1" localSheetId="1" hidden="1">Fraud_By_Type!$A$1:$E$6</definedName>
    <definedName name="ExternalData_1" localSheetId="2" hidden="1">Hourly_Pattern!$A$1:$E$25</definedName>
  </definedName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3" l="1"/>
  <c r="C9" i="13"/>
  <c r="C10" i="13"/>
  <c r="C8" i="13"/>
  <c r="G4" i="13"/>
  <c r="Z3" i="12"/>
  <c r="Z2" i="12"/>
  <c r="Z1" i="12"/>
  <c r="V3" i="12"/>
  <c r="W3" i="12"/>
  <c r="X3" i="12"/>
  <c r="V4" i="12"/>
  <c r="W4" i="12" s="1"/>
  <c r="X4" i="12"/>
  <c r="V5" i="12"/>
  <c r="W5" i="12"/>
  <c r="X5" i="12"/>
  <c r="V6" i="12"/>
  <c r="W6" i="12"/>
  <c r="X6" i="12"/>
  <c r="V7" i="12"/>
  <c r="W7" i="12"/>
  <c r="X7" i="12"/>
  <c r="V8" i="12"/>
  <c r="W8" i="12" s="1"/>
  <c r="X8" i="12"/>
  <c r="V9" i="12"/>
  <c r="W9" i="12"/>
  <c r="X9" i="12"/>
  <c r="V10" i="12"/>
  <c r="W10" i="12"/>
  <c r="X10" i="12"/>
  <c r="V11" i="12"/>
  <c r="W11" i="12"/>
  <c r="X11" i="12"/>
  <c r="V12" i="12"/>
  <c r="W12" i="12" s="1"/>
  <c r="X12" i="12"/>
  <c r="V13" i="12"/>
  <c r="W13" i="12"/>
  <c r="X13" i="12"/>
  <c r="V14" i="12"/>
  <c r="W14" i="12"/>
  <c r="X14" i="12"/>
  <c r="V15" i="12"/>
  <c r="W15" i="12"/>
  <c r="X15" i="12"/>
  <c r="V16" i="12"/>
  <c r="W16" i="12" s="1"/>
  <c r="X16" i="12"/>
  <c r="V17" i="12"/>
  <c r="W17" i="12"/>
  <c r="X17" i="12"/>
  <c r="V18" i="12"/>
  <c r="W18" i="12"/>
  <c r="X18" i="12"/>
  <c r="V19" i="12"/>
  <c r="W19" i="12"/>
  <c r="X19" i="12"/>
  <c r="V20" i="12"/>
  <c r="W20" i="12" s="1"/>
  <c r="X20" i="12" s="1"/>
  <c r="V21" i="12"/>
  <c r="W21" i="12"/>
  <c r="X21" i="12"/>
  <c r="V22" i="12"/>
  <c r="W22" i="12"/>
  <c r="X22" i="12"/>
  <c r="V23" i="12"/>
  <c r="W23" i="12"/>
  <c r="X23" i="12"/>
  <c r="V24" i="12"/>
  <c r="W24" i="12" s="1"/>
  <c r="X24" i="12"/>
  <c r="V25" i="12"/>
  <c r="W25" i="12" s="1"/>
  <c r="X25" i="12" s="1"/>
  <c r="V26" i="12"/>
  <c r="W26" i="12"/>
  <c r="X26" i="12"/>
  <c r="V27" i="12"/>
  <c r="W27" i="12"/>
  <c r="X27" i="12"/>
  <c r="V28" i="12"/>
  <c r="W28" i="12" s="1"/>
  <c r="X28" i="12"/>
  <c r="V29" i="12"/>
  <c r="W29" i="12" s="1"/>
  <c r="X29" i="12" s="1"/>
  <c r="V30" i="12"/>
  <c r="W30" i="12"/>
  <c r="X30" i="12"/>
  <c r="V31" i="12"/>
  <c r="W31" i="12"/>
  <c r="X31" i="12"/>
  <c r="V32" i="12"/>
  <c r="W32" i="12" s="1"/>
  <c r="X32" i="12"/>
  <c r="V33" i="12"/>
  <c r="W33" i="12"/>
  <c r="X33" i="12" s="1"/>
  <c r="V34" i="12"/>
  <c r="W34" i="12"/>
  <c r="X34" i="12"/>
  <c r="V35" i="12"/>
  <c r="W35" i="12"/>
  <c r="X35" i="12"/>
  <c r="V36" i="12"/>
  <c r="W36" i="12" s="1"/>
  <c r="X36" i="12"/>
  <c r="V37" i="12"/>
  <c r="W37" i="12"/>
  <c r="X37" i="12"/>
  <c r="V38" i="12"/>
  <c r="W38" i="12" s="1"/>
  <c r="X38" i="12" s="1"/>
  <c r="V39" i="12"/>
  <c r="W39" i="12"/>
  <c r="X39" i="12"/>
  <c r="V40" i="12"/>
  <c r="W40" i="12" s="1"/>
  <c r="X40" i="12"/>
  <c r="V41" i="12"/>
  <c r="W41" i="12"/>
  <c r="X41" i="12"/>
  <c r="V42" i="12"/>
  <c r="W42" i="12" s="1"/>
  <c r="X42" i="12" s="1"/>
  <c r="V43" i="12"/>
  <c r="W43" i="12"/>
  <c r="X43" i="12"/>
  <c r="V44" i="12"/>
  <c r="W44" i="12" s="1"/>
  <c r="X44" i="12"/>
  <c r="V45" i="12"/>
  <c r="W45" i="12"/>
  <c r="X45" i="12"/>
  <c r="V46" i="12"/>
  <c r="W46" i="12"/>
  <c r="X46" i="12" s="1"/>
  <c r="V47" i="12"/>
  <c r="W47" i="12"/>
  <c r="X47" i="12"/>
  <c r="V48" i="12"/>
  <c r="W48" i="12" s="1"/>
  <c r="X48" i="12"/>
  <c r="V49" i="12"/>
  <c r="W49" i="12"/>
  <c r="X49" i="12"/>
  <c r="V50" i="12"/>
  <c r="W50" i="12"/>
  <c r="X50" i="12"/>
  <c r="V51" i="12"/>
  <c r="W51" i="12"/>
  <c r="X51" i="12"/>
  <c r="V52" i="12"/>
  <c r="W52" i="12" s="1"/>
  <c r="X52" i="12"/>
  <c r="V53" i="12"/>
  <c r="W53" i="12"/>
  <c r="X53" i="12"/>
  <c r="V54" i="12"/>
  <c r="W54" i="12"/>
  <c r="X54" i="12"/>
  <c r="V55" i="12"/>
  <c r="W55" i="12"/>
  <c r="X55" i="12"/>
  <c r="V56" i="12"/>
  <c r="W56" i="12" s="1"/>
  <c r="X56" i="12"/>
  <c r="V57" i="12"/>
  <c r="W57" i="12"/>
  <c r="X57" i="12"/>
  <c r="V58" i="12"/>
  <c r="W58" i="12"/>
  <c r="X58" i="12"/>
  <c r="V59" i="12"/>
  <c r="W59" i="12"/>
  <c r="X59" i="12"/>
  <c r="V60" i="12"/>
  <c r="W60" i="12" s="1"/>
  <c r="X60" i="12"/>
  <c r="V61" i="12"/>
  <c r="W61" i="12"/>
  <c r="X61" i="12"/>
  <c r="V62" i="12"/>
  <c r="W62" i="12"/>
  <c r="X62" i="12"/>
  <c r="V63" i="12"/>
  <c r="W63" i="12"/>
  <c r="X63" i="12"/>
  <c r="V64" i="12"/>
  <c r="W64" i="12" s="1"/>
  <c r="X64" i="12"/>
  <c r="V65" i="12"/>
  <c r="W65" i="12"/>
  <c r="X65" i="12"/>
  <c r="V66" i="12"/>
  <c r="W66" i="12"/>
  <c r="X66" i="12"/>
  <c r="V67" i="12"/>
  <c r="W67" i="12"/>
  <c r="X67" i="12"/>
  <c r="V68" i="12"/>
  <c r="W68" i="12" s="1"/>
  <c r="X68" i="12" s="1"/>
  <c r="V69" i="12"/>
  <c r="W69" i="12"/>
  <c r="X69" i="12"/>
  <c r="V70" i="12"/>
  <c r="W70" i="12"/>
  <c r="X70" i="12"/>
  <c r="V71" i="12"/>
  <c r="W71" i="12"/>
  <c r="X71" i="12"/>
  <c r="V72" i="12"/>
  <c r="W72" i="12" s="1"/>
  <c r="X72" i="12"/>
  <c r="V73" i="12"/>
  <c r="W73" i="12"/>
  <c r="X73" i="12"/>
  <c r="V74" i="12"/>
  <c r="W74" i="12"/>
  <c r="X74" i="12"/>
  <c r="V75" i="12"/>
  <c r="W75" i="12"/>
  <c r="X75" i="12"/>
  <c r="V76" i="12"/>
  <c r="W76" i="12" s="1"/>
  <c r="X76" i="12"/>
  <c r="V77" i="12"/>
  <c r="W77" i="12" s="1"/>
  <c r="X77" i="12" s="1"/>
  <c r="V78" i="12"/>
  <c r="W78" i="12"/>
  <c r="X78" i="12"/>
  <c r="V79" i="12"/>
  <c r="W79" i="12"/>
  <c r="X79" i="12"/>
  <c r="V80" i="12"/>
  <c r="W80" i="12" s="1"/>
  <c r="X80" i="12"/>
  <c r="V81" i="12"/>
  <c r="W81" i="12"/>
  <c r="X81" i="12" s="1"/>
  <c r="V82" i="12"/>
  <c r="W82" i="12"/>
  <c r="X82" i="12"/>
  <c r="V83" i="12"/>
  <c r="W83" i="12"/>
  <c r="X83" i="12"/>
  <c r="V84" i="12"/>
  <c r="W84" i="12" s="1"/>
  <c r="X84" i="12"/>
  <c r="V85" i="12"/>
  <c r="W85" i="12"/>
  <c r="X85" i="12"/>
  <c r="V86" i="12"/>
  <c r="W86" i="12" s="1"/>
  <c r="X86" i="12" s="1"/>
  <c r="V87" i="12"/>
  <c r="W87" i="12"/>
  <c r="X87" i="12"/>
  <c r="V88" i="12"/>
  <c r="W88" i="12" s="1"/>
  <c r="X88" i="12"/>
  <c r="V89" i="12"/>
  <c r="W89" i="12"/>
  <c r="X89" i="12"/>
  <c r="V90" i="12"/>
  <c r="W90" i="12" s="1"/>
  <c r="X90" i="12" s="1"/>
  <c r="V91" i="12"/>
  <c r="W91" i="12"/>
  <c r="X91" i="12"/>
  <c r="V92" i="12"/>
  <c r="W92" i="12" s="1"/>
  <c r="X92" i="12"/>
  <c r="V93" i="12"/>
  <c r="W93" i="12"/>
  <c r="X93" i="12"/>
  <c r="V94" i="12"/>
  <c r="W94" i="12"/>
  <c r="X94" i="12" s="1"/>
  <c r="V95" i="12"/>
  <c r="W95" i="12"/>
  <c r="X95" i="12"/>
  <c r="V96" i="12"/>
  <c r="W96" i="12" s="1"/>
  <c r="X96" i="12"/>
  <c r="V97" i="12"/>
  <c r="W97" i="12"/>
  <c r="X97" i="12"/>
  <c r="V98" i="12"/>
  <c r="W98" i="12"/>
  <c r="X98" i="12"/>
  <c r="V99" i="12"/>
  <c r="W99" i="12"/>
  <c r="X99" i="12"/>
  <c r="V100" i="12"/>
  <c r="W100" i="12" s="1"/>
  <c r="X100" i="12"/>
  <c r="V101" i="12"/>
  <c r="W101" i="12"/>
  <c r="X101" i="12"/>
  <c r="V102" i="12"/>
  <c r="W102" i="12"/>
  <c r="X102" i="12"/>
  <c r="V103" i="12"/>
  <c r="W103" i="12"/>
  <c r="X103" i="12"/>
  <c r="V104" i="12"/>
  <c r="W104" i="12" s="1"/>
  <c r="X104" i="12"/>
  <c r="V105" i="12"/>
  <c r="W105" i="12"/>
  <c r="X105" i="12"/>
  <c r="V106" i="12"/>
  <c r="W106" i="12"/>
  <c r="X106" i="12"/>
  <c r="V107" i="12"/>
  <c r="W107" i="12"/>
  <c r="X107" i="12"/>
  <c r="V108" i="12"/>
  <c r="W108" i="12" s="1"/>
  <c r="X108" i="12"/>
  <c r="V109" i="12"/>
  <c r="W109" i="12"/>
  <c r="X109" i="12"/>
  <c r="V110" i="12"/>
  <c r="W110" i="12"/>
  <c r="X110" i="12"/>
  <c r="V111" i="12"/>
  <c r="W111" i="12"/>
  <c r="X111" i="12"/>
  <c r="V112" i="12"/>
  <c r="W112" i="12" s="1"/>
  <c r="X112" i="12" s="1"/>
  <c r="V113" i="12"/>
  <c r="W113" i="12"/>
  <c r="X113" i="12"/>
  <c r="V114" i="12"/>
  <c r="W114" i="12"/>
  <c r="X114" i="12"/>
  <c r="V115" i="12"/>
  <c r="W115" i="12"/>
  <c r="X115" i="12"/>
  <c r="V116" i="12"/>
  <c r="W116" i="12" s="1"/>
  <c r="X116" i="12" s="1"/>
  <c r="V117" i="12"/>
  <c r="W117" i="12"/>
  <c r="X117" i="12"/>
  <c r="V118" i="12"/>
  <c r="W118" i="12"/>
  <c r="X118" i="12"/>
  <c r="V119" i="12"/>
  <c r="W119" i="12"/>
  <c r="X119" i="12"/>
  <c r="V120" i="12"/>
  <c r="W120" i="12" s="1"/>
  <c r="X120" i="12"/>
  <c r="V121" i="12"/>
  <c r="W121" i="12" s="1"/>
  <c r="X121" i="12" s="1"/>
  <c r="V122" i="12"/>
  <c r="W122" i="12"/>
  <c r="X122" i="12"/>
  <c r="V123" i="12"/>
  <c r="W123" i="12"/>
  <c r="X123" i="12"/>
  <c r="V124" i="12"/>
  <c r="W124" i="12" s="1"/>
  <c r="X124" i="12"/>
  <c r="V125" i="12"/>
  <c r="W125" i="12" s="1"/>
  <c r="X125" i="12" s="1"/>
  <c r="V126" i="12"/>
  <c r="W126" i="12"/>
  <c r="X126" i="12"/>
  <c r="V127" i="12"/>
  <c r="W127" i="12"/>
  <c r="X127" i="12"/>
  <c r="V128" i="12"/>
  <c r="W128" i="12" s="1"/>
  <c r="X128" i="12"/>
  <c r="V129" i="12"/>
  <c r="W129" i="12"/>
  <c r="X129" i="12" s="1"/>
  <c r="V130" i="12"/>
  <c r="W130" i="12"/>
  <c r="X130" i="12"/>
  <c r="V131" i="12"/>
  <c r="W131" i="12"/>
  <c r="X131" i="12"/>
  <c r="V132" i="12"/>
  <c r="W132" i="12" s="1"/>
  <c r="X132" i="12"/>
  <c r="V133" i="12"/>
  <c r="W133" i="12"/>
  <c r="X133" i="12"/>
  <c r="V134" i="12"/>
  <c r="W134" i="12" s="1"/>
  <c r="X134" i="12" s="1"/>
  <c r="V135" i="12"/>
  <c r="W135" i="12"/>
  <c r="X135" i="12"/>
  <c r="V136" i="12"/>
  <c r="W136" i="12" s="1"/>
  <c r="X136" i="12"/>
  <c r="V137" i="12"/>
  <c r="W137" i="12"/>
  <c r="X137" i="12"/>
  <c r="V138" i="12"/>
  <c r="W138" i="12" s="1"/>
  <c r="X138" i="12" s="1"/>
  <c r="V139" i="12"/>
  <c r="W139" i="12"/>
  <c r="X139" i="12"/>
  <c r="V140" i="12"/>
  <c r="W140" i="12" s="1"/>
  <c r="X140" i="12"/>
  <c r="V141" i="12"/>
  <c r="W141" i="12"/>
  <c r="X141" i="12"/>
  <c r="V142" i="12"/>
  <c r="W142" i="12"/>
  <c r="X142" i="12" s="1"/>
  <c r="V143" i="12"/>
  <c r="W143" i="12"/>
  <c r="X143" i="12"/>
  <c r="V144" i="12"/>
  <c r="W144" i="12" s="1"/>
  <c r="X144" i="12"/>
  <c r="V145" i="12"/>
  <c r="W145" i="12"/>
  <c r="X145" i="12"/>
  <c r="V146" i="12"/>
  <c r="W146" i="12"/>
  <c r="X146" i="12"/>
  <c r="V147" i="12"/>
  <c r="W147" i="12"/>
  <c r="X147" i="12"/>
  <c r="V148" i="12"/>
  <c r="W148" i="12" s="1"/>
  <c r="X148" i="12"/>
  <c r="V149" i="12"/>
  <c r="W149" i="12"/>
  <c r="X149" i="12"/>
  <c r="V150" i="12"/>
  <c r="W150" i="12"/>
  <c r="X150" i="12"/>
  <c r="V151" i="12"/>
  <c r="W151" i="12"/>
  <c r="X151" i="12"/>
  <c r="V152" i="12"/>
  <c r="W152" i="12" s="1"/>
  <c r="X152" i="12"/>
  <c r="V153" i="12"/>
  <c r="W153" i="12"/>
  <c r="X153" i="12"/>
  <c r="V154" i="12"/>
  <c r="W154" i="12"/>
  <c r="X154" i="12"/>
  <c r="V155" i="12"/>
  <c r="W155" i="12"/>
  <c r="X155" i="12"/>
  <c r="V156" i="12"/>
  <c r="W156" i="12" s="1"/>
  <c r="X156" i="12"/>
  <c r="V157" i="12"/>
  <c r="W157" i="12"/>
  <c r="X157" i="12"/>
  <c r="V158" i="12"/>
  <c r="W158" i="12"/>
  <c r="X158" i="12"/>
  <c r="V159" i="12"/>
  <c r="W159" i="12"/>
  <c r="X159" i="12"/>
  <c r="V160" i="12"/>
  <c r="W160" i="12" s="1"/>
  <c r="X160" i="12"/>
  <c r="V161" i="12"/>
  <c r="W161" i="12"/>
  <c r="X161" i="12"/>
  <c r="V162" i="12"/>
  <c r="W162" i="12"/>
  <c r="X162" i="12"/>
  <c r="V163" i="12"/>
  <c r="W163" i="12"/>
  <c r="X163" i="12"/>
  <c r="V164" i="12"/>
  <c r="W164" i="12" s="1"/>
  <c r="X164" i="12" s="1"/>
  <c r="V165" i="12"/>
  <c r="W165" i="12"/>
  <c r="X165" i="12"/>
  <c r="V166" i="12"/>
  <c r="W166" i="12"/>
  <c r="X166" i="12"/>
  <c r="V167" i="12"/>
  <c r="W167" i="12"/>
  <c r="X167" i="12"/>
  <c r="V168" i="12"/>
  <c r="W168" i="12" s="1"/>
  <c r="X168" i="12"/>
  <c r="V169" i="12"/>
  <c r="W169" i="12" s="1"/>
  <c r="X169" i="12" s="1"/>
  <c r="V170" i="12"/>
  <c r="W170" i="12"/>
  <c r="X170" i="12"/>
  <c r="V171" i="12"/>
  <c r="W171" i="12"/>
  <c r="X171" i="12"/>
  <c r="V172" i="12"/>
  <c r="W172" i="12" s="1"/>
  <c r="X172" i="12"/>
  <c r="V173" i="12"/>
  <c r="W173" i="12" s="1"/>
  <c r="X173" i="12" s="1"/>
  <c r="V174" i="12"/>
  <c r="W174" i="12"/>
  <c r="X174" i="12"/>
  <c r="V175" i="12"/>
  <c r="W175" i="12"/>
  <c r="X175" i="12"/>
  <c r="V176" i="12"/>
  <c r="W176" i="12" s="1"/>
  <c r="X176" i="12"/>
  <c r="V177" i="12"/>
  <c r="W177" i="12"/>
  <c r="X177" i="12" s="1"/>
  <c r="V178" i="12"/>
  <c r="W178" i="12"/>
  <c r="X178" i="12"/>
  <c r="V179" i="12"/>
  <c r="W179" i="12"/>
  <c r="X179" i="12"/>
  <c r="V180" i="12"/>
  <c r="W180" i="12" s="1"/>
  <c r="X180" i="12"/>
  <c r="V181" i="12"/>
  <c r="W181" i="12"/>
  <c r="X181" i="12"/>
  <c r="V182" i="12"/>
  <c r="W182" i="12" s="1"/>
  <c r="X182" i="12" s="1"/>
  <c r="V183" i="12"/>
  <c r="W183" i="12"/>
  <c r="X183" i="12"/>
  <c r="V184" i="12"/>
  <c r="W184" i="12" s="1"/>
  <c r="X184" i="12"/>
  <c r="V185" i="12"/>
  <c r="W185" i="12"/>
  <c r="X185" i="12"/>
  <c r="V186" i="12"/>
  <c r="W186" i="12" s="1"/>
  <c r="X186" i="12" s="1"/>
  <c r="V187" i="12"/>
  <c r="W187" i="12"/>
  <c r="X187" i="12"/>
  <c r="V188" i="12"/>
  <c r="W188" i="12" s="1"/>
  <c r="X188" i="12"/>
  <c r="V189" i="12"/>
  <c r="W189" i="12"/>
  <c r="X189" i="12"/>
  <c r="V190" i="12"/>
  <c r="W190" i="12"/>
  <c r="X190" i="12" s="1"/>
  <c r="V191" i="12"/>
  <c r="W191" i="12"/>
  <c r="X191" i="12"/>
  <c r="V192" i="12"/>
  <c r="W192" i="12" s="1"/>
  <c r="X192" i="12"/>
  <c r="V193" i="12"/>
  <c r="W193" i="12"/>
  <c r="X193" i="12"/>
  <c r="V194" i="12"/>
  <c r="W194" i="12"/>
  <c r="X194" i="12"/>
  <c r="V195" i="12"/>
  <c r="W195" i="12"/>
  <c r="X195" i="12"/>
  <c r="V196" i="12"/>
  <c r="W196" i="12" s="1"/>
  <c r="X196" i="12"/>
  <c r="V197" i="12"/>
  <c r="W197" i="12"/>
  <c r="X197" i="12"/>
  <c r="V198" i="12"/>
  <c r="W198" i="12"/>
  <c r="X198" i="12"/>
  <c r="V199" i="12"/>
  <c r="W199" i="12"/>
  <c r="X199" i="12"/>
  <c r="V200" i="12"/>
  <c r="W200" i="12" s="1"/>
  <c r="X200" i="12"/>
  <c r="V201" i="12"/>
  <c r="W201" i="12"/>
  <c r="X201" i="12"/>
  <c r="V202" i="12"/>
  <c r="W202" i="12"/>
  <c r="X202" i="12"/>
  <c r="V203" i="12"/>
  <c r="W203" i="12"/>
  <c r="X203" i="12"/>
  <c r="V204" i="12"/>
  <c r="W204" i="12" s="1"/>
  <c r="X204" i="12"/>
  <c r="V205" i="12"/>
  <c r="W205" i="12"/>
  <c r="X205" i="12"/>
  <c r="V206" i="12"/>
  <c r="W206" i="12"/>
  <c r="X206" i="12"/>
  <c r="V207" i="12"/>
  <c r="W207" i="12"/>
  <c r="X207" i="12"/>
  <c r="V208" i="12"/>
  <c r="W208" i="12" s="1"/>
  <c r="X208" i="12"/>
  <c r="V209" i="12"/>
  <c r="W209" i="12"/>
  <c r="X209" i="12"/>
  <c r="V210" i="12"/>
  <c r="W210" i="12"/>
  <c r="X210" i="12"/>
  <c r="V211" i="12"/>
  <c r="W211" i="12"/>
  <c r="X211" i="12"/>
  <c r="V212" i="12"/>
  <c r="W212" i="12" s="1"/>
  <c r="X212" i="12" s="1"/>
  <c r="V213" i="12"/>
  <c r="W213" i="12"/>
  <c r="X213" i="12"/>
  <c r="V214" i="12"/>
  <c r="W214" i="12"/>
  <c r="X214" i="12"/>
  <c r="V215" i="12"/>
  <c r="W215" i="12"/>
  <c r="X215" i="12"/>
  <c r="V216" i="12"/>
  <c r="W216" i="12" s="1"/>
  <c r="X216" i="12"/>
  <c r="V217" i="12"/>
  <c r="W217" i="12"/>
  <c r="X217" i="12"/>
  <c r="V218" i="12"/>
  <c r="W218" i="12"/>
  <c r="X218" i="12"/>
  <c r="V219" i="12"/>
  <c r="W219" i="12"/>
  <c r="X219" i="12"/>
  <c r="V220" i="12"/>
  <c r="W220" i="12" s="1"/>
  <c r="X220" i="12"/>
  <c r="V221" i="12"/>
  <c r="W221" i="12" s="1"/>
  <c r="X221" i="12" s="1"/>
  <c r="V222" i="12"/>
  <c r="W222" i="12"/>
  <c r="X222" i="12"/>
  <c r="V223" i="12"/>
  <c r="W223" i="12"/>
  <c r="X223" i="12"/>
  <c r="V224" i="12"/>
  <c r="W224" i="12" s="1"/>
  <c r="X224" i="12"/>
  <c r="V225" i="12"/>
  <c r="W225" i="12"/>
  <c r="X225" i="12" s="1"/>
  <c r="V226" i="12"/>
  <c r="W226" i="12"/>
  <c r="X226" i="12"/>
  <c r="V227" i="12"/>
  <c r="W227" i="12"/>
  <c r="X227" i="12"/>
  <c r="V228" i="12"/>
  <c r="W228" i="12" s="1"/>
  <c r="X228" i="12"/>
  <c r="V229" i="12"/>
  <c r="W229" i="12"/>
  <c r="X229" i="12"/>
  <c r="V230" i="12"/>
  <c r="W230" i="12"/>
  <c r="X230" i="12"/>
  <c r="V231" i="12"/>
  <c r="W231" i="12"/>
  <c r="X231" i="12"/>
  <c r="V232" i="12"/>
  <c r="W232" i="12" s="1"/>
  <c r="X232" i="12"/>
  <c r="V233" i="12"/>
  <c r="W233" i="12"/>
  <c r="X233" i="12"/>
  <c r="V234" i="12"/>
  <c r="W234" i="12" s="1"/>
  <c r="X234" i="12" s="1"/>
  <c r="V235" i="12"/>
  <c r="W235" i="12"/>
  <c r="X235" i="12"/>
  <c r="V236" i="12"/>
  <c r="W236" i="12" s="1"/>
  <c r="X236" i="12"/>
  <c r="V237" i="12"/>
  <c r="W237" i="12"/>
  <c r="X237" i="12"/>
  <c r="V238" i="12"/>
  <c r="W238" i="12"/>
  <c r="X238" i="12" s="1"/>
  <c r="V239" i="12"/>
  <c r="W239" i="12"/>
  <c r="X239" i="12"/>
  <c r="V240" i="12"/>
  <c r="W240" i="12" s="1"/>
  <c r="X240" i="12"/>
  <c r="V241" i="12"/>
  <c r="W241" i="12"/>
  <c r="X241" i="12"/>
  <c r="V242" i="12"/>
  <c r="W242" i="12"/>
  <c r="X242" i="12"/>
  <c r="V243" i="12"/>
  <c r="W243" i="12"/>
  <c r="X243" i="12"/>
  <c r="V244" i="12"/>
  <c r="W244" i="12" s="1"/>
  <c r="X244" i="12"/>
  <c r="V245" i="12"/>
  <c r="W245" i="12"/>
  <c r="X245" i="12"/>
  <c r="V246" i="12"/>
  <c r="W246" i="12"/>
  <c r="X246" i="12"/>
  <c r="V247" i="12"/>
  <c r="W247" i="12"/>
  <c r="X247" i="12"/>
  <c r="V248" i="12"/>
  <c r="W248" i="12" s="1"/>
  <c r="X248" i="12"/>
  <c r="V249" i="12"/>
  <c r="W249" i="12"/>
  <c r="X249" i="12"/>
  <c r="V250" i="12"/>
  <c r="W250" i="12"/>
  <c r="X250" i="12"/>
  <c r="V251" i="12"/>
  <c r="W251" i="12"/>
  <c r="X251" i="12"/>
  <c r="V252" i="12"/>
  <c r="W252" i="12" s="1"/>
  <c r="X252" i="12"/>
  <c r="V253" i="12"/>
  <c r="W253" i="12"/>
  <c r="X253" i="12"/>
  <c r="V254" i="12"/>
  <c r="W254" i="12"/>
  <c r="X254" i="12"/>
  <c r="V255" i="12"/>
  <c r="W255" i="12"/>
  <c r="X255" i="12"/>
  <c r="V256" i="12"/>
  <c r="W256" i="12" s="1"/>
  <c r="X256" i="12"/>
  <c r="V257" i="12"/>
  <c r="W257" i="12"/>
  <c r="X257" i="12"/>
  <c r="V258" i="12"/>
  <c r="W258" i="12"/>
  <c r="X258" i="12"/>
  <c r="V259" i="12"/>
  <c r="W259" i="12"/>
  <c r="X259" i="12"/>
  <c r="V260" i="12"/>
  <c r="W260" i="12" s="1"/>
  <c r="X260" i="12" s="1"/>
  <c r="V261" i="12"/>
  <c r="W261" i="12"/>
  <c r="X261" i="12"/>
  <c r="V262" i="12"/>
  <c r="W262" i="12"/>
  <c r="X262" i="12"/>
  <c r="V263" i="12"/>
  <c r="W263" i="12"/>
  <c r="X263" i="12"/>
  <c r="V264" i="12"/>
  <c r="W264" i="12" s="1"/>
  <c r="X264" i="12"/>
  <c r="V265" i="12"/>
  <c r="W265" i="12" s="1"/>
  <c r="X265" i="12" s="1"/>
  <c r="V266" i="12"/>
  <c r="W266" i="12"/>
  <c r="X266" i="12"/>
  <c r="V267" i="12"/>
  <c r="W267" i="12"/>
  <c r="X267" i="12"/>
  <c r="V268" i="12"/>
  <c r="W268" i="12" s="1"/>
  <c r="X268" i="12"/>
  <c r="V269" i="12"/>
  <c r="W269" i="12" s="1"/>
  <c r="X269" i="12" s="1"/>
  <c r="V270" i="12"/>
  <c r="W270" i="12"/>
  <c r="X270" i="12"/>
  <c r="V271" i="12"/>
  <c r="W271" i="12"/>
  <c r="X271" i="12"/>
  <c r="V272" i="12"/>
  <c r="W272" i="12" s="1"/>
  <c r="X272" i="12"/>
  <c r="V273" i="12"/>
  <c r="W273" i="12"/>
  <c r="X273" i="12" s="1"/>
  <c r="V274" i="12"/>
  <c r="W274" i="12"/>
  <c r="X274" i="12"/>
  <c r="V275" i="12"/>
  <c r="W275" i="12"/>
  <c r="X275" i="12"/>
  <c r="V276" i="12"/>
  <c r="W276" i="12" s="1"/>
  <c r="X276" i="12"/>
  <c r="V277" i="12"/>
  <c r="W277" i="12"/>
  <c r="X277" i="12"/>
  <c r="V278" i="12"/>
  <c r="W278" i="12" s="1"/>
  <c r="X278" i="12" s="1"/>
  <c r="V279" i="12"/>
  <c r="W279" i="12"/>
  <c r="X279" i="12"/>
  <c r="V280" i="12"/>
  <c r="W280" i="12" s="1"/>
  <c r="X280" i="12"/>
  <c r="V281" i="12"/>
  <c r="W281" i="12"/>
  <c r="X281" i="12"/>
  <c r="V282" i="12"/>
  <c r="W282" i="12" s="1"/>
  <c r="X282" i="12" s="1"/>
  <c r="V283" i="12"/>
  <c r="W283" i="12"/>
  <c r="X283" i="12"/>
  <c r="V284" i="12"/>
  <c r="W284" i="12" s="1"/>
  <c r="X284" i="12"/>
  <c r="V285" i="12"/>
  <c r="W285" i="12"/>
  <c r="X285" i="12"/>
  <c r="V286" i="12"/>
  <c r="W286" i="12"/>
  <c r="X286" i="12" s="1"/>
  <c r="V287" i="12"/>
  <c r="W287" i="12"/>
  <c r="X287" i="12"/>
  <c r="V288" i="12"/>
  <c r="W288" i="12" s="1"/>
  <c r="X288" i="12"/>
  <c r="V289" i="12"/>
  <c r="W289" i="12"/>
  <c r="X289" i="12"/>
  <c r="V290" i="12"/>
  <c r="W290" i="12"/>
  <c r="X290" i="12"/>
  <c r="V291" i="12"/>
  <c r="W291" i="12"/>
  <c r="X291" i="12"/>
  <c r="V292" i="12"/>
  <c r="W292" i="12" s="1"/>
  <c r="X292" i="12"/>
  <c r="V293" i="12"/>
  <c r="W293" i="12"/>
  <c r="X293" i="12"/>
  <c r="V294" i="12"/>
  <c r="W294" i="12"/>
  <c r="X294" i="12"/>
  <c r="V295" i="12"/>
  <c r="W295" i="12"/>
  <c r="X295" i="12"/>
  <c r="V296" i="12"/>
  <c r="W296" i="12" s="1"/>
  <c r="X296" i="12"/>
  <c r="V297" i="12"/>
  <c r="W297" i="12"/>
  <c r="X297" i="12"/>
  <c r="V298" i="12"/>
  <c r="W298" i="12"/>
  <c r="X298" i="12"/>
  <c r="V299" i="12"/>
  <c r="W299" i="12"/>
  <c r="X299" i="12"/>
  <c r="V300" i="12"/>
  <c r="W300" i="12" s="1"/>
  <c r="X300" i="12"/>
  <c r="V301" i="12"/>
  <c r="W301" i="12"/>
  <c r="X301" i="12"/>
  <c r="V302" i="12"/>
  <c r="W302" i="12"/>
  <c r="X302" i="12"/>
  <c r="V303" i="12"/>
  <c r="W303" i="12"/>
  <c r="X303" i="12"/>
  <c r="V304" i="12"/>
  <c r="W304" i="12" s="1"/>
  <c r="X304" i="12" s="1"/>
  <c r="V305" i="12"/>
  <c r="W305" i="12"/>
  <c r="X305" i="12"/>
  <c r="V306" i="12"/>
  <c r="W306" i="12"/>
  <c r="X306" i="12"/>
  <c r="V307" i="12"/>
  <c r="W307" i="12"/>
  <c r="X307" i="12"/>
  <c r="V308" i="12"/>
  <c r="W308" i="12" s="1"/>
  <c r="X308" i="12" s="1"/>
  <c r="V309" i="12"/>
  <c r="W309" i="12"/>
  <c r="X309" i="12"/>
  <c r="V310" i="12"/>
  <c r="W310" i="12"/>
  <c r="X310" i="12"/>
  <c r="V311" i="12"/>
  <c r="W311" i="12"/>
  <c r="X311" i="12"/>
  <c r="V312" i="12"/>
  <c r="W312" i="12" s="1"/>
  <c r="X312" i="12"/>
  <c r="V313" i="12"/>
  <c r="W313" i="12" s="1"/>
  <c r="X313" i="12" s="1"/>
  <c r="V314" i="12"/>
  <c r="W314" i="12"/>
  <c r="X314" i="12"/>
  <c r="V315" i="12"/>
  <c r="W315" i="12"/>
  <c r="X315" i="12"/>
  <c r="V316" i="12"/>
  <c r="W316" i="12" s="1"/>
  <c r="X316" i="12"/>
  <c r="V317" i="12"/>
  <c r="W317" i="12" s="1"/>
  <c r="X317" i="12" s="1"/>
  <c r="V318" i="12"/>
  <c r="W318" i="12"/>
  <c r="X318" i="12"/>
  <c r="V319" i="12"/>
  <c r="W319" i="12"/>
  <c r="X319" i="12"/>
  <c r="V320" i="12"/>
  <c r="W320" i="12" s="1"/>
  <c r="X320" i="12"/>
  <c r="V321" i="12"/>
  <c r="W321" i="12"/>
  <c r="X321" i="12" s="1"/>
  <c r="V322" i="12"/>
  <c r="W322" i="12"/>
  <c r="X322" i="12"/>
  <c r="V323" i="12"/>
  <c r="W323" i="12"/>
  <c r="X323" i="12"/>
  <c r="V324" i="12"/>
  <c r="W324" i="12" s="1"/>
  <c r="X324" i="12"/>
  <c r="V325" i="12"/>
  <c r="W325" i="12"/>
  <c r="X325" i="12"/>
  <c r="V326" i="12"/>
  <c r="W326" i="12" s="1"/>
  <c r="X326" i="12" s="1"/>
  <c r="V327" i="12"/>
  <c r="W327" i="12"/>
  <c r="X327" i="12"/>
  <c r="V328" i="12"/>
  <c r="W328" i="12" s="1"/>
  <c r="X328" i="12"/>
  <c r="V329" i="12"/>
  <c r="W329" i="12"/>
  <c r="X329" i="12"/>
  <c r="V330" i="12"/>
  <c r="W330" i="12" s="1"/>
  <c r="X330" i="12" s="1"/>
  <c r="V331" i="12"/>
  <c r="W331" i="12"/>
  <c r="X331" i="12"/>
  <c r="V332" i="12"/>
  <c r="W332" i="12" s="1"/>
  <c r="X332" i="12"/>
  <c r="V333" i="12"/>
  <c r="W333" i="12"/>
  <c r="X333" i="12"/>
  <c r="V334" i="12"/>
  <c r="W334" i="12"/>
  <c r="X334" i="12" s="1"/>
  <c r="V335" i="12"/>
  <c r="W335" i="12"/>
  <c r="X335" i="12"/>
  <c r="V336" i="12"/>
  <c r="W336" i="12" s="1"/>
  <c r="X336" i="12"/>
  <c r="V337" i="12"/>
  <c r="W337" i="12"/>
  <c r="X337" i="12"/>
  <c r="V338" i="12"/>
  <c r="W338" i="12"/>
  <c r="X338" i="12"/>
  <c r="V339" i="12"/>
  <c r="W339" i="12"/>
  <c r="X339" i="12"/>
  <c r="V340" i="12"/>
  <c r="W340" i="12" s="1"/>
  <c r="X340" i="12"/>
  <c r="V341" i="12"/>
  <c r="W341" i="12"/>
  <c r="X341" i="12"/>
  <c r="V342" i="12"/>
  <c r="W342" i="12"/>
  <c r="X342" i="12"/>
  <c r="V343" i="12"/>
  <c r="W343" i="12"/>
  <c r="X343" i="12"/>
  <c r="V344" i="12"/>
  <c r="W344" i="12"/>
  <c r="X344" i="12"/>
  <c r="V345" i="12"/>
  <c r="W345" i="12"/>
  <c r="X345" i="12"/>
  <c r="V346" i="12"/>
  <c r="W346" i="12"/>
  <c r="X346" i="12"/>
  <c r="V347" i="12"/>
  <c r="W347" i="12"/>
  <c r="X347" i="12"/>
  <c r="V348" i="12"/>
  <c r="W348" i="12"/>
  <c r="X348" i="12"/>
  <c r="V349" i="12"/>
  <c r="W349" i="12"/>
  <c r="X349" i="12"/>
  <c r="V350" i="12"/>
  <c r="W350" i="12"/>
  <c r="X350" i="12"/>
  <c r="V351" i="12"/>
  <c r="W351" i="12"/>
  <c r="X351" i="12"/>
  <c r="V352" i="12"/>
  <c r="W352" i="12"/>
  <c r="X352" i="12"/>
  <c r="V353" i="12"/>
  <c r="W353" i="12"/>
  <c r="X353" i="12"/>
  <c r="V354" i="12"/>
  <c r="W354" i="12"/>
  <c r="X354" i="12"/>
  <c r="V355" i="12"/>
  <c r="W355" i="12"/>
  <c r="X355" i="12"/>
  <c r="V356" i="12"/>
  <c r="W356" i="12"/>
  <c r="X356" i="12"/>
  <c r="V357" i="12"/>
  <c r="W357" i="12"/>
  <c r="X357" i="12"/>
  <c r="V358" i="12"/>
  <c r="W358" i="12"/>
  <c r="X358" i="12"/>
  <c r="V359" i="12"/>
  <c r="W359" i="12"/>
  <c r="X359" i="12"/>
  <c r="V360" i="12"/>
  <c r="W360" i="12"/>
  <c r="X360" i="12"/>
  <c r="V361" i="12"/>
  <c r="W361" i="12"/>
  <c r="X361" i="12"/>
  <c r="V362" i="12"/>
  <c r="W362" i="12"/>
  <c r="X362" i="12"/>
  <c r="V363" i="12"/>
  <c r="W363" i="12"/>
  <c r="X363" i="12"/>
  <c r="V364" i="12"/>
  <c r="W364" i="12"/>
  <c r="X364" i="12"/>
  <c r="V365" i="12"/>
  <c r="W365" i="12"/>
  <c r="X365" i="12"/>
  <c r="V366" i="12"/>
  <c r="W366" i="12"/>
  <c r="X366" i="12"/>
  <c r="V367" i="12"/>
  <c r="W367" i="12"/>
  <c r="X367" i="12"/>
  <c r="V368" i="12"/>
  <c r="W368" i="12"/>
  <c r="X368" i="12"/>
  <c r="V369" i="12"/>
  <c r="W369" i="12"/>
  <c r="X369" i="12"/>
  <c r="V370" i="12"/>
  <c r="W370" i="12"/>
  <c r="X370" i="12"/>
  <c r="V371" i="12"/>
  <c r="W371" i="12"/>
  <c r="X371" i="12"/>
  <c r="V372" i="12"/>
  <c r="W372" i="12"/>
  <c r="X372" i="12"/>
  <c r="V373" i="12"/>
  <c r="W373" i="12"/>
  <c r="X373" i="12"/>
  <c r="V374" i="12"/>
  <c r="W374" i="12"/>
  <c r="X374" i="12"/>
  <c r="V375" i="12"/>
  <c r="W375" i="12"/>
  <c r="X375" i="12"/>
  <c r="V376" i="12"/>
  <c r="W376" i="12"/>
  <c r="X376" i="12"/>
  <c r="V377" i="12"/>
  <c r="W377" i="12"/>
  <c r="X377" i="12"/>
  <c r="V378" i="12"/>
  <c r="W378" i="12"/>
  <c r="X378" i="12"/>
  <c r="V379" i="12"/>
  <c r="W379" i="12"/>
  <c r="X379" i="12"/>
  <c r="V380" i="12"/>
  <c r="W380" i="12"/>
  <c r="X380" i="12"/>
  <c r="V381" i="12"/>
  <c r="W381" i="12"/>
  <c r="X381" i="12"/>
  <c r="V382" i="12"/>
  <c r="W382" i="12"/>
  <c r="X382" i="12"/>
  <c r="V383" i="12"/>
  <c r="W383" i="12"/>
  <c r="X383" i="12"/>
  <c r="V384" i="12"/>
  <c r="W384" i="12"/>
  <c r="X384" i="12"/>
  <c r="V385" i="12"/>
  <c r="W385" i="12"/>
  <c r="X385" i="12"/>
  <c r="V386" i="12"/>
  <c r="W386" i="12"/>
  <c r="X386" i="12"/>
  <c r="V387" i="12"/>
  <c r="W387" i="12"/>
  <c r="X387" i="12"/>
  <c r="V388" i="12"/>
  <c r="W388" i="12"/>
  <c r="X388" i="12"/>
  <c r="V389" i="12"/>
  <c r="W389" i="12"/>
  <c r="X389" i="12"/>
  <c r="V390" i="12"/>
  <c r="W390" i="12"/>
  <c r="X390" i="12"/>
  <c r="V391" i="12"/>
  <c r="W391" i="12"/>
  <c r="X391" i="12"/>
  <c r="V392" i="12"/>
  <c r="W392" i="12"/>
  <c r="X392" i="12"/>
  <c r="V393" i="12"/>
  <c r="W393" i="12"/>
  <c r="X393" i="12"/>
  <c r="V394" i="12"/>
  <c r="W394" i="12"/>
  <c r="X394" i="12"/>
  <c r="V395" i="12"/>
  <c r="W395" i="12"/>
  <c r="X395" i="12"/>
  <c r="V396" i="12"/>
  <c r="W396" i="12"/>
  <c r="X396" i="12"/>
  <c r="V397" i="12"/>
  <c r="W397" i="12"/>
  <c r="X397" i="12"/>
  <c r="V398" i="12"/>
  <c r="W398" i="12"/>
  <c r="X398" i="12"/>
  <c r="V399" i="12"/>
  <c r="W399" i="12"/>
  <c r="X399" i="12"/>
  <c r="V400" i="12"/>
  <c r="W400" i="12"/>
  <c r="X400" i="12"/>
  <c r="V401" i="12"/>
  <c r="W401" i="12"/>
  <c r="X401" i="12"/>
  <c r="V402" i="12"/>
  <c r="W402" i="12"/>
  <c r="X402" i="12"/>
  <c r="V403" i="12"/>
  <c r="W403" i="12"/>
  <c r="X403" i="12"/>
  <c r="V404" i="12"/>
  <c r="W404" i="12"/>
  <c r="X404" i="12"/>
  <c r="V405" i="12"/>
  <c r="W405" i="12"/>
  <c r="X405" i="12"/>
  <c r="V406" i="12"/>
  <c r="W406" i="12"/>
  <c r="X406" i="12"/>
  <c r="V407" i="12"/>
  <c r="W407" i="12"/>
  <c r="X407" i="12"/>
  <c r="V408" i="12"/>
  <c r="W408" i="12"/>
  <c r="X408" i="12"/>
  <c r="V409" i="12"/>
  <c r="W409" i="12"/>
  <c r="X409" i="12"/>
  <c r="V410" i="12"/>
  <c r="W410" i="12"/>
  <c r="X410" i="12"/>
  <c r="V411" i="12"/>
  <c r="W411" i="12"/>
  <c r="X411" i="12"/>
  <c r="V412" i="12"/>
  <c r="W412" i="12"/>
  <c r="X412" i="12"/>
  <c r="V413" i="12"/>
  <c r="W413" i="12"/>
  <c r="X413" i="12"/>
  <c r="V414" i="12"/>
  <c r="W414" i="12"/>
  <c r="X414" i="12"/>
  <c r="V415" i="12"/>
  <c r="W415" i="12"/>
  <c r="X415" i="12"/>
  <c r="V416" i="12"/>
  <c r="W416" i="12"/>
  <c r="X416" i="12"/>
  <c r="V417" i="12"/>
  <c r="W417" i="12"/>
  <c r="X417" i="12"/>
  <c r="V418" i="12"/>
  <c r="W418" i="12"/>
  <c r="X418" i="12"/>
  <c r="V419" i="12"/>
  <c r="W419" i="12"/>
  <c r="X419" i="12"/>
  <c r="V420" i="12"/>
  <c r="W420" i="12"/>
  <c r="X420" i="12"/>
  <c r="V421" i="12"/>
  <c r="W421" i="12"/>
  <c r="X421" i="12"/>
  <c r="V422" i="12"/>
  <c r="W422" i="12"/>
  <c r="X422" i="12"/>
  <c r="V423" i="12"/>
  <c r="W423" i="12"/>
  <c r="X423" i="12"/>
  <c r="V424" i="12"/>
  <c r="W424" i="12"/>
  <c r="X424" i="12"/>
  <c r="V425" i="12"/>
  <c r="W425" i="12"/>
  <c r="X425" i="12"/>
  <c r="V426" i="12"/>
  <c r="W426" i="12"/>
  <c r="X426" i="12"/>
  <c r="V427" i="12"/>
  <c r="W427" i="12"/>
  <c r="X427" i="12"/>
  <c r="V428" i="12"/>
  <c r="W428" i="12"/>
  <c r="X428" i="12"/>
  <c r="V429" i="12"/>
  <c r="W429" i="12"/>
  <c r="X429" i="12"/>
  <c r="V430" i="12"/>
  <c r="W430" i="12"/>
  <c r="X430" i="12"/>
  <c r="V431" i="12"/>
  <c r="W431" i="12"/>
  <c r="X431" i="12"/>
  <c r="V432" i="12"/>
  <c r="W432" i="12"/>
  <c r="X432" i="12"/>
  <c r="V433" i="12"/>
  <c r="W433" i="12"/>
  <c r="X433" i="12"/>
  <c r="V434" i="12"/>
  <c r="W434" i="12"/>
  <c r="X434" i="12"/>
  <c r="V435" i="12"/>
  <c r="W435" i="12"/>
  <c r="X435" i="12"/>
  <c r="V436" i="12"/>
  <c r="W436" i="12"/>
  <c r="X436" i="12"/>
  <c r="V437" i="12"/>
  <c r="W437" i="12"/>
  <c r="X437" i="12"/>
  <c r="V438" i="12"/>
  <c r="W438" i="12"/>
  <c r="X438" i="12"/>
  <c r="V439" i="12"/>
  <c r="W439" i="12"/>
  <c r="X439" i="12"/>
  <c r="V440" i="12"/>
  <c r="W440" i="12"/>
  <c r="X440" i="12"/>
  <c r="V441" i="12"/>
  <c r="W441" i="12"/>
  <c r="X441" i="12"/>
  <c r="V442" i="12"/>
  <c r="W442" i="12"/>
  <c r="X442" i="12"/>
  <c r="V443" i="12"/>
  <c r="W443" i="12"/>
  <c r="X443" i="12"/>
  <c r="V444" i="12"/>
  <c r="W444" i="12"/>
  <c r="X444" i="12"/>
  <c r="V445" i="12"/>
  <c r="W445" i="12"/>
  <c r="X445" i="12"/>
  <c r="V446" i="12"/>
  <c r="W446" i="12"/>
  <c r="X446" i="12"/>
  <c r="V447" i="12"/>
  <c r="W447" i="12"/>
  <c r="X447" i="12"/>
  <c r="V448" i="12"/>
  <c r="W448" i="12"/>
  <c r="X448" i="12"/>
  <c r="V449" i="12"/>
  <c r="W449" i="12"/>
  <c r="X449" i="12"/>
  <c r="V450" i="12"/>
  <c r="W450" i="12"/>
  <c r="X450" i="12"/>
  <c r="V451" i="12"/>
  <c r="W451" i="12"/>
  <c r="X451" i="12"/>
  <c r="V452" i="12"/>
  <c r="W452" i="12"/>
  <c r="X452" i="12"/>
  <c r="V453" i="12"/>
  <c r="W453" i="12"/>
  <c r="X453" i="12"/>
  <c r="V454" i="12"/>
  <c r="W454" i="12"/>
  <c r="X454" i="12"/>
  <c r="V455" i="12"/>
  <c r="W455" i="12"/>
  <c r="X455" i="12"/>
  <c r="V456" i="12"/>
  <c r="W456" i="12"/>
  <c r="X456" i="12"/>
  <c r="V457" i="12"/>
  <c r="W457" i="12"/>
  <c r="X457" i="12"/>
  <c r="V458" i="12"/>
  <c r="W458" i="12"/>
  <c r="X458" i="12"/>
  <c r="V459" i="12"/>
  <c r="W459" i="12"/>
  <c r="X459" i="12"/>
  <c r="V460" i="12"/>
  <c r="W460" i="12"/>
  <c r="X460" i="12"/>
  <c r="V461" i="12"/>
  <c r="W461" i="12"/>
  <c r="X461" i="12"/>
  <c r="V462" i="12"/>
  <c r="W462" i="12"/>
  <c r="X462" i="12"/>
  <c r="V463" i="12"/>
  <c r="W463" i="12"/>
  <c r="X463" i="12"/>
  <c r="V464" i="12"/>
  <c r="W464" i="12"/>
  <c r="X464" i="12"/>
  <c r="V465" i="12"/>
  <c r="W465" i="12"/>
  <c r="X465" i="12"/>
  <c r="V466" i="12"/>
  <c r="W466" i="12"/>
  <c r="X466" i="12"/>
  <c r="V467" i="12"/>
  <c r="W467" i="12"/>
  <c r="X467" i="12"/>
  <c r="V468" i="12"/>
  <c r="W468" i="12"/>
  <c r="X468" i="12"/>
  <c r="V469" i="12"/>
  <c r="W469" i="12"/>
  <c r="X469" i="12"/>
  <c r="V470" i="12"/>
  <c r="W470" i="12"/>
  <c r="X470" i="12"/>
  <c r="V471" i="12"/>
  <c r="W471" i="12"/>
  <c r="X471" i="12"/>
  <c r="V472" i="12"/>
  <c r="W472" i="12"/>
  <c r="X472" i="12"/>
  <c r="V473" i="12"/>
  <c r="W473" i="12"/>
  <c r="X473" i="12"/>
  <c r="V474" i="12"/>
  <c r="W474" i="12"/>
  <c r="X474" i="12"/>
  <c r="V475" i="12"/>
  <c r="W475" i="12"/>
  <c r="X475" i="12"/>
  <c r="V476" i="12"/>
  <c r="W476" i="12"/>
  <c r="X476" i="12"/>
  <c r="V477" i="12"/>
  <c r="W477" i="12"/>
  <c r="X477" i="12"/>
  <c r="V478" i="12"/>
  <c r="W478" i="12"/>
  <c r="X478" i="12"/>
  <c r="V479" i="12"/>
  <c r="W479" i="12"/>
  <c r="X479" i="12"/>
  <c r="V480" i="12"/>
  <c r="W480" i="12"/>
  <c r="X480" i="12"/>
  <c r="V481" i="12"/>
  <c r="W481" i="12"/>
  <c r="X481" i="12"/>
  <c r="V482" i="12"/>
  <c r="W482" i="12"/>
  <c r="X482" i="12"/>
  <c r="V483" i="12"/>
  <c r="W483" i="12"/>
  <c r="X483" i="12"/>
  <c r="V484" i="12"/>
  <c r="W484" i="12"/>
  <c r="X484" i="12"/>
  <c r="V485" i="12"/>
  <c r="W485" i="12"/>
  <c r="X485" i="12"/>
  <c r="V486" i="12"/>
  <c r="W486" i="12"/>
  <c r="X486" i="12"/>
  <c r="V487" i="12"/>
  <c r="W487" i="12"/>
  <c r="X487" i="12"/>
  <c r="V488" i="12"/>
  <c r="W488" i="12"/>
  <c r="X488" i="12"/>
  <c r="V489" i="12"/>
  <c r="W489" i="12"/>
  <c r="X489" i="12"/>
  <c r="V490" i="12"/>
  <c r="W490" i="12"/>
  <c r="X490" i="12"/>
  <c r="V491" i="12"/>
  <c r="W491" i="12"/>
  <c r="X491" i="12"/>
  <c r="V492" i="12"/>
  <c r="W492" i="12"/>
  <c r="X492" i="12"/>
  <c r="V493" i="12"/>
  <c r="W493" i="12"/>
  <c r="X493" i="12"/>
  <c r="V494" i="12"/>
  <c r="W494" i="12"/>
  <c r="X494" i="12"/>
  <c r="V495" i="12"/>
  <c r="W495" i="12"/>
  <c r="X495" i="12"/>
  <c r="V496" i="12"/>
  <c r="W496" i="12"/>
  <c r="X496" i="12"/>
  <c r="V497" i="12"/>
  <c r="W497" i="12"/>
  <c r="X497" i="12"/>
  <c r="V498" i="12"/>
  <c r="W498" i="12"/>
  <c r="X498" i="12"/>
  <c r="V499" i="12"/>
  <c r="W499" i="12"/>
  <c r="X499" i="12"/>
  <c r="V500" i="12"/>
  <c r="W500" i="12"/>
  <c r="X500" i="12"/>
  <c r="V501" i="12"/>
  <c r="W501" i="12"/>
  <c r="X501" i="12"/>
  <c r="V502" i="12"/>
  <c r="W502" i="12"/>
  <c r="X502" i="12"/>
  <c r="V503" i="12"/>
  <c r="W503" i="12"/>
  <c r="X503" i="12"/>
  <c r="V504" i="12"/>
  <c r="W504" i="12"/>
  <c r="X504" i="12"/>
  <c r="V505" i="12"/>
  <c r="W505" i="12"/>
  <c r="X505" i="12"/>
  <c r="V506" i="12"/>
  <c r="W506" i="12"/>
  <c r="X506" i="12"/>
  <c r="V507" i="12"/>
  <c r="W507" i="12"/>
  <c r="X507" i="12"/>
  <c r="V508" i="12"/>
  <c r="W508" i="12"/>
  <c r="X508" i="12"/>
  <c r="V509" i="12"/>
  <c r="W509" i="12"/>
  <c r="X509" i="12"/>
  <c r="V510" i="12"/>
  <c r="W510" i="12"/>
  <c r="X510" i="12"/>
  <c r="V511" i="12"/>
  <c r="W511" i="12"/>
  <c r="X511" i="12"/>
  <c r="V512" i="12"/>
  <c r="W512" i="12"/>
  <c r="X512" i="12"/>
  <c r="V513" i="12"/>
  <c r="W513" i="12"/>
  <c r="X513" i="12"/>
  <c r="V514" i="12"/>
  <c r="W514" i="12"/>
  <c r="X514" i="12"/>
  <c r="V515" i="12"/>
  <c r="W515" i="12"/>
  <c r="X515" i="12"/>
  <c r="V516" i="12"/>
  <c r="W516" i="12"/>
  <c r="X516" i="12"/>
  <c r="V517" i="12"/>
  <c r="W517" i="12"/>
  <c r="X517" i="12"/>
  <c r="V518" i="12"/>
  <c r="W518" i="12"/>
  <c r="X518" i="12"/>
  <c r="V519" i="12"/>
  <c r="W519" i="12"/>
  <c r="X519" i="12"/>
  <c r="V520" i="12"/>
  <c r="W520" i="12"/>
  <c r="X520" i="12"/>
  <c r="V521" i="12"/>
  <c r="W521" i="12"/>
  <c r="X521" i="12"/>
  <c r="V522" i="12"/>
  <c r="W522" i="12"/>
  <c r="X522" i="12"/>
  <c r="V523" i="12"/>
  <c r="W523" i="12"/>
  <c r="X523" i="12"/>
  <c r="V524" i="12"/>
  <c r="W524" i="12"/>
  <c r="X524" i="12"/>
  <c r="V525" i="12"/>
  <c r="W525" i="12"/>
  <c r="X525" i="12"/>
  <c r="V526" i="12"/>
  <c r="W526" i="12"/>
  <c r="X526" i="12"/>
  <c r="V527" i="12"/>
  <c r="W527" i="12"/>
  <c r="X527" i="12"/>
  <c r="V528" i="12"/>
  <c r="W528" i="12"/>
  <c r="X528" i="12"/>
  <c r="V529" i="12"/>
  <c r="W529" i="12"/>
  <c r="X529" i="12"/>
  <c r="V530" i="12"/>
  <c r="W530" i="12"/>
  <c r="X530" i="12"/>
  <c r="V531" i="12"/>
  <c r="W531" i="12"/>
  <c r="X531" i="12"/>
  <c r="V532" i="12"/>
  <c r="W532" i="12"/>
  <c r="X532" i="12"/>
  <c r="V533" i="12"/>
  <c r="W533" i="12"/>
  <c r="X533" i="12"/>
  <c r="V534" i="12"/>
  <c r="W534" i="12"/>
  <c r="X534" i="12"/>
  <c r="V535" i="12"/>
  <c r="W535" i="12"/>
  <c r="X535" i="12"/>
  <c r="V536" i="12"/>
  <c r="W536" i="12"/>
  <c r="X536" i="12"/>
  <c r="V537" i="12"/>
  <c r="W537" i="12"/>
  <c r="X537" i="12"/>
  <c r="V538" i="12"/>
  <c r="W538" i="12"/>
  <c r="X538" i="12"/>
  <c r="V539" i="12"/>
  <c r="W539" i="12"/>
  <c r="X539" i="12"/>
  <c r="V540" i="12"/>
  <c r="W540" i="12"/>
  <c r="X540" i="12"/>
  <c r="V541" i="12"/>
  <c r="W541" i="12"/>
  <c r="X541" i="12"/>
  <c r="V542" i="12"/>
  <c r="W542" i="12"/>
  <c r="X542" i="12"/>
  <c r="V543" i="12"/>
  <c r="W543" i="12"/>
  <c r="X543" i="12"/>
  <c r="V544" i="12"/>
  <c r="W544" i="12"/>
  <c r="X544" i="12"/>
  <c r="V545" i="12"/>
  <c r="W545" i="12"/>
  <c r="X545" i="12"/>
  <c r="V546" i="12"/>
  <c r="W546" i="12"/>
  <c r="X546" i="12"/>
  <c r="V547" i="12"/>
  <c r="W547" i="12"/>
  <c r="X547" i="12"/>
  <c r="V548" i="12"/>
  <c r="W548" i="12"/>
  <c r="X548" i="12"/>
  <c r="V549" i="12"/>
  <c r="W549" i="12"/>
  <c r="X549" i="12"/>
  <c r="V550" i="12"/>
  <c r="W550" i="12"/>
  <c r="X550" i="12"/>
  <c r="V551" i="12"/>
  <c r="W551" i="12"/>
  <c r="X551" i="12"/>
  <c r="V552" i="12"/>
  <c r="W552" i="12"/>
  <c r="X552" i="12"/>
  <c r="V553" i="12"/>
  <c r="W553" i="12"/>
  <c r="X553" i="12"/>
  <c r="V554" i="12"/>
  <c r="W554" i="12"/>
  <c r="X554" i="12"/>
  <c r="V555" i="12"/>
  <c r="W555" i="12"/>
  <c r="X555" i="12"/>
  <c r="V556" i="12"/>
  <c r="W556" i="12"/>
  <c r="X556" i="12"/>
  <c r="V557" i="12"/>
  <c r="W557" i="12"/>
  <c r="X557" i="12"/>
  <c r="V558" i="12"/>
  <c r="W558" i="12"/>
  <c r="X558" i="12"/>
  <c r="V559" i="12"/>
  <c r="W559" i="12"/>
  <c r="X559" i="12"/>
  <c r="V560" i="12"/>
  <c r="W560" i="12"/>
  <c r="X560" i="12"/>
  <c r="V561" i="12"/>
  <c r="W561" i="12"/>
  <c r="X561" i="12"/>
  <c r="V562" i="12"/>
  <c r="W562" i="12"/>
  <c r="X562" i="12"/>
  <c r="V563" i="12"/>
  <c r="W563" i="12"/>
  <c r="X563" i="12"/>
  <c r="V564" i="12"/>
  <c r="W564" i="12"/>
  <c r="X564" i="12"/>
  <c r="V565" i="12"/>
  <c r="W565" i="12"/>
  <c r="X565" i="12"/>
  <c r="V566" i="12"/>
  <c r="W566" i="12"/>
  <c r="X566" i="12"/>
  <c r="V567" i="12"/>
  <c r="W567" i="12"/>
  <c r="X567" i="12"/>
  <c r="V568" i="12"/>
  <c r="W568" i="12"/>
  <c r="X568" i="12"/>
  <c r="V569" i="12"/>
  <c r="W569" i="12"/>
  <c r="X569" i="12"/>
  <c r="V570" i="12"/>
  <c r="W570" i="12"/>
  <c r="X570" i="12"/>
  <c r="V571" i="12"/>
  <c r="W571" i="12"/>
  <c r="X571" i="12"/>
  <c r="V572" i="12"/>
  <c r="W572" i="12"/>
  <c r="X572" i="12"/>
  <c r="V573" i="12"/>
  <c r="W573" i="12"/>
  <c r="X573" i="12"/>
  <c r="V574" i="12"/>
  <c r="W574" i="12"/>
  <c r="X574" i="12"/>
  <c r="V575" i="12"/>
  <c r="W575" i="12"/>
  <c r="X575" i="12"/>
  <c r="V576" i="12"/>
  <c r="W576" i="12"/>
  <c r="X576" i="12"/>
  <c r="V577" i="12"/>
  <c r="W577" i="12"/>
  <c r="X577" i="12"/>
  <c r="V578" i="12"/>
  <c r="W578" i="12"/>
  <c r="X578" i="12"/>
  <c r="V579" i="12"/>
  <c r="W579" i="12"/>
  <c r="X579" i="12"/>
  <c r="V580" i="12"/>
  <c r="W580" i="12"/>
  <c r="X580" i="12"/>
  <c r="V581" i="12"/>
  <c r="W581" i="12"/>
  <c r="X581" i="12"/>
  <c r="V582" i="12"/>
  <c r="W582" i="12"/>
  <c r="X582" i="12"/>
  <c r="V583" i="12"/>
  <c r="W583" i="12"/>
  <c r="X583" i="12"/>
  <c r="V584" i="12"/>
  <c r="W584" i="12"/>
  <c r="X584" i="12"/>
  <c r="V585" i="12"/>
  <c r="W585" i="12"/>
  <c r="X585" i="12"/>
  <c r="V586" i="12"/>
  <c r="W586" i="12"/>
  <c r="X586" i="12"/>
  <c r="V587" i="12"/>
  <c r="W587" i="12"/>
  <c r="X587" i="12"/>
  <c r="V588" i="12"/>
  <c r="W588" i="12"/>
  <c r="X588" i="12"/>
  <c r="V589" i="12"/>
  <c r="W589" i="12"/>
  <c r="X589" i="12"/>
  <c r="V590" i="12"/>
  <c r="W590" i="12"/>
  <c r="X590" i="12"/>
  <c r="V591" i="12"/>
  <c r="W591" i="12"/>
  <c r="X591" i="12"/>
  <c r="V592" i="12"/>
  <c r="W592" i="12"/>
  <c r="X592" i="12"/>
  <c r="V593" i="12"/>
  <c r="W593" i="12"/>
  <c r="X593" i="12"/>
  <c r="V594" i="12"/>
  <c r="W594" i="12"/>
  <c r="X594" i="12"/>
  <c r="V595" i="12"/>
  <c r="W595" i="12"/>
  <c r="X595" i="12"/>
  <c r="V596" i="12"/>
  <c r="W596" i="12"/>
  <c r="X596" i="12"/>
  <c r="V597" i="12"/>
  <c r="W597" i="12"/>
  <c r="X597" i="12"/>
  <c r="V598" i="12"/>
  <c r="W598" i="12"/>
  <c r="X598" i="12"/>
  <c r="V599" i="12"/>
  <c r="W599" i="12"/>
  <c r="X599" i="12"/>
  <c r="V600" i="12"/>
  <c r="W600" i="12"/>
  <c r="X600" i="12"/>
  <c r="V601" i="12"/>
  <c r="W601" i="12"/>
  <c r="X601" i="12"/>
  <c r="V602" i="12"/>
  <c r="W602" i="12"/>
  <c r="X602" i="12"/>
  <c r="V603" i="12"/>
  <c r="W603" i="12"/>
  <c r="X603" i="12"/>
  <c r="V604" i="12"/>
  <c r="W604" i="12"/>
  <c r="X604" i="12"/>
  <c r="V605" i="12"/>
  <c r="W605" i="12"/>
  <c r="X605" i="12"/>
  <c r="V606" i="12"/>
  <c r="W606" i="12"/>
  <c r="X606" i="12"/>
  <c r="V607" i="12"/>
  <c r="W607" i="12"/>
  <c r="X607" i="12"/>
  <c r="V608" i="12"/>
  <c r="W608" i="12"/>
  <c r="X608" i="12"/>
  <c r="V609" i="12"/>
  <c r="W609" i="12"/>
  <c r="X609" i="12"/>
  <c r="V610" i="12"/>
  <c r="W610" i="12"/>
  <c r="X610" i="12"/>
  <c r="V611" i="12"/>
  <c r="W611" i="12"/>
  <c r="X611" i="12"/>
  <c r="V612" i="12"/>
  <c r="W612" i="12"/>
  <c r="X612" i="12"/>
  <c r="V613" i="12"/>
  <c r="W613" i="12"/>
  <c r="X613" i="12"/>
  <c r="V614" i="12"/>
  <c r="W614" i="12"/>
  <c r="X614" i="12"/>
  <c r="V615" i="12"/>
  <c r="W615" i="12"/>
  <c r="X615" i="12"/>
  <c r="V616" i="12"/>
  <c r="W616" i="12"/>
  <c r="X616" i="12"/>
  <c r="V617" i="12"/>
  <c r="W617" i="12"/>
  <c r="X617" i="12"/>
  <c r="V618" i="12"/>
  <c r="W618" i="12"/>
  <c r="X618" i="12"/>
  <c r="V619" i="12"/>
  <c r="W619" i="12"/>
  <c r="X619" i="12"/>
  <c r="V620" i="12"/>
  <c r="W620" i="12"/>
  <c r="X620" i="12"/>
  <c r="V621" i="12"/>
  <c r="W621" i="12"/>
  <c r="X621" i="12"/>
  <c r="V622" i="12"/>
  <c r="W622" i="12"/>
  <c r="X622" i="12"/>
  <c r="V623" i="12"/>
  <c r="W623" i="12"/>
  <c r="X623" i="12"/>
  <c r="V624" i="12"/>
  <c r="W624" i="12"/>
  <c r="X624" i="12"/>
  <c r="V625" i="12"/>
  <c r="W625" i="12"/>
  <c r="X625" i="12"/>
  <c r="V626" i="12"/>
  <c r="W626" i="12"/>
  <c r="X626" i="12"/>
  <c r="V627" i="12"/>
  <c r="W627" i="12"/>
  <c r="X627" i="12"/>
  <c r="V628" i="12"/>
  <c r="W628" i="12"/>
  <c r="X628" i="12"/>
  <c r="V629" i="12"/>
  <c r="W629" i="12"/>
  <c r="X629" i="12"/>
  <c r="V630" i="12"/>
  <c r="W630" i="12"/>
  <c r="X630" i="12"/>
  <c r="V631" i="12"/>
  <c r="W631" i="12"/>
  <c r="X631" i="12"/>
  <c r="V632" i="12"/>
  <c r="W632" i="12"/>
  <c r="X632" i="12"/>
  <c r="V633" i="12"/>
  <c r="W633" i="12"/>
  <c r="X633" i="12"/>
  <c r="V634" i="12"/>
  <c r="W634" i="12"/>
  <c r="X634" i="12"/>
  <c r="V635" i="12"/>
  <c r="W635" i="12"/>
  <c r="X635" i="12"/>
  <c r="V636" i="12"/>
  <c r="W636" i="12"/>
  <c r="X636" i="12"/>
  <c r="V637" i="12"/>
  <c r="W637" i="12"/>
  <c r="X637" i="12"/>
  <c r="V638" i="12"/>
  <c r="W638" i="12"/>
  <c r="X638" i="12"/>
  <c r="V639" i="12"/>
  <c r="W639" i="12"/>
  <c r="X639" i="12"/>
  <c r="V640" i="12"/>
  <c r="W640" i="12"/>
  <c r="X640" i="12"/>
  <c r="V641" i="12"/>
  <c r="W641" i="12"/>
  <c r="X641" i="12"/>
  <c r="V642" i="12"/>
  <c r="W642" i="12"/>
  <c r="X642" i="12"/>
  <c r="V643" i="12"/>
  <c r="W643" i="12"/>
  <c r="X643" i="12"/>
  <c r="V644" i="12"/>
  <c r="W644" i="12"/>
  <c r="X644" i="12"/>
  <c r="V645" i="12"/>
  <c r="W645" i="12"/>
  <c r="X645" i="12"/>
  <c r="V646" i="12"/>
  <c r="W646" i="12"/>
  <c r="X646" i="12"/>
  <c r="V647" i="12"/>
  <c r="W647" i="12"/>
  <c r="X647" i="12"/>
  <c r="V648" i="12"/>
  <c r="W648" i="12"/>
  <c r="X648" i="12"/>
  <c r="V649" i="12"/>
  <c r="W649" i="12"/>
  <c r="X649" i="12"/>
  <c r="V650" i="12"/>
  <c r="W650" i="12"/>
  <c r="X650" i="12"/>
  <c r="V651" i="12"/>
  <c r="W651" i="12"/>
  <c r="X651" i="12"/>
  <c r="V652" i="12"/>
  <c r="W652" i="12"/>
  <c r="X652" i="12"/>
  <c r="V653" i="12"/>
  <c r="W653" i="12"/>
  <c r="X653" i="12"/>
  <c r="V654" i="12"/>
  <c r="W654" i="12"/>
  <c r="X654" i="12"/>
  <c r="V655" i="12"/>
  <c r="W655" i="12"/>
  <c r="X655" i="12"/>
  <c r="V656" i="12"/>
  <c r="W656" i="12"/>
  <c r="X656" i="12"/>
  <c r="V657" i="12"/>
  <c r="W657" i="12"/>
  <c r="X657" i="12"/>
  <c r="V658" i="12"/>
  <c r="W658" i="12"/>
  <c r="X658" i="12"/>
  <c r="V659" i="12"/>
  <c r="W659" i="12"/>
  <c r="X659" i="12"/>
  <c r="V660" i="12"/>
  <c r="W660" i="12"/>
  <c r="X660" i="12"/>
  <c r="V661" i="12"/>
  <c r="W661" i="12"/>
  <c r="X661" i="12"/>
  <c r="V662" i="12"/>
  <c r="W662" i="12"/>
  <c r="X662" i="12"/>
  <c r="V663" i="12"/>
  <c r="W663" i="12"/>
  <c r="X663" i="12"/>
  <c r="V664" i="12"/>
  <c r="W664" i="12"/>
  <c r="X664" i="12"/>
  <c r="V665" i="12"/>
  <c r="W665" i="12"/>
  <c r="X665" i="12"/>
  <c r="V666" i="12"/>
  <c r="W666" i="12"/>
  <c r="X666" i="12"/>
  <c r="V667" i="12"/>
  <c r="W667" i="12"/>
  <c r="X667" i="12"/>
  <c r="V668" i="12"/>
  <c r="W668" i="12"/>
  <c r="X668" i="12"/>
  <c r="V669" i="12"/>
  <c r="W669" i="12"/>
  <c r="X669" i="12"/>
  <c r="V670" i="12"/>
  <c r="W670" i="12"/>
  <c r="X670" i="12"/>
  <c r="V671" i="12"/>
  <c r="W671" i="12"/>
  <c r="X671" i="12"/>
  <c r="V672" i="12"/>
  <c r="W672" i="12"/>
  <c r="X672" i="12"/>
  <c r="V673" i="12"/>
  <c r="W673" i="12"/>
  <c r="X673" i="12"/>
  <c r="V674" i="12"/>
  <c r="W674" i="12"/>
  <c r="X674" i="12"/>
  <c r="V675" i="12"/>
  <c r="W675" i="12"/>
  <c r="X675" i="12"/>
  <c r="V676" i="12"/>
  <c r="W676" i="12"/>
  <c r="X676" i="12"/>
  <c r="V677" i="12"/>
  <c r="W677" i="12"/>
  <c r="X677" i="12"/>
  <c r="V678" i="12"/>
  <c r="W678" i="12"/>
  <c r="X678" i="12"/>
  <c r="V679" i="12"/>
  <c r="W679" i="12"/>
  <c r="X679" i="12"/>
  <c r="V680" i="12"/>
  <c r="W680" i="12"/>
  <c r="X680" i="12"/>
  <c r="V681" i="12"/>
  <c r="W681" i="12"/>
  <c r="X681" i="12"/>
  <c r="V682" i="12"/>
  <c r="W682" i="12"/>
  <c r="X682" i="12"/>
  <c r="V683" i="12"/>
  <c r="W683" i="12"/>
  <c r="X683" i="12"/>
  <c r="V684" i="12"/>
  <c r="W684" i="12"/>
  <c r="X684" i="12"/>
  <c r="V685" i="12"/>
  <c r="W685" i="12"/>
  <c r="X685" i="12"/>
  <c r="V686" i="12"/>
  <c r="W686" i="12"/>
  <c r="X686" i="12"/>
  <c r="V687" i="12"/>
  <c r="W687" i="12"/>
  <c r="X687" i="12"/>
  <c r="V688" i="12"/>
  <c r="W688" i="12"/>
  <c r="X688" i="12"/>
  <c r="V689" i="12"/>
  <c r="W689" i="12"/>
  <c r="X689" i="12"/>
  <c r="V690" i="12"/>
  <c r="W690" i="12"/>
  <c r="X690" i="12"/>
  <c r="V691" i="12"/>
  <c r="W691" i="12"/>
  <c r="X691" i="12"/>
  <c r="V692" i="12"/>
  <c r="W692" i="12"/>
  <c r="X692" i="12"/>
  <c r="V693" i="12"/>
  <c r="W693" i="12"/>
  <c r="X693" i="12"/>
  <c r="V694" i="12"/>
  <c r="W694" i="12"/>
  <c r="X694" i="12"/>
  <c r="V695" i="12"/>
  <c r="W695" i="12"/>
  <c r="X695" i="12"/>
  <c r="V696" i="12"/>
  <c r="W696" i="12"/>
  <c r="X696" i="12"/>
  <c r="V697" i="12"/>
  <c r="W697" i="12"/>
  <c r="X697" i="12"/>
  <c r="V698" i="12"/>
  <c r="W698" i="12"/>
  <c r="X698" i="12"/>
  <c r="V699" i="12"/>
  <c r="W699" i="12"/>
  <c r="X699" i="12"/>
  <c r="V700" i="12"/>
  <c r="W700" i="12"/>
  <c r="X700" i="12"/>
  <c r="V701" i="12"/>
  <c r="W701" i="12"/>
  <c r="X701" i="12"/>
  <c r="V702" i="12"/>
  <c r="W702" i="12"/>
  <c r="X702" i="12"/>
  <c r="V703" i="12"/>
  <c r="W703" i="12"/>
  <c r="X703" i="12"/>
  <c r="V704" i="12"/>
  <c r="W704" i="12"/>
  <c r="X704" i="12"/>
  <c r="V705" i="12"/>
  <c r="W705" i="12"/>
  <c r="X705" i="12"/>
  <c r="V706" i="12"/>
  <c r="W706" i="12"/>
  <c r="X706" i="12"/>
  <c r="V707" i="12"/>
  <c r="W707" i="12"/>
  <c r="X707" i="12"/>
  <c r="V708" i="12"/>
  <c r="W708" i="12"/>
  <c r="X708" i="12"/>
  <c r="V709" i="12"/>
  <c r="W709" i="12"/>
  <c r="X709" i="12"/>
  <c r="V710" i="12"/>
  <c r="W710" i="12"/>
  <c r="X710" i="12"/>
  <c r="V711" i="12"/>
  <c r="W711" i="12"/>
  <c r="X711" i="12"/>
  <c r="V712" i="12"/>
  <c r="W712" i="12"/>
  <c r="X712" i="12"/>
  <c r="V713" i="12"/>
  <c r="W713" i="12"/>
  <c r="X713" i="12"/>
  <c r="V714" i="12"/>
  <c r="W714" i="12"/>
  <c r="X714" i="12"/>
  <c r="V715" i="12"/>
  <c r="W715" i="12"/>
  <c r="X715" i="12"/>
  <c r="V716" i="12"/>
  <c r="W716" i="12"/>
  <c r="X716" i="12"/>
  <c r="V717" i="12"/>
  <c r="W717" i="12"/>
  <c r="X717" i="12"/>
  <c r="V718" i="12"/>
  <c r="W718" i="12"/>
  <c r="X718" i="12"/>
  <c r="V719" i="12"/>
  <c r="W719" i="12"/>
  <c r="X719" i="12"/>
  <c r="V720" i="12"/>
  <c r="W720" i="12"/>
  <c r="X720" i="12"/>
  <c r="V721" i="12"/>
  <c r="W721" i="12"/>
  <c r="X721" i="12"/>
  <c r="V722" i="12"/>
  <c r="W722" i="12"/>
  <c r="X722" i="12"/>
  <c r="V723" i="12"/>
  <c r="W723" i="12"/>
  <c r="X723" i="12"/>
  <c r="V724" i="12"/>
  <c r="W724" i="12"/>
  <c r="X724" i="12"/>
  <c r="V725" i="12"/>
  <c r="W725" i="12"/>
  <c r="X725" i="12"/>
  <c r="V726" i="12"/>
  <c r="W726" i="12"/>
  <c r="X726" i="12"/>
  <c r="V727" i="12"/>
  <c r="W727" i="12"/>
  <c r="X727" i="12"/>
  <c r="V728" i="12"/>
  <c r="W728" i="12"/>
  <c r="X728" i="12"/>
  <c r="V729" i="12"/>
  <c r="W729" i="12"/>
  <c r="X729" i="12"/>
  <c r="V730" i="12"/>
  <c r="W730" i="12"/>
  <c r="X730" i="12"/>
  <c r="V731" i="12"/>
  <c r="W731" i="12"/>
  <c r="X731" i="12"/>
  <c r="V732" i="12"/>
  <c r="W732" i="12"/>
  <c r="X732" i="12"/>
  <c r="V733" i="12"/>
  <c r="W733" i="12"/>
  <c r="X733" i="12"/>
  <c r="V734" i="12"/>
  <c r="W734" i="12"/>
  <c r="X734" i="12"/>
  <c r="V735" i="12"/>
  <c r="W735" i="12"/>
  <c r="X735" i="12"/>
  <c r="V736" i="12"/>
  <c r="W736" i="12"/>
  <c r="X736" i="12"/>
  <c r="V737" i="12"/>
  <c r="W737" i="12"/>
  <c r="X737" i="12"/>
  <c r="V738" i="12"/>
  <c r="W738" i="12"/>
  <c r="X738" i="12"/>
  <c r="V739" i="12"/>
  <c r="W739" i="12"/>
  <c r="X739" i="12"/>
  <c r="V740" i="12"/>
  <c r="W740" i="12"/>
  <c r="X740" i="12"/>
  <c r="V741" i="12"/>
  <c r="W741" i="12"/>
  <c r="X741" i="12"/>
  <c r="V742" i="12"/>
  <c r="W742" i="12"/>
  <c r="X742" i="12"/>
  <c r="V743" i="12"/>
  <c r="W743" i="12"/>
  <c r="X743" i="12"/>
  <c r="V744" i="12"/>
  <c r="W744" i="12"/>
  <c r="X744" i="12"/>
  <c r="V745" i="12"/>
  <c r="W745" i="12"/>
  <c r="X745" i="12"/>
  <c r="V746" i="12"/>
  <c r="W746" i="12"/>
  <c r="X746" i="12"/>
  <c r="V747" i="12"/>
  <c r="W747" i="12"/>
  <c r="X747" i="12"/>
  <c r="V748" i="12"/>
  <c r="W748" i="12"/>
  <c r="X748" i="12"/>
  <c r="V749" i="12"/>
  <c r="W749" i="12"/>
  <c r="X749" i="12"/>
  <c r="V750" i="12"/>
  <c r="W750" i="12"/>
  <c r="X750" i="12"/>
  <c r="V751" i="12"/>
  <c r="W751" i="12"/>
  <c r="X751" i="12"/>
  <c r="V752" i="12"/>
  <c r="W752" i="12"/>
  <c r="X752" i="12"/>
  <c r="V753" i="12"/>
  <c r="W753" i="12"/>
  <c r="X753" i="12"/>
  <c r="V754" i="12"/>
  <c r="W754" i="12"/>
  <c r="X754" i="12"/>
  <c r="V755" i="12"/>
  <c r="W755" i="12"/>
  <c r="X755" i="12"/>
  <c r="V756" i="12"/>
  <c r="W756" i="12"/>
  <c r="X756" i="12"/>
  <c r="V757" i="12"/>
  <c r="W757" i="12"/>
  <c r="X757" i="12"/>
  <c r="V758" i="12"/>
  <c r="W758" i="12"/>
  <c r="X758" i="12"/>
  <c r="V759" i="12"/>
  <c r="W759" i="12"/>
  <c r="X759" i="12"/>
  <c r="V760" i="12"/>
  <c r="W760" i="12"/>
  <c r="X760" i="12"/>
  <c r="V761" i="12"/>
  <c r="W761" i="12"/>
  <c r="X761" i="12"/>
  <c r="V762" i="12"/>
  <c r="W762" i="12"/>
  <c r="X762" i="12"/>
  <c r="V763" i="12"/>
  <c r="W763" i="12"/>
  <c r="X763" i="12"/>
  <c r="V764" i="12"/>
  <c r="W764" i="12"/>
  <c r="X764" i="12"/>
  <c r="V765" i="12"/>
  <c r="W765" i="12"/>
  <c r="X765" i="12"/>
  <c r="V766" i="12"/>
  <c r="W766" i="12"/>
  <c r="X766" i="12"/>
  <c r="V767" i="12"/>
  <c r="W767" i="12"/>
  <c r="X767" i="12"/>
  <c r="V768" i="12"/>
  <c r="W768" i="12"/>
  <c r="X768" i="12"/>
  <c r="V769" i="12"/>
  <c r="W769" i="12"/>
  <c r="X769" i="12"/>
  <c r="V770" i="12"/>
  <c r="W770" i="12"/>
  <c r="X770" i="12"/>
  <c r="V771" i="12"/>
  <c r="W771" i="12"/>
  <c r="X771" i="12"/>
  <c r="V772" i="12"/>
  <c r="W772" i="12"/>
  <c r="X772" i="12"/>
  <c r="V773" i="12"/>
  <c r="W773" i="12"/>
  <c r="X773" i="12"/>
  <c r="V774" i="12"/>
  <c r="W774" i="12"/>
  <c r="X774" i="12"/>
  <c r="V775" i="12"/>
  <c r="W775" i="12"/>
  <c r="X775" i="12"/>
  <c r="V776" i="12"/>
  <c r="W776" i="12"/>
  <c r="X776" i="12"/>
  <c r="V777" i="12"/>
  <c r="W777" i="12"/>
  <c r="X777" i="12"/>
  <c r="V778" i="12"/>
  <c r="W778" i="12"/>
  <c r="X778" i="12"/>
  <c r="V779" i="12"/>
  <c r="W779" i="12"/>
  <c r="X779" i="12"/>
  <c r="V780" i="12"/>
  <c r="W780" i="12"/>
  <c r="X780" i="12"/>
  <c r="V781" i="12"/>
  <c r="W781" i="12"/>
  <c r="X781" i="12"/>
  <c r="V782" i="12"/>
  <c r="W782" i="12"/>
  <c r="X782" i="12"/>
  <c r="V783" i="12"/>
  <c r="W783" i="12"/>
  <c r="X783" i="12"/>
  <c r="V784" i="12"/>
  <c r="W784" i="12"/>
  <c r="X784" i="12"/>
  <c r="V785" i="12"/>
  <c r="W785" i="12"/>
  <c r="X785" i="12"/>
  <c r="V786" i="12"/>
  <c r="W786" i="12"/>
  <c r="X786" i="12"/>
  <c r="V787" i="12"/>
  <c r="W787" i="12"/>
  <c r="X787" i="12"/>
  <c r="V788" i="12"/>
  <c r="W788" i="12"/>
  <c r="X788" i="12"/>
  <c r="V789" i="12"/>
  <c r="W789" i="12"/>
  <c r="X789" i="12"/>
  <c r="V790" i="12"/>
  <c r="W790" i="12"/>
  <c r="X790" i="12"/>
  <c r="V791" i="12"/>
  <c r="W791" i="12"/>
  <c r="X791" i="12"/>
  <c r="V792" i="12"/>
  <c r="W792" i="12"/>
  <c r="X792" i="12"/>
  <c r="V793" i="12"/>
  <c r="W793" i="12"/>
  <c r="X793" i="12"/>
  <c r="V794" i="12"/>
  <c r="W794" i="12"/>
  <c r="X794" i="12"/>
  <c r="V795" i="12"/>
  <c r="W795" i="12"/>
  <c r="X795" i="12"/>
  <c r="V796" i="12"/>
  <c r="W796" i="12"/>
  <c r="X796" i="12"/>
  <c r="V797" i="12"/>
  <c r="W797" i="12"/>
  <c r="X797" i="12"/>
  <c r="V798" i="12"/>
  <c r="W798" i="12"/>
  <c r="X798" i="12"/>
  <c r="V799" i="12"/>
  <c r="W799" i="12"/>
  <c r="X799" i="12"/>
  <c r="V800" i="12"/>
  <c r="W800" i="12"/>
  <c r="X800" i="12"/>
  <c r="V801" i="12"/>
  <c r="W801" i="12"/>
  <c r="X801" i="12"/>
  <c r="V802" i="12"/>
  <c r="W802" i="12"/>
  <c r="X802" i="12"/>
  <c r="V803" i="12"/>
  <c r="W803" i="12"/>
  <c r="X803" i="12"/>
  <c r="V804" i="12"/>
  <c r="W804" i="12"/>
  <c r="X804" i="12"/>
  <c r="V805" i="12"/>
  <c r="W805" i="12"/>
  <c r="X805" i="12"/>
  <c r="V806" i="12"/>
  <c r="W806" i="12"/>
  <c r="X806" i="12"/>
  <c r="V807" i="12"/>
  <c r="W807" i="12"/>
  <c r="X807" i="12"/>
  <c r="V808" i="12"/>
  <c r="W808" i="12"/>
  <c r="X808" i="12"/>
  <c r="V809" i="12"/>
  <c r="W809" i="12"/>
  <c r="X809" i="12"/>
  <c r="V810" i="12"/>
  <c r="W810" i="12"/>
  <c r="X810" i="12"/>
  <c r="V811" i="12"/>
  <c r="W811" i="12"/>
  <c r="X811" i="12"/>
  <c r="V812" i="12"/>
  <c r="W812" i="12"/>
  <c r="X812" i="12"/>
  <c r="V813" i="12"/>
  <c r="W813" i="12"/>
  <c r="X813" i="12"/>
  <c r="V814" i="12"/>
  <c r="W814" i="12"/>
  <c r="X814" i="12"/>
  <c r="V815" i="12"/>
  <c r="W815" i="12"/>
  <c r="X815" i="12"/>
  <c r="V816" i="12"/>
  <c r="W816" i="12"/>
  <c r="X816" i="12"/>
  <c r="V817" i="12"/>
  <c r="W817" i="12"/>
  <c r="X817" i="12"/>
  <c r="V818" i="12"/>
  <c r="W818" i="12"/>
  <c r="X818" i="12"/>
  <c r="V819" i="12"/>
  <c r="W819" i="12"/>
  <c r="X819" i="12"/>
  <c r="V820" i="12"/>
  <c r="W820" i="12"/>
  <c r="X820" i="12"/>
  <c r="V821" i="12"/>
  <c r="W821" i="12"/>
  <c r="X821" i="12"/>
  <c r="V822" i="12"/>
  <c r="W822" i="12"/>
  <c r="X822" i="12"/>
  <c r="V823" i="12"/>
  <c r="W823" i="12"/>
  <c r="X823" i="12"/>
  <c r="V824" i="12"/>
  <c r="W824" i="12"/>
  <c r="X824" i="12"/>
  <c r="V825" i="12"/>
  <c r="W825" i="12"/>
  <c r="X825" i="12"/>
  <c r="V826" i="12"/>
  <c r="W826" i="12"/>
  <c r="X826" i="12"/>
  <c r="V827" i="12"/>
  <c r="W827" i="12"/>
  <c r="X827" i="12"/>
  <c r="V828" i="12"/>
  <c r="W828" i="12"/>
  <c r="X828" i="12"/>
  <c r="V829" i="12"/>
  <c r="W829" i="12"/>
  <c r="X829" i="12"/>
  <c r="V830" i="12"/>
  <c r="W830" i="12"/>
  <c r="X830" i="12"/>
  <c r="V831" i="12"/>
  <c r="W831" i="12"/>
  <c r="X831" i="12"/>
  <c r="V832" i="12"/>
  <c r="W832" i="12"/>
  <c r="X832" i="12"/>
  <c r="V833" i="12"/>
  <c r="W833" i="12"/>
  <c r="X833" i="12"/>
  <c r="V834" i="12"/>
  <c r="W834" i="12"/>
  <c r="X834" i="12"/>
  <c r="V835" i="12"/>
  <c r="W835" i="12"/>
  <c r="X835" i="12"/>
  <c r="V836" i="12"/>
  <c r="W836" i="12"/>
  <c r="X836" i="12"/>
  <c r="V837" i="12"/>
  <c r="W837" i="12"/>
  <c r="X837" i="12"/>
  <c r="V838" i="12"/>
  <c r="W838" i="12"/>
  <c r="X838" i="12"/>
  <c r="V839" i="12"/>
  <c r="W839" i="12"/>
  <c r="X839" i="12"/>
  <c r="V840" i="12"/>
  <c r="W840" i="12"/>
  <c r="X840" i="12"/>
  <c r="V841" i="12"/>
  <c r="W841" i="12"/>
  <c r="X841" i="12"/>
  <c r="V842" i="12"/>
  <c r="W842" i="12"/>
  <c r="X842" i="12"/>
  <c r="V843" i="12"/>
  <c r="W843" i="12"/>
  <c r="X843" i="12"/>
  <c r="V844" i="12"/>
  <c r="W844" i="12"/>
  <c r="X844" i="12"/>
  <c r="V845" i="12"/>
  <c r="W845" i="12"/>
  <c r="X845" i="12"/>
  <c r="V846" i="12"/>
  <c r="W846" i="12"/>
  <c r="X846" i="12"/>
  <c r="V847" i="12"/>
  <c r="W847" i="12"/>
  <c r="X847" i="12"/>
  <c r="V848" i="12"/>
  <c r="W848" i="12"/>
  <c r="X848" i="12"/>
  <c r="V849" i="12"/>
  <c r="W849" i="12"/>
  <c r="X849" i="12"/>
  <c r="V850" i="12"/>
  <c r="W850" i="12"/>
  <c r="X850" i="12"/>
  <c r="V851" i="12"/>
  <c r="W851" i="12"/>
  <c r="X851" i="12"/>
  <c r="V852" i="12"/>
  <c r="W852" i="12"/>
  <c r="X852" i="12"/>
  <c r="V853" i="12"/>
  <c r="W853" i="12"/>
  <c r="X853" i="12"/>
  <c r="V854" i="12"/>
  <c r="W854" i="12"/>
  <c r="X854" i="12"/>
  <c r="V855" i="12"/>
  <c r="W855" i="12"/>
  <c r="X855" i="12"/>
  <c r="V856" i="12"/>
  <c r="W856" i="12"/>
  <c r="X856" i="12"/>
  <c r="V857" i="12"/>
  <c r="W857" i="12"/>
  <c r="X857" i="12"/>
  <c r="V858" i="12"/>
  <c r="W858" i="12"/>
  <c r="X858" i="12"/>
  <c r="V859" i="12"/>
  <c r="W859" i="12"/>
  <c r="X859" i="12"/>
  <c r="V860" i="12"/>
  <c r="W860" i="12"/>
  <c r="X860" i="12"/>
  <c r="V861" i="12"/>
  <c r="W861" i="12"/>
  <c r="X861" i="12"/>
  <c r="V862" i="12"/>
  <c r="W862" i="12"/>
  <c r="X862" i="12"/>
  <c r="V863" i="12"/>
  <c r="W863" i="12"/>
  <c r="X863" i="12"/>
  <c r="V864" i="12"/>
  <c r="W864" i="12"/>
  <c r="X864" i="12"/>
  <c r="V865" i="12"/>
  <c r="W865" i="12"/>
  <c r="X865" i="12"/>
  <c r="V866" i="12"/>
  <c r="W866" i="12"/>
  <c r="X866" i="12"/>
  <c r="V867" i="12"/>
  <c r="W867" i="12"/>
  <c r="X867" i="12"/>
  <c r="V868" i="12"/>
  <c r="W868" i="12"/>
  <c r="X868" i="12"/>
  <c r="V869" i="12"/>
  <c r="W869" i="12"/>
  <c r="X869" i="12"/>
  <c r="V870" i="12"/>
  <c r="W870" i="12"/>
  <c r="X870" i="12"/>
  <c r="V871" i="12"/>
  <c r="W871" i="12"/>
  <c r="X871" i="12"/>
  <c r="V872" i="12"/>
  <c r="W872" i="12"/>
  <c r="X872" i="12"/>
  <c r="V873" i="12"/>
  <c r="W873" i="12"/>
  <c r="X873" i="12"/>
  <c r="V874" i="12"/>
  <c r="W874" i="12"/>
  <c r="X874" i="12"/>
  <c r="V875" i="12"/>
  <c r="W875" i="12"/>
  <c r="X875" i="12"/>
  <c r="V876" i="12"/>
  <c r="W876" i="12"/>
  <c r="X876" i="12"/>
  <c r="V877" i="12"/>
  <c r="W877" i="12"/>
  <c r="X877" i="12"/>
  <c r="V878" i="12"/>
  <c r="W878" i="12"/>
  <c r="X878" i="12"/>
  <c r="V879" i="12"/>
  <c r="W879" i="12"/>
  <c r="X879" i="12"/>
  <c r="V880" i="12"/>
  <c r="W880" i="12"/>
  <c r="X880" i="12"/>
  <c r="V881" i="12"/>
  <c r="W881" i="12"/>
  <c r="X881" i="12"/>
  <c r="V882" i="12"/>
  <c r="W882" i="12"/>
  <c r="X882" i="12"/>
  <c r="V883" i="12"/>
  <c r="W883" i="12"/>
  <c r="X883" i="12"/>
  <c r="V884" i="12"/>
  <c r="W884" i="12"/>
  <c r="X884" i="12"/>
  <c r="V885" i="12"/>
  <c r="W885" i="12"/>
  <c r="X885" i="12"/>
  <c r="V886" i="12"/>
  <c r="W886" i="12"/>
  <c r="X886" i="12"/>
  <c r="V887" i="12"/>
  <c r="W887" i="12"/>
  <c r="X887" i="12"/>
  <c r="V888" i="12"/>
  <c r="W888" i="12"/>
  <c r="X888" i="12"/>
  <c r="V889" i="12"/>
  <c r="W889" i="12"/>
  <c r="X889" i="12"/>
  <c r="V890" i="12"/>
  <c r="W890" i="12"/>
  <c r="X890" i="12"/>
  <c r="V891" i="12"/>
  <c r="W891" i="12"/>
  <c r="X891" i="12"/>
  <c r="V892" i="12"/>
  <c r="W892" i="12"/>
  <c r="X892" i="12"/>
  <c r="V893" i="12"/>
  <c r="W893" i="12"/>
  <c r="X893" i="12"/>
  <c r="V894" i="12"/>
  <c r="W894" i="12"/>
  <c r="X894" i="12"/>
  <c r="V895" i="12"/>
  <c r="W895" i="12"/>
  <c r="X895" i="12"/>
  <c r="V896" i="12"/>
  <c r="W896" i="12"/>
  <c r="X896" i="12"/>
  <c r="V897" i="12"/>
  <c r="W897" i="12"/>
  <c r="X897" i="12"/>
  <c r="V898" i="12"/>
  <c r="W898" i="12"/>
  <c r="X898" i="12"/>
  <c r="V899" i="12"/>
  <c r="W899" i="12"/>
  <c r="X899" i="12"/>
  <c r="V900" i="12"/>
  <c r="W900" i="12"/>
  <c r="X900" i="12"/>
  <c r="V901" i="12"/>
  <c r="W901" i="12"/>
  <c r="X901" i="12"/>
  <c r="V902" i="12"/>
  <c r="W902" i="12"/>
  <c r="X902" i="12"/>
  <c r="V903" i="12"/>
  <c r="W903" i="12"/>
  <c r="X903" i="12"/>
  <c r="V904" i="12"/>
  <c r="W904" i="12"/>
  <c r="X904" i="12"/>
  <c r="V905" i="12"/>
  <c r="W905" i="12"/>
  <c r="X905" i="12"/>
  <c r="V906" i="12"/>
  <c r="W906" i="12"/>
  <c r="X906" i="12"/>
  <c r="V907" i="12"/>
  <c r="W907" i="12"/>
  <c r="X907" i="12"/>
  <c r="V908" i="12"/>
  <c r="W908" i="12"/>
  <c r="X908" i="12"/>
  <c r="V909" i="12"/>
  <c r="W909" i="12"/>
  <c r="X909" i="12"/>
  <c r="V910" i="12"/>
  <c r="W910" i="12"/>
  <c r="X910" i="12"/>
  <c r="V911" i="12"/>
  <c r="W911" i="12"/>
  <c r="X911" i="12"/>
  <c r="V912" i="12"/>
  <c r="W912" i="12"/>
  <c r="X912" i="12"/>
  <c r="V913" i="12"/>
  <c r="W913" i="12"/>
  <c r="X913" i="12"/>
  <c r="V914" i="12"/>
  <c r="W914" i="12"/>
  <c r="X914" i="12"/>
  <c r="V915" i="12"/>
  <c r="W915" i="12"/>
  <c r="X915" i="12"/>
  <c r="V916" i="12"/>
  <c r="W916" i="12"/>
  <c r="X916" i="12"/>
  <c r="V917" i="12"/>
  <c r="W917" i="12"/>
  <c r="X917" i="12"/>
  <c r="V918" i="12"/>
  <c r="W918" i="12"/>
  <c r="X918" i="12"/>
  <c r="V919" i="12"/>
  <c r="W919" i="12"/>
  <c r="X919" i="12"/>
  <c r="V920" i="12"/>
  <c r="W920" i="12"/>
  <c r="X920" i="12"/>
  <c r="V921" i="12"/>
  <c r="W921" i="12"/>
  <c r="X921" i="12"/>
  <c r="V922" i="12"/>
  <c r="W922" i="12"/>
  <c r="X922" i="12"/>
  <c r="V923" i="12"/>
  <c r="W923" i="12"/>
  <c r="X923" i="12"/>
  <c r="V924" i="12"/>
  <c r="W924" i="12"/>
  <c r="X924" i="12"/>
  <c r="V925" i="12"/>
  <c r="W925" i="12"/>
  <c r="X925" i="12"/>
  <c r="V926" i="12"/>
  <c r="W926" i="12"/>
  <c r="X926" i="12"/>
  <c r="V927" i="12"/>
  <c r="W927" i="12"/>
  <c r="X927" i="12"/>
  <c r="V928" i="12"/>
  <c r="W928" i="12"/>
  <c r="X928" i="12"/>
  <c r="V929" i="12"/>
  <c r="W929" i="12"/>
  <c r="X929" i="12"/>
  <c r="V930" i="12"/>
  <c r="W930" i="12"/>
  <c r="X930" i="12"/>
  <c r="V931" i="12"/>
  <c r="W931" i="12"/>
  <c r="X931" i="12"/>
  <c r="V932" i="12"/>
  <c r="W932" i="12"/>
  <c r="X932" i="12"/>
  <c r="V933" i="12"/>
  <c r="W933" i="12"/>
  <c r="X933" i="12"/>
  <c r="V934" i="12"/>
  <c r="W934" i="12"/>
  <c r="X934" i="12"/>
  <c r="V935" i="12"/>
  <c r="W935" i="12"/>
  <c r="X935" i="12"/>
  <c r="V936" i="12"/>
  <c r="W936" i="12"/>
  <c r="X936" i="12"/>
  <c r="V937" i="12"/>
  <c r="W937" i="12"/>
  <c r="X937" i="12"/>
  <c r="V938" i="12"/>
  <c r="W938" i="12"/>
  <c r="X938" i="12"/>
  <c r="V939" i="12"/>
  <c r="W939" i="12"/>
  <c r="X939" i="12"/>
  <c r="V940" i="12"/>
  <c r="W940" i="12"/>
  <c r="X940" i="12"/>
  <c r="V941" i="12"/>
  <c r="W941" i="12"/>
  <c r="X941" i="12"/>
  <c r="V942" i="12"/>
  <c r="W942" i="12"/>
  <c r="X942" i="12"/>
  <c r="V943" i="12"/>
  <c r="W943" i="12"/>
  <c r="X943" i="12"/>
  <c r="V944" i="12"/>
  <c r="W944" i="12"/>
  <c r="X944" i="12"/>
  <c r="V945" i="12"/>
  <c r="W945" i="12"/>
  <c r="X945" i="12"/>
  <c r="V946" i="12"/>
  <c r="W946" i="12"/>
  <c r="X946" i="12"/>
  <c r="V947" i="12"/>
  <c r="W947" i="12"/>
  <c r="X947" i="12"/>
  <c r="V948" i="12"/>
  <c r="W948" i="12"/>
  <c r="X948" i="12"/>
  <c r="V949" i="12"/>
  <c r="W949" i="12"/>
  <c r="X949" i="12"/>
  <c r="V950" i="12"/>
  <c r="W950" i="12"/>
  <c r="X950" i="12"/>
  <c r="V951" i="12"/>
  <c r="W951" i="12"/>
  <c r="X951" i="12"/>
  <c r="V952" i="12"/>
  <c r="W952" i="12"/>
  <c r="X952" i="12"/>
  <c r="V953" i="12"/>
  <c r="W953" i="12"/>
  <c r="X953" i="12"/>
  <c r="V954" i="12"/>
  <c r="W954" i="12"/>
  <c r="X954" i="12"/>
  <c r="V955" i="12"/>
  <c r="W955" i="12"/>
  <c r="X955" i="12"/>
  <c r="V956" i="12"/>
  <c r="W956" i="12"/>
  <c r="X956" i="12"/>
  <c r="V957" i="12"/>
  <c r="W957" i="12"/>
  <c r="X957" i="12"/>
  <c r="V958" i="12"/>
  <c r="W958" i="12"/>
  <c r="X958" i="12"/>
  <c r="V959" i="12"/>
  <c r="W959" i="12"/>
  <c r="X959" i="12"/>
  <c r="V960" i="12"/>
  <c r="W960" i="12"/>
  <c r="X960" i="12"/>
  <c r="V961" i="12"/>
  <c r="W961" i="12"/>
  <c r="X961" i="12"/>
  <c r="V962" i="12"/>
  <c r="W962" i="12"/>
  <c r="X962" i="12"/>
  <c r="V963" i="12"/>
  <c r="W963" i="12"/>
  <c r="X963" i="12"/>
  <c r="V964" i="12"/>
  <c r="W964" i="12"/>
  <c r="X964" i="12"/>
  <c r="V965" i="12"/>
  <c r="W965" i="12"/>
  <c r="X965" i="12"/>
  <c r="V966" i="12"/>
  <c r="W966" i="12"/>
  <c r="X966" i="12"/>
  <c r="V967" i="12"/>
  <c r="W967" i="12"/>
  <c r="X967" i="12"/>
  <c r="V968" i="12"/>
  <c r="W968" i="12"/>
  <c r="X968" i="12"/>
  <c r="V969" i="12"/>
  <c r="W969" i="12"/>
  <c r="X969" i="12"/>
  <c r="V970" i="12"/>
  <c r="W970" i="12"/>
  <c r="X970" i="12"/>
  <c r="V971" i="12"/>
  <c r="W971" i="12"/>
  <c r="X971" i="12"/>
  <c r="V972" i="12"/>
  <c r="W972" i="12"/>
  <c r="X972" i="12"/>
  <c r="V973" i="12"/>
  <c r="W973" i="12"/>
  <c r="X973" i="12"/>
  <c r="V974" i="12"/>
  <c r="W974" i="12"/>
  <c r="X974" i="12"/>
  <c r="V975" i="12"/>
  <c r="W975" i="12"/>
  <c r="X975" i="12"/>
  <c r="V976" i="12"/>
  <c r="W976" i="12"/>
  <c r="X976" i="12"/>
  <c r="V977" i="12"/>
  <c r="W977" i="12"/>
  <c r="X977" i="12"/>
  <c r="V978" i="12"/>
  <c r="W978" i="12"/>
  <c r="X978" i="12"/>
  <c r="V979" i="12"/>
  <c r="W979" i="12"/>
  <c r="X979" i="12"/>
  <c r="V980" i="12"/>
  <c r="W980" i="12"/>
  <c r="X980" i="12"/>
  <c r="V981" i="12"/>
  <c r="W981" i="12"/>
  <c r="X981" i="12"/>
  <c r="V982" i="12"/>
  <c r="W982" i="12"/>
  <c r="X982" i="12"/>
  <c r="V983" i="12"/>
  <c r="W983" i="12"/>
  <c r="X983" i="12"/>
  <c r="V984" i="12"/>
  <c r="W984" i="12"/>
  <c r="X984" i="12"/>
  <c r="V985" i="12"/>
  <c r="W985" i="12"/>
  <c r="X985" i="12"/>
  <c r="V986" i="12"/>
  <c r="W986" i="12"/>
  <c r="X986" i="12"/>
  <c r="V987" i="12"/>
  <c r="W987" i="12"/>
  <c r="X987" i="12"/>
  <c r="V988" i="12"/>
  <c r="W988" i="12"/>
  <c r="X988" i="12"/>
  <c r="V989" i="12"/>
  <c r="W989" i="12"/>
  <c r="X989" i="12"/>
  <c r="V990" i="12"/>
  <c r="W990" i="12"/>
  <c r="X990" i="12"/>
  <c r="V991" i="12"/>
  <c r="W991" i="12"/>
  <c r="X991" i="12"/>
  <c r="V992" i="12"/>
  <c r="W992" i="12"/>
  <c r="X992" i="12"/>
  <c r="V993" i="12"/>
  <c r="W993" i="12"/>
  <c r="X993" i="12"/>
  <c r="V994" i="12"/>
  <c r="W994" i="12"/>
  <c r="X994" i="12"/>
  <c r="V995" i="12"/>
  <c r="W995" i="12"/>
  <c r="X995" i="12"/>
  <c r="V996" i="12"/>
  <c r="W996" i="12"/>
  <c r="X996" i="12"/>
  <c r="V997" i="12"/>
  <c r="W997" i="12"/>
  <c r="X997" i="12"/>
  <c r="V998" i="12"/>
  <c r="W998" i="12"/>
  <c r="X998" i="12"/>
  <c r="V999" i="12"/>
  <c r="W999" i="12"/>
  <c r="X999" i="12"/>
  <c r="V1000" i="12"/>
  <c r="W1000" i="12"/>
  <c r="X1000" i="12"/>
  <c r="V1001" i="12"/>
  <c r="W1001" i="12"/>
  <c r="X1001" i="12"/>
  <c r="V1002" i="12"/>
  <c r="W1002" i="12"/>
  <c r="X1002" i="12"/>
  <c r="V1003" i="12"/>
  <c r="W1003" i="12"/>
  <c r="X1003" i="12"/>
  <c r="V1004" i="12"/>
  <c r="W1004" i="12"/>
  <c r="X1004" i="12"/>
  <c r="V1005" i="12"/>
  <c r="W1005" i="12"/>
  <c r="X1005" i="12"/>
  <c r="V1006" i="12"/>
  <c r="W1006" i="12"/>
  <c r="X1006" i="12"/>
  <c r="V1007" i="12"/>
  <c r="W1007" i="12"/>
  <c r="X1007" i="12"/>
  <c r="V1008" i="12"/>
  <c r="W1008" i="12"/>
  <c r="X1008" i="12"/>
  <c r="V1009" i="12"/>
  <c r="W1009" i="12"/>
  <c r="X1009" i="12"/>
  <c r="V1010" i="12"/>
  <c r="W1010" i="12"/>
  <c r="X1010" i="12"/>
  <c r="V1011" i="12"/>
  <c r="W1011" i="12"/>
  <c r="X1011" i="12"/>
  <c r="V1012" i="12"/>
  <c r="W1012" i="12"/>
  <c r="X1012" i="12"/>
  <c r="V1013" i="12"/>
  <c r="W1013" i="12"/>
  <c r="X1013" i="12"/>
  <c r="V1014" i="12"/>
  <c r="W1014" i="12"/>
  <c r="X1014" i="12"/>
  <c r="V1015" i="12"/>
  <c r="W1015" i="12"/>
  <c r="X1015" i="12"/>
  <c r="V1016" i="12"/>
  <c r="W1016" i="12"/>
  <c r="X1016" i="12"/>
  <c r="V1017" i="12"/>
  <c r="W1017" i="12"/>
  <c r="X1017" i="12"/>
  <c r="V1018" i="12"/>
  <c r="W1018" i="12"/>
  <c r="X1018" i="12"/>
  <c r="V1019" i="12"/>
  <c r="W1019" i="12"/>
  <c r="X1019" i="12"/>
  <c r="V1020" i="12"/>
  <c r="W1020" i="12"/>
  <c r="X1020" i="12"/>
  <c r="V1021" i="12"/>
  <c r="W1021" i="12"/>
  <c r="X1021" i="12"/>
  <c r="V1022" i="12"/>
  <c r="W1022" i="12"/>
  <c r="X1022" i="12"/>
  <c r="V1023" i="12"/>
  <c r="W1023" i="12"/>
  <c r="X1023" i="12"/>
  <c r="V1024" i="12"/>
  <c r="W1024" i="12"/>
  <c r="X1024" i="12"/>
  <c r="V1025" i="12"/>
  <c r="W1025" i="12"/>
  <c r="X1025" i="12"/>
  <c r="V1026" i="12"/>
  <c r="W1026" i="12"/>
  <c r="X1026" i="12"/>
  <c r="V1027" i="12"/>
  <c r="W1027" i="12"/>
  <c r="X1027" i="12"/>
  <c r="V1028" i="12"/>
  <c r="W1028" i="12"/>
  <c r="X1028" i="12"/>
  <c r="V1029" i="12"/>
  <c r="W1029" i="12"/>
  <c r="X1029" i="12"/>
  <c r="V1030" i="12"/>
  <c r="W1030" i="12"/>
  <c r="X1030" i="12"/>
  <c r="V1031" i="12"/>
  <c r="W1031" i="12"/>
  <c r="X1031" i="12"/>
  <c r="V1032" i="12"/>
  <c r="W1032" i="12"/>
  <c r="X1032" i="12"/>
  <c r="V1033" i="12"/>
  <c r="W1033" i="12"/>
  <c r="X1033" i="12"/>
  <c r="V1034" i="12"/>
  <c r="W1034" i="12"/>
  <c r="X1034" i="12"/>
  <c r="V1035" i="12"/>
  <c r="W1035" i="12"/>
  <c r="X1035" i="12"/>
  <c r="V1036" i="12"/>
  <c r="W1036" i="12"/>
  <c r="X1036" i="12"/>
  <c r="V1037" i="12"/>
  <c r="W1037" i="12"/>
  <c r="X1037" i="12"/>
  <c r="V1038" i="12"/>
  <c r="W1038" i="12"/>
  <c r="X1038" i="12"/>
  <c r="V1039" i="12"/>
  <c r="W1039" i="12"/>
  <c r="X1039" i="12"/>
  <c r="V1040" i="12"/>
  <c r="W1040" i="12"/>
  <c r="X1040" i="12"/>
  <c r="V1041" i="12"/>
  <c r="W1041" i="12"/>
  <c r="X1041" i="12"/>
  <c r="V1042" i="12"/>
  <c r="W1042" i="12"/>
  <c r="X1042" i="12"/>
  <c r="V1043" i="12"/>
  <c r="W1043" i="12"/>
  <c r="X1043" i="12"/>
  <c r="V1044" i="12"/>
  <c r="W1044" i="12"/>
  <c r="X1044" i="12"/>
  <c r="V1045" i="12"/>
  <c r="W1045" i="12"/>
  <c r="X1045" i="12"/>
  <c r="V1046" i="12"/>
  <c r="W1046" i="12"/>
  <c r="X1046" i="12"/>
  <c r="V1047" i="12"/>
  <c r="W1047" i="12"/>
  <c r="X1047" i="12"/>
  <c r="V1048" i="12"/>
  <c r="W1048" i="12"/>
  <c r="X1048" i="12"/>
  <c r="V1049" i="12"/>
  <c r="W1049" i="12"/>
  <c r="X1049" i="12"/>
  <c r="V1050" i="12"/>
  <c r="W1050" i="12"/>
  <c r="X1050" i="12"/>
  <c r="V1051" i="12"/>
  <c r="W1051" i="12"/>
  <c r="X1051" i="12"/>
  <c r="V1052" i="12"/>
  <c r="W1052" i="12"/>
  <c r="X1052" i="12"/>
  <c r="V1053" i="12"/>
  <c r="W1053" i="12"/>
  <c r="X1053" i="12"/>
  <c r="V1054" i="12"/>
  <c r="W1054" i="12"/>
  <c r="X1054" i="12"/>
  <c r="V1055" i="12"/>
  <c r="W1055" i="12"/>
  <c r="X1055" i="12"/>
  <c r="V1056" i="12"/>
  <c r="W1056" i="12"/>
  <c r="X1056" i="12"/>
  <c r="V1057" i="12"/>
  <c r="W1057" i="12"/>
  <c r="X1057" i="12"/>
  <c r="V1058" i="12"/>
  <c r="W1058" i="12"/>
  <c r="X1058" i="12"/>
  <c r="V1059" i="12"/>
  <c r="W1059" i="12"/>
  <c r="X1059" i="12"/>
  <c r="V1060" i="12"/>
  <c r="W1060" i="12"/>
  <c r="X1060" i="12"/>
  <c r="V1061" i="12"/>
  <c r="W1061" i="12"/>
  <c r="X1061" i="12"/>
  <c r="V1062" i="12"/>
  <c r="W1062" i="12"/>
  <c r="X1062" i="12"/>
  <c r="V1063" i="12"/>
  <c r="W1063" i="12"/>
  <c r="X1063" i="12"/>
  <c r="V1064" i="12"/>
  <c r="W1064" i="12"/>
  <c r="X1064" i="12"/>
  <c r="V1065" i="12"/>
  <c r="W1065" i="12"/>
  <c r="X1065" i="12"/>
  <c r="V1066" i="12"/>
  <c r="W1066" i="12"/>
  <c r="X1066" i="12"/>
  <c r="V1067" i="12"/>
  <c r="W1067" i="12"/>
  <c r="X1067" i="12"/>
  <c r="V1068" i="12"/>
  <c r="W1068" i="12"/>
  <c r="X1068" i="12"/>
  <c r="V1069" i="12"/>
  <c r="W1069" i="12"/>
  <c r="X1069" i="12"/>
  <c r="V1070" i="12"/>
  <c r="W1070" i="12"/>
  <c r="X1070" i="12"/>
  <c r="V1071" i="12"/>
  <c r="W1071" i="12"/>
  <c r="X1071" i="12"/>
  <c r="V1072" i="12"/>
  <c r="W1072" i="12"/>
  <c r="X1072" i="12"/>
  <c r="V1073" i="12"/>
  <c r="W1073" i="12"/>
  <c r="X1073" i="12"/>
  <c r="V1074" i="12"/>
  <c r="W1074" i="12"/>
  <c r="X1074" i="12"/>
  <c r="V1075" i="12"/>
  <c r="W1075" i="12"/>
  <c r="X1075" i="12"/>
  <c r="V1076" i="12"/>
  <c r="W1076" i="12"/>
  <c r="X1076" i="12"/>
  <c r="V1077" i="12"/>
  <c r="W1077" i="12"/>
  <c r="X1077" i="12"/>
  <c r="V1078" i="12"/>
  <c r="W1078" i="12"/>
  <c r="X1078" i="12"/>
  <c r="V1079" i="12"/>
  <c r="W1079" i="12"/>
  <c r="X1079" i="12"/>
  <c r="V1080" i="12"/>
  <c r="W1080" i="12"/>
  <c r="X1080" i="12"/>
  <c r="V1081" i="12"/>
  <c r="W1081" i="12"/>
  <c r="X1081" i="12"/>
  <c r="V1082" i="12"/>
  <c r="W1082" i="12"/>
  <c r="X1082" i="12"/>
  <c r="V1083" i="12"/>
  <c r="W1083" i="12"/>
  <c r="X1083" i="12"/>
  <c r="V1084" i="12"/>
  <c r="W1084" i="12"/>
  <c r="X1084" i="12"/>
  <c r="V1085" i="12"/>
  <c r="W1085" i="12"/>
  <c r="X1085" i="12"/>
  <c r="V1086" i="12"/>
  <c r="W1086" i="12"/>
  <c r="X1086" i="12"/>
  <c r="V1087" i="12"/>
  <c r="W1087" i="12"/>
  <c r="X1087" i="12"/>
  <c r="V1088" i="12"/>
  <c r="W1088" i="12"/>
  <c r="X1088" i="12"/>
  <c r="V1089" i="12"/>
  <c r="W1089" i="12"/>
  <c r="X1089" i="12"/>
  <c r="V1090" i="12"/>
  <c r="W1090" i="12"/>
  <c r="X1090" i="12"/>
  <c r="V1091" i="12"/>
  <c r="W1091" i="12"/>
  <c r="X1091" i="12"/>
  <c r="V1092" i="12"/>
  <c r="W1092" i="12"/>
  <c r="X1092" i="12"/>
  <c r="V1093" i="12"/>
  <c r="W1093" i="12"/>
  <c r="X1093" i="12"/>
  <c r="V1094" i="12"/>
  <c r="W1094" i="12"/>
  <c r="X1094" i="12"/>
  <c r="V1095" i="12"/>
  <c r="W1095" i="12"/>
  <c r="X1095" i="12"/>
  <c r="V1096" i="12"/>
  <c r="W1096" i="12"/>
  <c r="X1096" i="12"/>
  <c r="V1097" i="12"/>
  <c r="W1097" i="12"/>
  <c r="X1097" i="12"/>
  <c r="V1098" i="12"/>
  <c r="W1098" i="12"/>
  <c r="X1098" i="12"/>
  <c r="V1099" i="12"/>
  <c r="W1099" i="12"/>
  <c r="X1099" i="12"/>
  <c r="V1100" i="12"/>
  <c r="W1100" i="12"/>
  <c r="X1100" i="12"/>
  <c r="V1101" i="12"/>
  <c r="W1101" i="12"/>
  <c r="X1101" i="12"/>
  <c r="V1102" i="12"/>
  <c r="W1102" i="12"/>
  <c r="X1102" i="12"/>
  <c r="V1103" i="12"/>
  <c r="W1103" i="12"/>
  <c r="X1103" i="12"/>
  <c r="V1104" i="12"/>
  <c r="W1104" i="12"/>
  <c r="X1104" i="12"/>
  <c r="V1105" i="12"/>
  <c r="W1105" i="12"/>
  <c r="X1105" i="12"/>
  <c r="V1106" i="12"/>
  <c r="W1106" i="12"/>
  <c r="X1106" i="12"/>
  <c r="V1107" i="12"/>
  <c r="W1107" i="12"/>
  <c r="X1107" i="12"/>
  <c r="V1108" i="12"/>
  <c r="W1108" i="12"/>
  <c r="X1108" i="12"/>
  <c r="V1109" i="12"/>
  <c r="W1109" i="12"/>
  <c r="X1109" i="12"/>
  <c r="V1110" i="12"/>
  <c r="W1110" i="12"/>
  <c r="X1110" i="12"/>
  <c r="V1111" i="12"/>
  <c r="W1111" i="12"/>
  <c r="X1111" i="12"/>
  <c r="V1112" i="12"/>
  <c r="W1112" i="12"/>
  <c r="X1112" i="12"/>
  <c r="V1113" i="12"/>
  <c r="W1113" i="12"/>
  <c r="X1113" i="12"/>
  <c r="V1114" i="12"/>
  <c r="W1114" i="12"/>
  <c r="X1114" i="12"/>
  <c r="V1115" i="12"/>
  <c r="W1115" i="12"/>
  <c r="X1115" i="12"/>
  <c r="V1116" i="12"/>
  <c r="W1116" i="12"/>
  <c r="X1116" i="12"/>
  <c r="V1117" i="12"/>
  <c r="W1117" i="12"/>
  <c r="X1117" i="12"/>
  <c r="V1118" i="12"/>
  <c r="W1118" i="12"/>
  <c r="X1118" i="12"/>
  <c r="V1119" i="12"/>
  <c r="W1119" i="12"/>
  <c r="X1119" i="12"/>
  <c r="V1120" i="12"/>
  <c r="W1120" i="12"/>
  <c r="X1120" i="12"/>
  <c r="V1121" i="12"/>
  <c r="W1121" i="12"/>
  <c r="X1121" i="12"/>
  <c r="V1122" i="12"/>
  <c r="W1122" i="12"/>
  <c r="X1122" i="12"/>
  <c r="V1123" i="12"/>
  <c r="W1123" i="12"/>
  <c r="X1123" i="12"/>
  <c r="V1124" i="12"/>
  <c r="W1124" i="12"/>
  <c r="X1124" i="12"/>
  <c r="V1125" i="12"/>
  <c r="W1125" i="12"/>
  <c r="X1125" i="12"/>
  <c r="V1126" i="12"/>
  <c r="W1126" i="12"/>
  <c r="X1126" i="12"/>
  <c r="V1127" i="12"/>
  <c r="W1127" i="12"/>
  <c r="X1127" i="12"/>
  <c r="V1128" i="12"/>
  <c r="W1128" i="12"/>
  <c r="X1128" i="12"/>
  <c r="V1129" i="12"/>
  <c r="W1129" i="12"/>
  <c r="X1129" i="12"/>
  <c r="V1130" i="12"/>
  <c r="W1130" i="12"/>
  <c r="X1130" i="12"/>
  <c r="V1131" i="12"/>
  <c r="W1131" i="12"/>
  <c r="X1131" i="12"/>
  <c r="V1132" i="12"/>
  <c r="W1132" i="12"/>
  <c r="X1132" i="12"/>
  <c r="V1133" i="12"/>
  <c r="W1133" i="12"/>
  <c r="X1133" i="12"/>
  <c r="V1134" i="12"/>
  <c r="W1134" i="12"/>
  <c r="X1134" i="12"/>
  <c r="V1135" i="12"/>
  <c r="W1135" i="12"/>
  <c r="X1135" i="12"/>
  <c r="V1136" i="12"/>
  <c r="W1136" i="12"/>
  <c r="X1136" i="12"/>
  <c r="V1137" i="12"/>
  <c r="W1137" i="12"/>
  <c r="X1137" i="12"/>
  <c r="V1138" i="12"/>
  <c r="W1138" i="12"/>
  <c r="X1138" i="12"/>
  <c r="V1139" i="12"/>
  <c r="W1139" i="12"/>
  <c r="X1139" i="12"/>
  <c r="V1140" i="12"/>
  <c r="W1140" i="12"/>
  <c r="X1140" i="12"/>
  <c r="V1141" i="12"/>
  <c r="W1141" i="12"/>
  <c r="X1141" i="12"/>
  <c r="V1142" i="12"/>
  <c r="W1142" i="12"/>
  <c r="X1142" i="12"/>
  <c r="V1143" i="12"/>
  <c r="W1143" i="12"/>
  <c r="X1143" i="12"/>
  <c r="X2" i="12"/>
  <c r="W2" i="12"/>
  <c r="V2" i="12"/>
  <c r="P9" i="1"/>
  <c r="Q9" i="1"/>
  <c r="R9" i="1"/>
  <c r="S9" i="1" s="1"/>
  <c r="P10" i="1"/>
  <c r="R10" i="1" s="1"/>
  <c r="S10" i="1" s="1"/>
  <c r="Q10" i="1"/>
  <c r="P11" i="1"/>
  <c r="Q11" i="1"/>
  <c r="R11" i="1"/>
  <c r="S11" i="1"/>
  <c r="P12" i="1"/>
  <c r="Q12" i="1"/>
  <c r="R12" i="1" s="1"/>
  <c r="S12" i="1" s="1"/>
  <c r="P13" i="1"/>
  <c r="Q13" i="1"/>
  <c r="P14" i="1"/>
  <c r="R14" i="1" s="1"/>
  <c r="Q14" i="1"/>
  <c r="S14" i="1"/>
  <c r="P15" i="1"/>
  <c r="Q15" i="1"/>
  <c r="R15" i="1"/>
  <c r="S15" i="1" s="1"/>
  <c r="P16" i="1"/>
  <c r="Q16" i="1"/>
  <c r="R16" i="1"/>
  <c r="S16" i="1" s="1"/>
  <c r="P17" i="1"/>
  <c r="Q17" i="1"/>
  <c r="R17" i="1" s="1"/>
  <c r="S17" i="1" s="1"/>
  <c r="P18" i="1"/>
  <c r="Q18" i="1"/>
  <c r="R18" i="1"/>
  <c r="S18" i="1" s="1"/>
  <c r="P19" i="1"/>
  <c r="Q19" i="1"/>
  <c r="R19" i="1"/>
  <c r="S19" i="1"/>
  <c r="P20" i="1"/>
  <c r="R20" i="1" s="1"/>
  <c r="S20" i="1" s="1"/>
  <c r="Q20" i="1"/>
  <c r="P21" i="1"/>
  <c r="R21" i="1" s="1"/>
  <c r="S21" i="1" s="1"/>
  <c r="Q21" i="1"/>
  <c r="P22" i="1"/>
  <c r="Q22" i="1"/>
  <c r="R22" i="1"/>
  <c r="S22" i="1"/>
  <c r="P23" i="1"/>
  <c r="Q23" i="1"/>
  <c r="R23" i="1"/>
  <c r="S23" i="1"/>
  <c r="P24" i="1"/>
  <c r="Q24" i="1"/>
  <c r="R24" i="1"/>
  <c r="S24" i="1" s="1"/>
  <c r="P25" i="1"/>
  <c r="Q25" i="1"/>
  <c r="R25" i="1" s="1"/>
  <c r="S25" i="1" s="1"/>
  <c r="P26" i="1"/>
  <c r="Q26" i="1"/>
  <c r="R26" i="1" s="1"/>
  <c r="S26" i="1" s="1"/>
  <c r="P27" i="1"/>
  <c r="Q27" i="1"/>
  <c r="R27" i="1"/>
  <c r="S27" i="1" s="1"/>
  <c r="P28" i="1"/>
  <c r="Q28" i="1"/>
  <c r="R28" i="1"/>
  <c r="S28" i="1" s="1"/>
  <c r="P29" i="1"/>
  <c r="Q29" i="1"/>
  <c r="R29" i="1" s="1"/>
  <c r="S29" i="1" s="1"/>
  <c r="P30" i="1"/>
  <c r="Q30" i="1"/>
  <c r="R30" i="1" s="1"/>
  <c r="S30" i="1" s="1"/>
  <c r="P31" i="1"/>
  <c r="Q31" i="1"/>
  <c r="R31" i="1"/>
  <c r="S31" i="1" s="1"/>
  <c r="P32" i="1"/>
  <c r="Q32" i="1"/>
  <c r="R32" i="1" s="1"/>
  <c r="S32" i="1" s="1"/>
  <c r="P33" i="1"/>
  <c r="Q33" i="1"/>
  <c r="R33" i="1" s="1"/>
  <c r="S33" i="1" s="1"/>
  <c r="P34" i="1"/>
  <c r="Q34" i="1"/>
  <c r="R34" i="1"/>
  <c r="S34" i="1" s="1"/>
  <c r="P35" i="1"/>
  <c r="Q35" i="1"/>
  <c r="P36" i="1"/>
  <c r="Q36" i="1"/>
  <c r="P37" i="1"/>
  <c r="Q37" i="1"/>
  <c r="R37" i="1"/>
  <c r="S37" i="1" s="1"/>
  <c r="P38" i="1"/>
  <c r="Q38" i="1"/>
  <c r="P39" i="1"/>
  <c r="Q39" i="1"/>
  <c r="P40" i="1"/>
  <c r="R40" i="1" s="1"/>
  <c r="S40" i="1" s="1"/>
  <c r="Q40" i="1"/>
  <c r="P41" i="1"/>
  <c r="Q41" i="1"/>
  <c r="P42" i="1"/>
  <c r="R42" i="1" s="1"/>
  <c r="S42" i="1" s="1"/>
  <c r="Q42" i="1"/>
  <c r="P43" i="1"/>
  <c r="R43" i="1" s="1"/>
  <c r="Q43" i="1"/>
  <c r="S43" i="1"/>
  <c r="P44" i="1"/>
  <c r="Q44" i="1"/>
  <c r="R44" i="1" s="1"/>
  <c r="S44" i="1" s="1"/>
  <c r="P45" i="1"/>
  <c r="Q45" i="1"/>
  <c r="R45" i="1"/>
  <c r="S45" i="1" s="1"/>
  <c r="P46" i="1"/>
  <c r="Q46" i="1"/>
  <c r="P47" i="1"/>
  <c r="Q47" i="1"/>
  <c r="R47" i="1"/>
  <c r="S47" i="1"/>
  <c r="P48" i="1"/>
  <c r="R48" i="1" s="1"/>
  <c r="S48" i="1" s="1"/>
  <c r="Q48" i="1"/>
  <c r="P49" i="1"/>
  <c r="Q49" i="1"/>
  <c r="R49" i="1"/>
  <c r="S49" i="1" s="1"/>
  <c r="P50" i="1"/>
  <c r="Q50" i="1"/>
  <c r="P51" i="1"/>
  <c r="Q51" i="1"/>
  <c r="R51" i="1"/>
  <c r="S51" i="1" s="1"/>
  <c r="P52" i="1"/>
  <c r="Q52" i="1"/>
  <c r="P53" i="1"/>
  <c r="Q53" i="1"/>
  <c r="P54" i="1"/>
  <c r="Q54" i="1"/>
  <c r="R54" i="1"/>
  <c r="S54" i="1" s="1"/>
  <c r="P55" i="1"/>
  <c r="Q55" i="1"/>
  <c r="P56" i="1"/>
  <c r="R56" i="1" s="1"/>
  <c r="S56" i="1" s="1"/>
  <c r="Q56" i="1"/>
  <c r="P57" i="1"/>
  <c r="Q57" i="1"/>
  <c r="P58" i="1"/>
  <c r="Q58" i="1"/>
  <c r="R58" i="1"/>
  <c r="S58" i="1"/>
  <c r="P59" i="1"/>
  <c r="Q59" i="1"/>
  <c r="P60" i="1"/>
  <c r="Q60" i="1"/>
  <c r="R60" i="1"/>
  <c r="S60" i="1" s="1"/>
  <c r="P61" i="1"/>
  <c r="Q61" i="1"/>
  <c r="R61" i="1"/>
  <c r="S61" i="1"/>
  <c r="P62" i="1"/>
  <c r="Q62" i="1"/>
  <c r="R62" i="1" s="1"/>
  <c r="S62" i="1" s="1"/>
  <c r="P63" i="1"/>
  <c r="R63" i="1" s="1"/>
  <c r="S63" i="1" s="1"/>
  <c r="Q63" i="1"/>
  <c r="P64" i="1"/>
  <c r="Q64" i="1"/>
  <c r="R64" i="1"/>
  <c r="S64" i="1" s="1"/>
  <c r="P65" i="1"/>
  <c r="Q65" i="1"/>
  <c r="P66" i="1"/>
  <c r="Q66" i="1"/>
  <c r="R66" i="1"/>
  <c r="S66" i="1" s="1"/>
  <c r="P67" i="1"/>
  <c r="Q67" i="1"/>
  <c r="P68" i="1"/>
  <c r="Q68" i="1"/>
  <c r="R68" i="1" s="1"/>
  <c r="S68" i="1" s="1"/>
  <c r="P69" i="1"/>
  <c r="Q69" i="1"/>
  <c r="R69" i="1"/>
  <c r="S69" i="1" s="1"/>
  <c r="P70" i="1"/>
  <c r="Q70" i="1"/>
  <c r="R70" i="1"/>
  <c r="S70" i="1"/>
  <c r="P71" i="1"/>
  <c r="Q71" i="1"/>
  <c r="P72" i="1"/>
  <c r="R72" i="1" s="1"/>
  <c r="S72" i="1" s="1"/>
  <c r="Q72" i="1"/>
  <c r="P73" i="1"/>
  <c r="R73" i="1" s="1"/>
  <c r="S73" i="1" s="1"/>
  <c r="Q73" i="1"/>
  <c r="P74" i="1"/>
  <c r="Q74" i="1"/>
  <c r="R74" i="1" s="1"/>
  <c r="S74" i="1" s="1"/>
  <c r="P75" i="1"/>
  <c r="R75" i="1" s="1"/>
  <c r="S75" i="1" s="1"/>
  <c r="Q75" i="1"/>
  <c r="P76" i="1"/>
  <c r="Q76" i="1"/>
  <c r="P77" i="1"/>
  <c r="R77" i="1" s="1"/>
  <c r="S77" i="1" s="1"/>
  <c r="Q77" i="1"/>
  <c r="P78" i="1"/>
  <c r="Q78" i="1"/>
  <c r="R78" i="1" s="1"/>
  <c r="S78" i="1" s="1"/>
  <c r="P79" i="1"/>
  <c r="R79" i="1" s="1"/>
  <c r="Q79" i="1"/>
  <c r="S79" i="1"/>
  <c r="P80" i="1"/>
  <c r="Q80" i="1"/>
  <c r="R80" i="1"/>
  <c r="S80" i="1"/>
  <c r="P81" i="1"/>
  <c r="R81" i="1" s="1"/>
  <c r="S81" i="1" s="1"/>
  <c r="Q81" i="1"/>
  <c r="P82" i="1"/>
  <c r="R82" i="1" s="1"/>
  <c r="S82" i="1" s="1"/>
  <c r="Q82" i="1"/>
  <c r="P83" i="1"/>
  <c r="Q83" i="1"/>
  <c r="R83" i="1"/>
  <c r="S83" i="1"/>
  <c r="P84" i="1"/>
  <c r="R84" i="1" s="1"/>
  <c r="S84" i="1" s="1"/>
  <c r="Q84" i="1"/>
  <c r="P85" i="1"/>
  <c r="Q85" i="1"/>
  <c r="P86" i="1"/>
  <c r="R86" i="1" s="1"/>
  <c r="S86" i="1" s="1"/>
  <c r="Q86" i="1"/>
  <c r="P87" i="1"/>
  <c r="Q87" i="1"/>
  <c r="R87" i="1"/>
  <c r="S87" i="1" s="1"/>
  <c r="P88" i="1"/>
  <c r="R88" i="1" s="1"/>
  <c r="S88" i="1" s="1"/>
  <c r="Q88" i="1"/>
  <c r="P89" i="1"/>
  <c r="Q89" i="1"/>
  <c r="P90" i="1"/>
  <c r="Q90" i="1"/>
  <c r="R90" i="1" s="1"/>
  <c r="S90" i="1" s="1"/>
  <c r="P91" i="1"/>
  <c r="Q91" i="1"/>
  <c r="R91" i="1"/>
  <c r="S91" i="1"/>
  <c r="P92" i="1"/>
  <c r="R92" i="1" s="1"/>
  <c r="S92" i="1" s="1"/>
  <c r="Q92" i="1"/>
  <c r="P93" i="1"/>
  <c r="R93" i="1" s="1"/>
  <c r="S93" i="1" s="1"/>
  <c r="Q93" i="1"/>
  <c r="P94" i="1"/>
  <c r="R94" i="1" s="1"/>
  <c r="S94" i="1" s="1"/>
  <c r="Q94" i="1"/>
  <c r="P95" i="1"/>
  <c r="Q95" i="1"/>
  <c r="R95" i="1"/>
  <c r="S95" i="1" s="1"/>
  <c r="P96" i="1"/>
  <c r="Q96" i="1"/>
  <c r="R96" i="1"/>
  <c r="S96" i="1" s="1"/>
  <c r="P97" i="1"/>
  <c r="Q97" i="1"/>
  <c r="R97" i="1" s="1"/>
  <c r="S97" i="1" s="1"/>
  <c r="P98" i="1"/>
  <c r="Q98" i="1"/>
  <c r="P99" i="1"/>
  <c r="Q99" i="1"/>
  <c r="R99" i="1"/>
  <c r="S99" i="1" s="1"/>
  <c r="P100" i="1"/>
  <c r="Q100" i="1"/>
  <c r="R100" i="1"/>
  <c r="S100" i="1" s="1"/>
  <c r="P101" i="1"/>
  <c r="Q101" i="1"/>
  <c r="R101" i="1" s="1"/>
  <c r="S101" i="1" s="1"/>
  <c r="P102" i="1"/>
  <c r="Q102" i="1"/>
  <c r="R102" i="1" s="1"/>
  <c r="S102" i="1" s="1"/>
  <c r="P103" i="1"/>
  <c r="Q103" i="1"/>
  <c r="R103" i="1"/>
  <c r="S103" i="1" s="1"/>
  <c r="P104" i="1"/>
  <c r="Q104" i="1"/>
  <c r="R104" i="1" s="1"/>
  <c r="S104" i="1" s="1"/>
  <c r="P105" i="1"/>
  <c r="Q105" i="1"/>
  <c r="R105" i="1" s="1"/>
  <c r="S105" i="1" s="1"/>
  <c r="P106" i="1"/>
  <c r="Q106" i="1"/>
  <c r="R106" i="1"/>
  <c r="S106" i="1" s="1"/>
  <c r="P107" i="1"/>
  <c r="R107" i="1" s="1"/>
  <c r="S107" i="1" s="1"/>
  <c r="Q107" i="1"/>
  <c r="P108" i="1"/>
  <c r="Q108" i="1"/>
  <c r="P109" i="1"/>
  <c r="Q109" i="1"/>
  <c r="R109" i="1" s="1"/>
  <c r="S109" i="1" s="1"/>
  <c r="P110" i="1"/>
  <c r="Q110" i="1"/>
  <c r="P111" i="1"/>
  <c r="Q111" i="1"/>
  <c r="P112" i="1"/>
  <c r="R112" i="1" s="1"/>
  <c r="S112" i="1" s="1"/>
  <c r="Q112" i="1"/>
  <c r="P113" i="1"/>
  <c r="Q113" i="1"/>
  <c r="R113" i="1"/>
  <c r="S113" i="1" s="1"/>
  <c r="P114" i="1"/>
  <c r="Q114" i="1"/>
  <c r="R114" i="1"/>
  <c r="S114" i="1" s="1"/>
  <c r="P115" i="1"/>
  <c r="R115" i="1" s="1"/>
  <c r="Q115" i="1"/>
  <c r="S115" i="1"/>
  <c r="P116" i="1"/>
  <c r="Q116" i="1"/>
  <c r="R116" i="1" s="1"/>
  <c r="S116" i="1" s="1"/>
  <c r="P117" i="1"/>
  <c r="Q117" i="1"/>
  <c r="R117" i="1" s="1"/>
  <c r="S117" i="1" s="1"/>
  <c r="P118" i="1"/>
  <c r="Q118" i="1"/>
  <c r="P119" i="1"/>
  <c r="Q119" i="1"/>
  <c r="R119" i="1"/>
  <c r="S119" i="1"/>
  <c r="P120" i="1"/>
  <c r="R120" i="1" s="1"/>
  <c r="S120" i="1" s="1"/>
  <c r="Q120" i="1"/>
  <c r="P121" i="1"/>
  <c r="Q121" i="1"/>
  <c r="R121" i="1" s="1"/>
  <c r="S121" i="1" s="1"/>
  <c r="P122" i="1"/>
  <c r="Q122" i="1"/>
  <c r="P123" i="1"/>
  <c r="Q123" i="1"/>
  <c r="R123" i="1" s="1"/>
  <c r="S123" i="1" s="1"/>
  <c r="P124" i="1"/>
  <c r="R124" i="1" s="1"/>
  <c r="S124" i="1" s="1"/>
  <c r="Q124" i="1"/>
  <c r="P125" i="1"/>
  <c r="Q125" i="1"/>
  <c r="P126" i="1"/>
  <c r="Q126" i="1"/>
  <c r="R126" i="1"/>
  <c r="S126" i="1" s="1"/>
  <c r="P127" i="1"/>
  <c r="R127" i="1" s="1"/>
  <c r="S127" i="1" s="1"/>
  <c r="Q127" i="1"/>
  <c r="P128" i="1"/>
  <c r="R128" i="1" s="1"/>
  <c r="S128" i="1" s="1"/>
  <c r="Q128" i="1"/>
  <c r="P129" i="1"/>
  <c r="Q129" i="1"/>
  <c r="P130" i="1"/>
  <c r="Q130" i="1"/>
  <c r="R130" i="1" s="1"/>
  <c r="S130" i="1"/>
  <c r="P131" i="1"/>
  <c r="Q131" i="1"/>
  <c r="P132" i="1"/>
  <c r="Q132" i="1"/>
  <c r="R132" i="1"/>
  <c r="S132" i="1" s="1"/>
  <c r="P133" i="1"/>
  <c r="Q133" i="1"/>
  <c r="R133" i="1"/>
  <c r="S133" i="1" s="1"/>
  <c r="P134" i="1"/>
  <c r="Q134" i="1"/>
  <c r="R134" i="1" s="1"/>
  <c r="S134" i="1" s="1"/>
  <c r="P135" i="1"/>
  <c r="Q135" i="1"/>
  <c r="P136" i="1"/>
  <c r="Q136" i="1"/>
  <c r="R136" i="1"/>
  <c r="S136" i="1" s="1"/>
  <c r="P137" i="1"/>
  <c r="Q137" i="1"/>
  <c r="P138" i="1"/>
  <c r="Q138" i="1"/>
  <c r="R138" i="1"/>
  <c r="S138" i="1" s="1"/>
  <c r="P139" i="1"/>
  <c r="Q139" i="1"/>
  <c r="R139" i="1"/>
  <c r="S139" i="1" s="1"/>
  <c r="P140" i="1"/>
  <c r="Q140" i="1"/>
  <c r="R140" i="1" s="1"/>
  <c r="S140" i="1" s="1"/>
  <c r="P141" i="1"/>
  <c r="Q141" i="1"/>
  <c r="R141" i="1" s="1"/>
  <c r="S141" i="1" s="1"/>
  <c r="P142" i="1"/>
  <c r="Q142" i="1"/>
  <c r="R142" i="1" s="1"/>
  <c r="S142" i="1"/>
  <c r="P143" i="1"/>
  <c r="Q143" i="1"/>
  <c r="P144" i="1"/>
  <c r="Q144" i="1"/>
  <c r="P145" i="1"/>
  <c r="R145" i="1" s="1"/>
  <c r="S145" i="1" s="1"/>
  <c r="Q145" i="1"/>
  <c r="P146" i="1"/>
  <c r="Q146" i="1"/>
  <c r="R146" i="1" s="1"/>
  <c r="S146" i="1" s="1"/>
  <c r="P147" i="1"/>
  <c r="Q147" i="1"/>
  <c r="P148" i="1"/>
  <c r="Q148" i="1"/>
  <c r="P149" i="1"/>
  <c r="Q149" i="1"/>
  <c r="R149" i="1"/>
  <c r="S149" i="1" s="1"/>
  <c r="P150" i="1"/>
  <c r="R150" i="1" s="1"/>
  <c r="S150" i="1" s="1"/>
  <c r="Q150" i="1"/>
  <c r="P151" i="1"/>
  <c r="R151" i="1" s="1"/>
  <c r="Q151" i="1"/>
  <c r="S151" i="1"/>
  <c r="P152" i="1"/>
  <c r="Q152" i="1"/>
  <c r="R152" i="1"/>
  <c r="S152" i="1"/>
  <c r="P153" i="1"/>
  <c r="Q153" i="1"/>
  <c r="R153" i="1"/>
  <c r="S153" i="1" s="1"/>
  <c r="P154" i="1"/>
  <c r="R154" i="1" s="1"/>
  <c r="S154" i="1" s="1"/>
  <c r="Q154" i="1"/>
  <c r="P155" i="1"/>
  <c r="Q155" i="1"/>
  <c r="R155" i="1"/>
  <c r="S155" i="1"/>
  <c r="P156" i="1"/>
  <c r="Q156" i="1"/>
  <c r="R156" i="1"/>
  <c r="S156" i="1" s="1"/>
  <c r="P157" i="1"/>
  <c r="Q157" i="1"/>
  <c r="R157" i="1"/>
  <c r="S157" i="1" s="1"/>
  <c r="P158" i="1"/>
  <c r="R158" i="1" s="1"/>
  <c r="S158" i="1" s="1"/>
  <c r="Q158" i="1"/>
  <c r="P159" i="1"/>
  <c r="Q159" i="1"/>
  <c r="R159" i="1"/>
  <c r="S159" i="1" s="1"/>
  <c r="P160" i="1"/>
  <c r="Q160" i="1"/>
  <c r="R160" i="1"/>
  <c r="S160" i="1"/>
  <c r="P161" i="1"/>
  <c r="Q161" i="1"/>
  <c r="P162" i="1"/>
  <c r="Q162" i="1"/>
  <c r="R162" i="1" s="1"/>
  <c r="S162" i="1" s="1"/>
  <c r="P163" i="1"/>
  <c r="Q163" i="1"/>
  <c r="R163" i="1"/>
  <c r="S163" i="1" s="1"/>
  <c r="P164" i="1"/>
  <c r="Q164" i="1"/>
  <c r="P165" i="1"/>
  <c r="Q165" i="1"/>
  <c r="P166" i="1"/>
  <c r="R166" i="1" s="1"/>
  <c r="S166" i="1" s="1"/>
  <c r="Q166" i="1"/>
  <c r="P167" i="1"/>
  <c r="Q167" i="1"/>
  <c r="R167" i="1"/>
  <c r="S167" i="1"/>
  <c r="P168" i="1"/>
  <c r="Q168" i="1"/>
  <c r="R168" i="1"/>
  <c r="S168" i="1" s="1"/>
  <c r="P169" i="1"/>
  <c r="Q169" i="1"/>
  <c r="R169" i="1" s="1"/>
  <c r="S169" i="1"/>
  <c r="P170" i="1"/>
  <c r="Q170" i="1"/>
  <c r="R170" i="1" s="1"/>
  <c r="S170" i="1" s="1"/>
  <c r="P171" i="1"/>
  <c r="Q171" i="1"/>
  <c r="R171" i="1"/>
  <c r="S171" i="1" s="1"/>
  <c r="P172" i="1"/>
  <c r="Q172" i="1"/>
  <c r="R172" i="1"/>
  <c r="S172" i="1" s="1"/>
  <c r="P173" i="1"/>
  <c r="Q173" i="1"/>
  <c r="R173" i="1" s="1"/>
  <c r="S173" i="1" s="1"/>
  <c r="P174" i="1"/>
  <c r="Q174" i="1"/>
  <c r="R174" i="1" s="1"/>
  <c r="S174" i="1" s="1"/>
  <c r="P175" i="1"/>
  <c r="R175" i="1" s="1"/>
  <c r="S175" i="1" s="1"/>
  <c r="Q175" i="1"/>
  <c r="P176" i="1"/>
  <c r="Q176" i="1"/>
  <c r="R176" i="1" s="1"/>
  <c r="S176" i="1" s="1"/>
  <c r="P177" i="1"/>
  <c r="Q177" i="1"/>
  <c r="R177" i="1"/>
  <c r="S177" i="1" s="1"/>
  <c r="P178" i="1"/>
  <c r="Q178" i="1"/>
  <c r="R178" i="1"/>
  <c r="S178" i="1" s="1"/>
  <c r="P179" i="1"/>
  <c r="Q179" i="1"/>
  <c r="P180" i="1"/>
  <c r="R180" i="1" s="1"/>
  <c r="S180" i="1" s="1"/>
  <c r="Q180" i="1"/>
  <c r="P181" i="1"/>
  <c r="Q181" i="1"/>
  <c r="R181" i="1"/>
  <c r="S181" i="1" s="1"/>
  <c r="P182" i="1"/>
  <c r="Q182" i="1"/>
  <c r="P183" i="1"/>
  <c r="R183" i="1" s="1"/>
  <c r="S183" i="1" s="1"/>
  <c r="Q183" i="1"/>
  <c r="P184" i="1"/>
  <c r="Q184" i="1"/>
  <c r="P185" i="1"/>
  <c r="Q185" i="1"/>
  <c r="R185" i="1"/>
  <c r="S185" i="1" s="1"/>
  <c r="P186" i="1"/>
  <c r="Q186" i="1"/>
  <c r="R186" i="1" s="1"/>
  <c r="S186" i="1" s="1"/>
  <c r="P187" i="1"/>
  <c r="R187" i="1" s="1"/>
  <c r="Q187" i="1"/>
  <c r="S187" i="1"/>
  <c r="P188" i="1"/>
  <c r="Q188" i="1"/>
  <c r="R188" i="1" s="1"/>
  <c r="S188" i="1" s="1"/>
  <c r="P189" i="1"/>
  <c r="Q189" i="1"/>
  <c r="R189" i="1"/>
  <c r="S189" i="1" s="1"/>
  <c r="P190" i="1"/>
  <c r="R190" i="1" s="1"/>
  <c r="S190" i="1" s="1"/>
  <c r="Q190" i="1"/>
  <c r="P191" i="1"/>
  <c r="Q191" i="1"/>
  <c r="R191" i="1"/>
  <c r="S191" i="1"/>
  <c r="P192" i="1"/>
  <c r="R192" i="1" s="1"/>
  <c r="S192" i="1" s="1"/>
  <c r="Q192" i="1"/>
  <c r="P193" i="1"/>
  <c r="Q193" i="1"/>
  <c r="R193" i="1"/>
  <c r="S193" i="1" s="1"/>
  <c r="P194" i="1"/>
  <c r="R194" i="1" s="1"/>
  <c r="S194" i="1" s="1"/>
  <c r="Q194" i="1"/>
  <c r="P195" i="1"/>
  <c r="Q195" i="1"/>
  <c r="R195" i="1"/>
  <c r="S195" i="1" s="1"/>
  <c r="P196" i="1"/>
  <c r="Q196" i="1"/>
  <c r="P197" i="1"/>
  <c r="Q197" i="1"/>
  <c r="P198" i="1"/>
  <c r="Q198" i="1"/>
  <c r="R198" i="1"/>
  <c r="S198" i="1" s="1"/>
  <c r="P199" i="1"/>
  <c r="Q199" i="1"/>
  <c r="R199" i="1"/>
  <c r="S199" i="1" s="1"/>
  <c r="P200" i="1"/>
  <c r="R200" i="1" s="1"/>
  <c r="S200" i="1" s="1"/>
  <c r="Q200" i="1"/>
  <c r="P201" i="1"/>
  <c r="Q201" i="1"/>
  <c r="P202" i="1"/>
  <c r="R202" i="1" s="1"/>
  <c r="Q202" i="1"/>
  <c r="S202" i="1"/>
  <c r="P203" i="1"/>
  <c r="Q203" i="1"/>
  <c r="R203" i="1" s="1"/>
  <c r="S203" i="1" s="1"/>
  <c r="P204" i="1"/>
  <c r="Q204" i="1"/>
  <c r="R204" i="1"/>
  <c r="S204" i="1" s="1"/>
  <c r="P205" i="1"/>
  <c r="Q205" i="1"/>
  <c r="R205" i="1"/>
  <c r="S205" i="1" s="1"/>
  <c r="P206" i="1"/>
  <c r="Q206" i="1"/>
  <c r="P207" i="1"/>
  <c r="R207" i="1" s="1"/>
  <c r="S207" i="1" s="1"/>
  <c r="Q207" i="1"/>
  <c r="P208" i="1"/>
  <c r="Q208" i="1"/>
  <c r="R208" i="1"/>
  <c r="S208" i="1" s="1"/>
  <c r="P209" i="1"/>
  <c r="Q209" i="1"/>
  <c r="P210" i="1"/>
  <c r="Q210" i="1"/>
  <c r="R210" i="1"/>
  <c r="S210" i="1" s="1"/>
  <c r="P211" i="1"/>
  <c r="Q211" i="1"/>
  <c r="R211" i="1" s="1"/>
  <c r="S211" i="1" s="1"/>
  <c r="P212" i="1"/>
  <c r="Q212" i="1"/>
  <c r="R212" i="1" s="1"/>
  <c r="S212" i="1" s="1"/>
  <c r="P213" i="1"/>
  <c r="Q213" i="1"/>
  <c r="R213" i="1" s="1"/>
  <c r="S213" i="1" s="1"/>
  <c r="P214" i="1"/>
  <c r="Q214" i="1"/>
  <c r="P215" i="1"/>
  <c r="Q215" i="1"/>
  <c r="P216" i="1"/>
  <c r="R216" i="1" s="1"/>
  <c r="S216" i="1" s="1"/>
  <c r="Q216" i="1"/>
  <c r="P217" i="1"/>
  <c r="R217" i="1" s="1"/>
  <c r="S217" i="1" s="1"/>
  <c r="Q217" i="1"/>
  <c r="P218" i="1"/>
  <c r="Q218" i="1"/>
  <c r="P219" i="1"/>
  <c r="Q219" i="1"/>
  <c r="P220" i="1"/>
  <c r="Q220" i="1"/>
  <c r="P221" i="1"/>
  <c r="Q221" i="1"/>
  <c r="P222" i="1"/>
  <c r="R222" i="1" s="1"/>
  <c r="S222" i="1" s="1"/>
  <c r="Q222" i="1"/>
  <c r="P223" i="1"/>
  <c r="R223" i="1" s="1"/>
  <c r="Q223" i="1"/>
  <c r="S223" i="1"/>
  <c r="P224" i="1"/>
  <c r="Q224" i="1"/>
  <c r="R224" i="1"/>
  <c r="S224" i="1"/>
  <c r="P225" i="1"/>
  <c r="Q225" i="1"/>
  <c r="P226" i="1"/>
  <c r="R226" i="1" s="1"/>
  <c r="S226" i="1" s="1"/>
  <c r="Q226" i="1"/>
  <c r="P227" i="1"/>
  <c r="Q227" i="1"/>
  <c r="R227" i="1"/>
  <c r="S227" i="1" s="1"/>
  <c r="P228" i="1"/>
  <c r="Q228" i="1"/>
  <c r="R228" i="1"/>
  <c r="S228" i="1" s="1"/>
  <c r="P229" i="1"/>
  <c r="Q229" i="1"/>
  <c r="R229" i="1"/>
  <c r="S229" i="1" s="1"/>
  <c r="P230" i="1"/>
  <c r="R230" i="1" s="1"/>
  <c r="S230" i="1" s="1"/>
  <c r="Q230" i="1"/>
  <c r="P231" i="1"/>
  <c r="Q231" i="1"/>
  <c r="R231" i="1" s="1"/>
  <c r="S231" i="1" s="1"/>
  <c r="P232" i="1"/>
  <c r="Q232" i="1"/>
  <c r="R232" i="1"/>
  <c r="S232" i="1"/>
  <c r="P233" i="1"/>
  <c r="Q233" i="1"/>
  <c r="P234" i="1"/>
  <c r="Q234" i="1"/>
  <c r="R234" i="1" s="1"/>
  <c r="S234" i="1" s="1"/>
  <c r="P235" i="1"/>
  <c r="Q235" i="1"/>
  <c r="R235" i="1"/>
  <c r="S235" i="1"/>
  <c r="P236" i="1"/>
  <c r="Q236" i="1"/>
  <c r="P237" i="1"/>
  <c r="Q237" i="1"/>
  <c r="P238" i="1"/>
  <c r="Q238" i="1"/>
  <c r="R238" i="1"/>
  <c r="S238" i="1" s="1"/>
  <c r="P239" i="1"/>
  <c r="R239" i="1" s="1"/>
  <c r="S239" i="1" s="1"/>
  <c r="Q239" i="1"/>
  <c r="P240" i="1"/>
  <c r="Q240" i="1"/>
  <c r="R240" i="1"/>
  <c r="S240" i="1" s="1"/>
  <c r="P241" i="1"/>
  <c r="Q241" i="1"/>
  <c r="R241" i="1"/>
  <c r="S241" i="1"/>
  <c r="P242" i="1"/>
  <c r="Q242" i="1"/>
  <c r="R242" i="1" s="1"/>
  <c r="S242" i="1" s="1"/>
  <c r="P243" i="1"/>
  <c r="Q243" i="1"/>
  <c r="R243" i="1"/>
  <c r="S243" i="1" s="1"/>
  <c r="P244" i="1"/>
  <c r="Q244" i="1"/>
  <c r="R244" i="1"/>
  <c r="S244" i="1" s="1"/>
  <c r="P245" i="1"/>
  <c r="Q245" i="1"/>
  <c r="R245" i="1" s="1"/>
  <c r="S245" i="1" s="1"/>
  <c r="P246" i="1"/>
  <c r="Q246" i="1"/>
  <c r="P247" i="1"/>
  <c r="R247" i="1" s="1"/>
  <c r="S247" i="1" s="1"/>
  <c r="Q247" i="1"/>
  <c r="P248" i="1"/>
  <c r="Q248" i="1"/>
  <c r="R248" i="1" s="1"/>
  <c r="S248" i="1" s="1"/>
  <c r="P249" i="1"/>
  <c r="Q249" i="1"/>
  <c r="R249" i="1" s="1"/>
  <c r="S249" i="1" s="1"/>
  <c r="P250" i="1"/>
  <c r="Q250" i="1"/>
  <c r="R250" i="1"/>
  <c r="S250" i="1" s="1"/>
  <c r="P251" i="1"/>
  <c r="R251" i="1" s="1"/>
  <c r="S251" i="1" s="1"/>
  <c r="Q251" i="1"/>
  <c r="P252" i="1"/>
  <c r="R252" i="1" s="1"/>
  <c r="S252" i="1" s="1"/>
  <c r="Q252" i="1"/>
  <c r="P253" i="1"/>
  <c r="Q253" i="1"/>
  <c r="R253" i="1"/>
  <c r="S253" i="1"/>
  <c r="P254" i="1"/>
  <c r="Q254" i="1"/>
  <c r="R254" i="1" s="1"/>
  <c r="S254" i="1" s="1"/>
  <c r="P255" i="1"/>
  <c r="R255" i="1" s="1"/>
  <c r="S255" i="1" s="1"/>
  <c r="Q255" i="1"/>
  <c r="P256" i="1"/>
  <c r="R256" i="1" s="1"/>
  <c r="S256" i="1" s="1"/>
  <c r="Q256" i="1"/>
  <c r="P257" i="1"/>
  <c r="Q257" i="1"/>
  <c r="R257" i="1"/>
  <c r="S257" i="1" s="1"/>
  <c r="P258" i="1"/>
  <c r="R258" i="1" s="1"/>
  <c r="S258" i="1" s="1"/>
  <c r="Q258" i="1"/>
  <c r="P259" i="1"/>
  <c r="R259" i="1" s="1"/>
  <c r="S259" i="1" s="1"/>
  <c r="Q259" i="1"/>
  <c r="P260" i="1"/>
  <c r="Q260" i="1"/>
  <c r="R260" i="1"/>
  <c r="S260" i="1" s="1"/>
  <c r="P261" i="1"/>
  <c r="Q261" i="1"/>
  <c r="R261" i="1"/>
  <c r="S261" i="1" s="1"/>
  <c r="P262" i="1"/>
  <c r="R262" i="1" s="1"/>
  <c r="S262" i="1" s="1"/>
  <c r="Q262" i="1"/>
  <c r="P263" i="1"/>
  <c r="R263" i="1" s="1"/>
  <c r="Q263" i="1"/>
  <c r="S263" i="1"/>
  <c r="P264" i="1"/>
  <c r="Q264" i="1"/>
  <c r="R264" i="1" s="1"/>
  <c r="S264" i="1" s="1"/>
  <c r="P265" i="1"/>
  <c r="R265" i="1" s="1"/>
  <c r="S265" i="1" s="1"/>
  <c r="Q265" i="1"/>
  <c r="P266" i="1"/>
  <c r="Q266" i="1"/>
  <c r="R266" i="1" s="1"/>
  <c r="S266" i="1" s="1"/>
  <c r="P267" i="1"/>
  <c r="Q267" i="1"/>
  <c r="R267" i="1" s="1"/>
  <c r="S267" i="1" s="1"/>
  <c r="P268" i="1"/>
  <c r="Q268" i="1"/>
  <c r="R268" i="1"/>
  <c r="S268" i="1"/>
  <c r="P269" i="1"/>
  <c r="R269" i="1" s="1"/>
  <c r="S269" i="1" s="1"/>
  <c r="Q269" i="1"/>
  <c r="P270" i="1"/>
  <c r="R270" i="1" s="1"/>
  <c r="S270" i="1" s="1"/>
  <c r="Q270" i="1"/>
  <c r="P271" i="1"/>
  <c r="Q271" i="1"/>
  <c r="R271" i="1"/>
  <c r="S271" i="1" s="1"/>
  <c r="P272" i="1"/>
  <c r="Q272" i="1"/>
  <c r="P273" i="1"/>
  <c r="R273" i="1" s="1"/>
  <c r="S273" i="1" s="1"/>
  <c r="Q273" i="1"/>
  <c r="P274" i="1"/>
  <c r="R274" i="1" s="1"/>
  <c r="S274" i="1" s="1"/>
  <c r="Q274" i="1"/>
  <c r="P275" i="1"/>
  <c r="Q275" i="1"/>
  <c r="P276" i="1"/>
  <c r="Q276" i="1"/>
  <c r="P277" i="1"/>
  <c r="R277" i="1" s="1"/>
  <c r="S277" i="1" s="1"/>
  <c r="Q277" i="1"/>
  <c r="P278" i="1"/>
  <c r="R278" i="1" s="1"/>
  <c r="S278" i="1" s="1"/>
  <c r="Q278" i="1"/>
  <c r="P279" i="1"/>
  <c r="Q279" i="1"/>
  <c r="P280" i="1"/>
  <c r="Q280" i="1"/>
  <c r="R280" i="1"/>
  <c r="S280" i="1" s="1"/>
  <c r="P281" i="1"/>
  <c r="Q281" i="1"/>
  <c r="R281" i="1"/>
  <c r="S281" i="1" s="1"/>
  <c r="P282" i="1"/>
  <c r="R282" i="1" s="1"/>
  <c r="S282" i="1" s="1"/>
  <c r="Q282" i="1"/>
  <c r="P283" i="1"/>
  <c r="R283" i="1" s="1"/>
  <c r="S283" i="1" s="1"/>
  <c r="Q283" i="1"/>
  <c r="P284" i="1"/>
  <c r="Q284" i="1"/>
  <c r="P285" i="1"/>
  <c r="R285" i="1" s="1"/>
  <c r="S285" i="1" s="1"/>
  <c r="Q285" i="1"/>
  <c r="P286" i="1"/>
  <c r="Q286" i="1"/>
  <c r="R286" i="1"/>
  <c r="S286" i="1"/>
  <c r="P287" i="1"/>
  <c r="Q287" i="1"/>
  <c r="P288" i="1"/>
  <c r="R288" i="1" s="1"/>
  <c r="S288" i="1" s="1"/>
  <c r="Q288" i="1"/>
  <c r="P289" i="1"/>
  <c r="R289" i="1" s="1"/>
  <c r="Q289" i="1"/>
  <c r="S289" i="1"/>
  <c r="P290" i="1"/>
  <c r="Q290" i="1"/>
  <c r="R290" i="1"/>
  <c r="S290" i="1" s="1"/>
  <c r="P291" i="1"/>
  <c r="Q291" i="1"/>
  <c r="P292" i="1"/>
  <c r="R292" i="1" s="1"/>
  <c r="S292" i="1" s="1"/>
  <c r="Q292" i="1"/>
  <c r="P293" i="1"/>
  <c r="Q293" i="1"/>
  <c r="R293" i="1" s="1"/>
  <c r="S293" i="1"/>
  <c r="P294" i="1"/>
  <c r="Q294" i="1"/>
  <c r="R294" i="1" s="1"/>
  <c r="S294" i="1" s="1"/>
  <c r="P295" i="1"/>
  <c r="Q295" i="1"/>
  <c r="R295" i="1"/>
  <c r="S295" i="1" s="1"/>
  <c r="P296" i="1"/>
  <c r="R296" i="1" s="1"/>
  <c r="S296" i="1" s="1"/>
  <c r="Q296" i="1"/>
  <c r="P297" i="1"/>
  <c r="R297" i="1" s="1"/>
  <c r="S297" i="1" s="1"/>
  <c r="Q297" i="1"/>
  <c r="P298" i="1"/>
  <c r="Q298" i="1"/>
  <c r="R298" i="1"/>
  <c r="S298" i="1" s="1"/>
  <c r="P299" i="1"/>
  <c r="R299" i="1" s="1"/>
  <c r="Q299" i="1"/>
  <c r="S299" i="1"/>
  <c r="P300" i="1"/>
  <c r="Q300" i="1"/>
  <c r="R300" i="1" s="1"/>
  <c r="S300" i="1" s="1"/>
  <c r="P301" i="1"/>
  <c r="Q301" i="1"/>
  <c r="R301" i="1"/>
  <c r="S301" i="1" s="1"/>
  <c r="P302" i="1"/>
  <c r="Q302" i="1"/>
  <c r="R302" i="1" s="1"/>
  <c r="S302" i="1" s="1"/>
  <c r="P303" i="1"/>
  <c r="Q303" i="1"/>
  <c r="R303" i="1"/>
  <c r="S303" i="1" s="1"/>
  <c r="P304" i="1"/>
  <c r="Q304" i="1"/>
  <c r="R304" i="1"/>
  <c r="S304" i="1" s="1"/>
  <c r="P305" i="1"/>
  <c r="Q305" i="1"/>
  <c r="R305" i="1" s="1"/>
  <c r="S305" i="1" s="1"/>
  <c r="P306" i="1"/>
  <c r="Q306" i="1"/>
  <c r="P307" i="1"/>
  <c r="Q307" i="1"/>
  <c r="P308" i="1"/>
  <c r="R308" i="1" s="1"/>
  <c r="S308" i="1" s="1"/>
  <c r="Q308" i="1"/>
  <c r="P309" i="1"/>
  <c r="Q309" i="1"/>
  <c r="R309" i="1" s="1"/>
  <c r="S309" i="1" s="1"/>
  <c r="P310" i="1"/>
  <c r="Q310" i="1"/>
  <c r="R310" i="1"/>
  <c r="S310" i="1" s="1"/>
  <c r="P311" i="1"/>
  <c r="Q311" i="1"/>
  <c r="R311" i="1" s="1"/>
  <c r="S311" i="1" s="1"/>
  <c r="P312" i="1"/>
  <c r="R312" i="1" s="1"/>
  <c r="S312" i="1" s="1"/>
  <c r="Q312" i="1"/>
  <c r="P313" i="1"/>
  <c r="R313" i="1" s="1"/>
  <c r="S313" i="1" s="1"/>
  <c r="Q313" i="1"/>
  <c r="P314" i="1"/>
  <c r="Q314" i="1"/>
  <c r="P315" i="1"/>
  <c r="Q315" i="1"/>
  <c r="R315" i="1" s="1"/>
  <c r="S315" i="1" s="1"/>
  <c r="P316" i="1"/>
  <c r="Q316" i="1"/>
  <c r="R316" i="1"/>
  <c r="S316" i="1"/>
  <c r="P317" i="1"/>
  <c r="R317" i="1" s="1"/>
  <c r="S317" i="1" s="1"/>
  <c r="Q317" i="1"/>
  <c r="P318" i="1"/>
  <c r="R318" i="1" s="1"/>
  <c r="S318" i="1" s="1"/>
  <c r="Q318" i="1"/>
  <c r="P319" i="1"/>
  <c r="Q319" i="1"/>
  <c r="R319" i="1"/>
  <c r="S319" i="1" s="1"/>
  <c r="P320" i="1"/>
  <c r="Q320" i="1"/>
  <c r="R320" i="1" s="1"/>
  <c r="S320" i="1" s="1"/>
  <c r="P321" i="1"/>
  <c r="R321" i="1" s="1"/>
  <c r="S321" i="1" s="1"/>
  <c r="Q321" i="1"/>
  <c r="P322" i="1"/>
  <c r="Q322" i="1"/>
  <c r="R322" i="1"/>
  <c r="S322" i="1"/>
  <c r="P323" i="1"/>
  <c r="Q323" i="1"/>
  <c r="R323" i="1" s="1"/>
  <c r="S323" i="1" s="1"/>
  <c r="P324" i="1"/>
  <c r="Q324" i="1"/>
  <c r="R324" i="1"/>
  <c r="S324" i="1" s="1"/>
  <c r="P325" i="1"/>
  <c r="R325" i="1" s="1"/>
  <c r="Q325" i="1"/>
  <c r="S325" i="1"/>
  <c r="P326" i="1"/>
  <c r="Q326" i="1"/>
  <c r="R326" i="1" s="1"/>
  <c r="S326" i="1" s="1"/>
  <c r="P327" i="1"/>
  <c r="Q327" i="1"/>
  <c r="R327" i="1"/>
  <c r="S327" i="1" s="1"/>
  <c r="P328" i="1"/>
  <c r="Q328" i="1"/>
  <c r="R328" i="1" s="1"/>
  <c r="S328" i="1"/>
  <c r="P329" i="1"/>
  <c r="Q329" i="1"/>
  <c r="P330" i="1"/>
  <c r="R330" i="1" s="1"/>
  <c r="S330" i="1" s="1"/>
  <c r="Q330" i="1"/>
  <c r="P331" i="1"/>
  <c r="Q331" i="1"/>
  <c r="R331" i="1"/>
  <c r="S331" i="1"/>
  <c r="P332" i="1"/>
  <c r="Q332" i="1"/>
  <c r="R332" i="1" s="1"/>
  <c r="S332" i="1" s="1"/>
  <c r="P333" i="1"/>
  <c r="Q333" i="1"/>
  <c r="R333" i="1"/>
  <c r="S333" i="1" s="1"/>
  <c r="P334" i="1"/>
  <c r="Q334" i="1"/>
  <c r="R334" i="1" s="1"/>
  <c r="S334" i="1" s="1"/>
  <c r="P335" i="1"/>
  <c r="Q335" i="1"/>
  <c r="R335" i="1"/>
  <c r="S335" i="1" s="1"/>
  <c r="P336" i="1"/>
  <c r="R336" i="1" s="1"/>
  <c r="S336" i="1" s="1"/>
  <c r="Q336" i="1"/>
  <c r="P337" i="1"/>
  <c r="R337" i="1" s="1"/>
  <c r="Q337" i="1"/>
  <c r="S337" i="1"/>
  <c r="P338" i="1"/>
  <c r="Q338" i="1"/>
  <c r="R338" i="1" s="1"/>
  <c r="S338" i="1" s="1"/>
  <c r="P339" i="1"/>
  <c r="Q339" i="1"/>
  <c r="R339" i="1"/>
  <c r="S339" i="1" s="1"/>
  <c r="P340" i="1"/>
  <c r="R340" i="1" s="1"/>
  <c r="S340" i="1" s="1"/>
  <c r="Q340" i="1"/>
  <c r="P341" i="1"/>
  <c r="Q341" i="1"/>
  <c r="R341" i="1" s="1"/>
  <c r="S341" i="1" s="1"/>
  <c r="P342" i="1"/>
  <c r="Q342" i="1"/>
  <c r="R342" i="1"/>
  <c r="S342" i="1" s="1"/>
  <c r="P343" i="1"/>
  <c r="R343" i="1" s="1"/>
  <c r="S343" i="1" s="1"/>
  <c r="Q343" i="1"/>
  <c r="P344" i="1"/>
  <c r="Q344" i="1"/>
  <c r="R344" i="1" s="1"/>
  <c r="S344" i="1"/>
  <c r="P345" i="1"/>
  <c r="R345" i="1" s="1"/>
  <c r="S345" i="1" s="1"/>
  <c r="Q345" i="1"/>
  <c r="P346" i="1"/>
  <c r="Q346" i="1"/>
  <c r="R346" i="1"/>
  <c r="S346" i="1"/>
  <c r="P347" i="1"/>
  <c r="Q347" i="1"/>
  <c r="P348" i="1"/>
  <c r="Q348" i="1"/>
  <c r="R348" i="1"/>
  <c r="S348" i="1" s="1"/>
  <c r="P349" i="1"/>
  <c r="R349" i="1" s="1"/>
  <c r="S349" i="1" s="1"/>
  <c r="Q349" i="1"/>
  <c r="P350" i="1"/>
  <c r="Q350" i="1"/>
  <c r="R350" i="1" s="1"/>
  <c r="S350" i="1" s="1"/>
  <c r="P351" i="1"/>
  <c r="R351" i="1" s="1"/>
  <c r="S351" i="1" s="1"/>
  <c r="Q351" i="1"/>
  <c r="P352" i="1"/>
  <c r="R352" i="1" s="1"/>
  <c r="S352" i="1" s="1"/>
  <c r="Q352" i="1"/>
  <c r="P353" i="1"/>
  <c r="Q353" i="1"/>
  <c r="P354" i="1"/>
  <c r="R354" i="1" s="1"/>
  <c r="S354" i="1" s="1"/>
  <c r="Q354" i="1"/>
  <c r="P355" i="1"/>
  <c r="Q355" i="1"/>
  <c r="R355" i="1"/>
  <c r="S355" i="1" s="1"/>
  <c r="P356" i="1"/>
  <c r="Q356" i="1"/>
  <c r="P357" i="1"/>
  <c r="Q357" i="1"/>
  <c r="R357" i="1"/>
  <c r="S357" i="1" s="1"/>
  <c r="P358" i="1"/>
  <c r="Q358" i="1"/>
  <c r="R358" i="1" s="1"/>
  <c r="S358" i="1" s="1"/>
  <c r="P359" i="1"/>
  <c r="Q359" i="1"/>
  <c r="R359" i="1" s="1"/>
  <c r="S359" i="1" s="1"/>
  <c r="P360" i="1"/>
  <c r="Q360" i="1"/>
  <c r="R360" i="1" s="1"/>
  <c r="S360" i="1" s="1"/>
  <c r="P361" i="1"/>
  <c r="R361" i="1" s="1"/>
  <c r="S361" i="1" s="1"/>
  <c r="Q361" i="1"/>
  <c r="P362" i="1"/>
  <c r="R362" i="1" s="1"/>
  <c r="S362" i="1" s="1"/>
  <c r="Q362" i="1"/>
  <c r="P363" i="1"/>
  <c r="Q363" i="1"/>
  <c r="R363" i="1"/>
  <c r="S363" i="1" s="1"/>
  <c r="P364" i="1"/>
  <c r="R364" i="1" s="1"/>
  <c r="S364" i="1" s="1"/>
  <c r="Q364" i="1"/>
  <c r="P365" i="1"/>
  <c r="Q365" i="1"/>
  <c r="R365" i="1"/>
  <c r="S365" i="1" s="1"/>
  <c r="P366" i="1"/>
  <c r="Q366" i="1"/>
  <c r="R366" i="1" s="1"/>
  <c r="S366" i="1" s="1"/>
  <c r="P367" i="1"/>
  <c r="Q367" i="1"/>
  <c r="R367" i="1"/>
  <c r="S367" i="1"/>
  <c r="P368" i="1"/>
  <c r="R368" i="1" s="1"/>
  <c r="S368" i="1" s="1"/>
  <c r="Q368" i="1"/>
  <c r="P369" i="1"/>
  <c r="Q369" i="1"/>
  <c r="R369" i="1"/>
  <c r="S369" i="1" s="1"/>
  <c r="P370" i="1"/>
  <c r="Q370" i="1"/>
  <c r="R370" i="1"/>
  <c r="S370" i="1" s="1"/>
  <c r="P371" i="1"/>
  <c r="Q371" i="1"/>
  <c r="R371" i="1"/>
  <c r="S371" i="1" s="1"/>
  <c r="P372" i="1"/>
  <c r="R372" i="1" s="1"/>
  <c r="S372" i="1" s="1"/>
  <c r="Q372" i="1"/>
  <c r="P373" i="1"/>
  <c r="Q373" i="1"/>
  <c r="R373" i="1"/>
  <c r="S373" i="1" s="1"/>
  <c r="P374" i="1"/>
  <c r="Q374" i="1"/>
  <c r="P375" i="1"/>
  <c r="Q375" i="1"/>
  <c r="R375" i="1"/>
  <c r="S375" i="1" s="1"/>
  <c r="P376" i="1"/>
  <c r="Q376" i="1"/>
  <c r="R376" i="1"/>
  <c r="S376" i="1" s="1"/>
  <c r="P377" i="1"/>
  <c r="Q377" i="1"/>
  <c r="R377" i="1" s="1"/>
  <c r="S377" i="1" s="1"/>
  <c r="P378" i="1"/>
  <c r="Q378" i="1"/>
  <c r="R378" i="1" s="1"/>
  <c r="S378" i="1" s="1"/>
  <c r="P379" i="1"/>
  <c r="Q379" i="1"/>
  <c r="P380" i="1"/>
  <c r="Q380" i="1"/>
  <c r="P381" i="1"/>
  <c r="R381" i="1" s="1"/>
  <c r="S381" i="1" s="1"/>
  <c r="Q381" i="1"/>
  <c r="P382" i="1"/>
  <c r="Q382" i="1"/>
  <c r="R382" i="1"/>
  <c r="S382" i="1" s="1"/>
  <c r="P383" i="1"/>
  <c r="Q383" i="1"/>
  <c r="P384" i="1"/>
  <c r="R384" i="1" s="1"/>
  <c r="S384" i="1" s="1"/>
  <c r="Q384" i="1"/>
  <c r="P385" i="1"/>
  <c r="Q385" i="1"/>
  <c r="P386" i="1"/>
  <c r="Q386" i="1"/>
  <c r="R386" i="1"/>
  <c r="S386" i="1" s="1"/>
  <c r="P387" i="1"/>
  <c r="R387" i="1" s="1"/>
  <c r="S387" i="1" s="1"/>
  <c r="Q387" i="1"/>
  <c r="P388" i="1"/>
  <c r="Q388" i="1"/>
  <c r="R388" i="1"/>
  <c r="S388" i="1" s="1"/>
  <c r="P389" i="1"/>
  <c r="Q389" i="1"/>
  <c r="P390" i="1"/>
  <c r="R390" i="1" s="1"/>
  <c r="S390" i="1" s="1"/>
  <c r="Q390" i="1"/>
  <c r="P391" i="1"/>
  <c r="Q391" i="1"/>
  <c r="R391" i="1"/>
  <c r="S391" i="1" s="1"/>
  <c r="P392" i="1"/>
  <c r="Q392" i="1"/>
  <c r="P393" i="1"/>
  <c r="R393" i="1" s="1"/>
  <c r="S393" i="1" s="1"/>
  <c r="Q393" i="1"/>
  <c r="P394" i="1"/>
  <c r="Q394" i="1"/>
  <c r="R394" i="1" s="1"/>
  <c r="S394" i="1" s="1"/>
  <c r="P395" i="1"/>
  <c r="R395" i="1" s="1"/>
  <c r="S395" i="1" s="1"/>
  <c r="Q395" i="1"/>
  <c r="P396" i="1"/>
  <c r="Q396" i="1"/>
  <c r="R396" i="1" s="1"/>
  <c r="S396" i="1" s="1"/>
  <c r="P397" i="1"/>
  <c r="Q397" i="1"/>
  <c r="R397" i="1"/>
  <c r="S397" i="1"/>
  <c r="P398" i="1"/>
  <c r="Q398" i="1"/>
  <c r="P399" i="1"/>
  <c r="Q399" i="1"/>
  <c r="P400" i="1"/>
  <c r="Q400" i="1"/>
  <c r="R400" i="1"/>
  <c r="S400" i="1" s="1"/>
  <c r="P401" i="1"/>
  <c r="Q401" i="1"/>
  <c r="R401" i="1"/>
  <c r="S401" i="1" s="1"/>
  <c r="P402" i="1"/>
  <c r="R402" i="1" s="1"/>
  <c r="S402" i="1" s="1"/>
  <c r="Q402" i="1"/>
  <c r="P403" i="1"/>
  <c r="R403" i="1" s="1"/>
  <c r="S403" i="1" s="1"/>
  <c r="Q403" i="1"/>
  <c r="P404" i="1"/>
  <c r="Q404" i="1"/>
  <c r="R404" i="1" s="1"/>
  <c r="S404" i="1" s="1"/>
  <c r="P405" i="1"/>
  <c r="R405" i="1" s="1"/>
  <c r="S405" i="1" s="1"/>
  <c r="Q405" i="1"/>
  <c r="P406" i="1"/>
  <c r="R406" i="1" s="1"/>
  <c r="S406" i="1" s="1"/>
  <c r="Q406" i="1"/>
  <c r="P407" i="1"/>
  <c r="Q407" i="1"/>
  <c r="R407" i="1"/>
  <c r="S407" i="1" s="1"/>
  <c r="P408" i="1"/>
  <c r="Q408" i="1"/>
  <c r="R408" i="1"/>
  <c r="S408" i="1" s="1"/>
  <c r="P409" i="1"/>
  <c r="Q409" i="1"/>
  <c r="P410" i="1"/>
  <c r="Q410" i="1"/>
  <c r="R410" i="1" s="1"/>
  <c r="S410" i="1" s="1"/>
  <c r="P411" i="1"/>
  <c r="Q411" i="1"/>
  <c r="R411" i="1" s="1"/>
  <c r="S411" i="1" s="1"/>
  <c r="P412" i="1"/>
  <c r="Q412" i="1"/>
  <c r="P413" i="1"/>
  <c r="R413" i="1" s="1"/>
  <c r="S413" i="1" s="1"/>
  <c r="Q413" i="1"/>
  <c r="P414" i="1"/>
  <c r="R414" i="1" s="1"/>
  <c r="S414" i="1" s="1"/>
  <c r="Q414" i="1"/>
  <c r="P415" i="1"/>
  <c r="Q415" i="1"/>
  <c r="R415" i="1" s="1"/>
  <c r="S415" i="1"/>
  <c r="P416" i="1"/>
  <c r="Q416" i="1"/>
  <c r="R416" i="1" s="1"/>
  <c r="S416" i="1" s="1"/>
  <c r="P417" i="1"/>
  <c r="R417" i="1" s="1"/>
  <c r="S417" i="1" s="1"/>
  <c r="Q417" i="1"/>
  <c r="P418" i="1"/>
  <c r="Q418" i="1"/>
  <c r="R418" i="1"/>
  <c r="S418" i="1" s="1"/>
  <c r="P419" i="1"/>
  <c r="Q419" i="1"/>
  <c r="R419" i="1" s="1"/>
  <c r="S419" i="1" s="1"/>
  <c r="P420" i="1"/>
  <c r="Q420" i="1"/>
  <c r="R420" i="1" s="1"/>
  <c r="S420" i="1" s="1"/>
  <c r="P421" i="1"/>
  <c r="R421" i="1" s="1"/>
  <c r="S421" i="1" s="1"/>
  <c r="Q421" i="1"/>
  <c r="P422" i="1"/>
  <c r="Q422" i="1"/>
  <c r="R422" i="1" s="1"/>
  <c r="S422" i="1" s="1"/>
  <c r="P423" i="1"/>
  <c r="Q423" i="1"/>
  <c r="P424" i="1"/>
  <c r="R424" i="1" s="1"/>
  <c r="S424" i="1" s="1"/>
  <c r="Q424" i="1"/>
  <c r="P425" i="1"/>
  <c r="Q425" i="1"/>
  <c r="R425" i="1"/>
  <c r="S425" i="1" s="1"/>
  <c r="P426" i="1"/>
  <c r="Q426" i="1"/>
  <c r="R426" i="1"/>
  <c r="S426" i="1" s="1"/>
  <c r="P427" i="1"/>
  <c r="Q427" i="1"/>
  <c r="R427" i="1"/>
  <c r="S427" i="1" s="1"/>
  <c r="P428" i="1"/>
  <c r="Q428" i="1"/>
  <c r="P429" i="1"/>
  <c r="Q429" i="1"/>
  <c r="P430" i="1"/>
  <c r="R430" i="1" s="1"/>
  <c r="S430" i="1" s="1"/>
  <c r="Q430" i="1"/>
  <c r="P431" i="1"/>
  <c r="Q431" i="1"/>
  <c r="R431" i="1"/>
  <c r="S431" i="1" s="1"/>
  <c r="P432" i="1"/>
  <c r="R432" i="1" s="1"/>
  <c r="S432" i="1" s="1"/>
  <c r="Q432" i="1"/>
  <c r="P433" i="1"/>
  <c r="R433" i="1" s="1"/>
  <c r="S433" i="1" s="1"/>
  <c r="Q433" i="1"/>
  <c r="P434" i="1"/>
  <c r="Q434" i="1"/>
  <c r="P435" i="1"/>
  <c r="Q435" i="1"/>
  <c r="P436" i="1"/>
  <c r="R436" i="1" s="1"/>
  <c r="Q436" i="1"/>
  <c r="S436" i="1"/>
  <c r="P437" i="1"/>
  <c r="Q437" i="1"/>
  <c r="R437" i="1"/>
  <c r="S437" i="1" s="1"/>
  <c r="P438" i="1"/>
  <c r="R438" i="1" s="1"/>
  <c r="S438" i="1" s="1"/>
  <c r="Q438" i="1"/>
  <c r="P439" i="1"/>
  <c r="Q439" i="1"/>
  <c r="P440" i="1"/>
  <c r="Q440" i="1"/>
  <c r="R440" i="1" s="1"/>
  <c r="S440" i="1" s="1"/>
  <c r="P441" i="1"/>
  <c r="Q441" i="1"/>
  <c r="R441" i="1"/>
  <c r="S441" i="1" s="1"/>
  <c r="P442" i="1"/>
  <c r="Q442" i="1"/>
  <c r="R442" i="1"/>
  <c r="S442" i="1" s="1"/>
  <c r="P443" i="1"/>
  <c r="R443" i="1" s="1"/>
  <c r="S443" i="1" s="1"/>
  <c r="Q443" i="1"/>
  <c r="P444" i="1"/>
  <c r="Q444" i="1"/>
  <c r="P445" i="1"/>
  <c r="Q445" i="1"/>
  <c r="R445" i="1"/>
  <c r="S445" i="1"/>
  <c r="P446" i="1"/>
  <c r="Q446" i="1"/>
  <c r="R446" i="1" s="1"/>
  <c r="S446" i="1"/>
  <c r="P447" i="1"/>
  <c r="R447" i="1" s="1"/>
  <c r="S447" i="1" s="1"/>
  <c r="Q447" i="1"/>
  <c r="P448" i="1"/>
  <c r="Q448" i="1"/>
  <c r="R448" i="1"/>
  <c r="S448" i="1" s="1"/>
  <c r="P449" i="1"/>
  <c r="Q449" i="1"/>
  <c r="R449" i="1"/>
  <c r="S449" i="1" s="1"/>
  <c r="P450" i="1"/>
  <c r="Q450" i="1"/>
  <c r="R450" i="1"/>
  <c r="S450" i="1" s="1"/>
  <c r="P451" i="1"/>
  <c r="Q451" i="1"/>
  <c r="R451" i="1"/>
  <c r="S451" i="1" s="1"/>
  <c r="P452" i="1"/>
  <c r="Q452" i="1"/>
  <c r="R452" i="1" s="1"/>
  <c r="S452" i="1" s="1"/>
  <c r="P453" i="1"/>
  <c r="Q453" i="1"/>
  <c r="R453" i="1"/>
  <c r="S453" i="1" s="1"/>
  <c r="P454" i="1"/>
  <c r="Q454" i="1"/>
  <c r="R454" i="1"/>
  <c r="S454" i="1" s="1"/>
  <c r="P455" i="1"/>
  <c r="Q455" i="1"/>
  <c r="R455" i="1" s="1"/>
  <c r="S455" i="1" s="1"/>
  <c r="P456" i="1"/>
  <c r="Q456" i="1"/>
  <c r="R456" i="1" s="1"/>
  <c r="S456" i="1" s="1"/>
  <c r="P457" i="1"/>
  <c r="Q457" i="1"/>
  <c r="R457" i="1"/>
  <c r="S457" i="1" s="1"/>
  <c r="P458" i="1"/>
  <c r="Q458" i="1"/>
  <c r="R458" i="1" s="1"/>
  <c r="S458" i="1" s="1"/>
  <c r="P459" i="1"/>
  <c r="Q459" i="1"/>
  <c r="R459" i="1"/>
  <c r="S459" i="1" s="1"/>
  <c r="P460" i="1"/>
  <c r="Q460" i="1"/>
  <c r="R460" i="1" s="1"/>
  <c r="S460" i="1" s="1"/>
  <c r="P461" i="1"/>
  <c r="Q461" i="1"/>
  <c r="R461" i="1"/>
  <c r="S461" i="1" s="1"/>
  <c r="P462" i="1"/>
  <c r="R462" i="1" s="1"/>
  <c r="S462" i="1" s="1"/>
  <c r="Q462" i="1"/>
  <c r="P463" i="1"/>
  <c r="Q463" i="1"/>
  <c r="R463" i="1" s="1"/>
  <c r="S463" i="1"/>
  <c r="P464" i="1"/>
  <c r="Q464" i="1"/>
  <c r="R464" i="1" s="1"/>
  <c r="S464" i="1" s="1"/>
  <c r="P465" i="1"/>
  <c r="Q465" i="1"/>
  <c r="R465" i="1" s="1"/>
  <c r="S465" i="1" s="1"/>
  <c r="P466" i="1"/>
  <c r="Q466" i="1"/>
  <c r="P467" i="1"/>
  <c r="Q467" i="1"/>
  <c r="R467" i="1"/>
  <c r="S467" i="1" s="1"/>
  <c r="P468" i="1"/>
  <c r="Q468" i="1"/>
  <c r="R468" i="1"/>
  <c r="S468" i="1" s="1"/>
  <c r="P469" i="1"/>
  <c r="Q469" i="1"/>
  <c r="R469" i="1"/>
  <c r="S469" i="1" s="1"/>
  <c r="P470" i="1"/>
  <c r="Q470" i="1"/>
  <c r="R470" i="1"/>
  <c r="S470" i="1" s="1"/>
  <c r="P471" i="1"/>
  <c r="Q471" i="1"/>
  <c r="R471" i="1" s="1"/>
  <c r="S471" i="1" s="1"/>
  <c r="P472" i="1"/>
  <c r="Q472" i="1"/>
  <c r="R472" i="1"/>
  <c r="S472" i="1" s="1"/>
  <c r="P473" i="1"/>
  <c r="R473" i="1" s="1"/>
  <c r="S473" i="1" s="1"/>
  <c r="Q473" i="1"/>
  <c r="P474" i="1"/>
  <c r="R474" i="1" s="1"/>
  <c r="S474" i="1" s="1"/>
  <c r="Q474" i="1"/>
  <c r="P475" i="1"/>
  <c r="Q475" i="1"/>
  <c r="R475" i="1" s="1"/>
  <c r="S475" i="1"/>
  <c r="P476" i="1"/>
  <c r="Q476" i="1"/>
  <c r="P477" i="1"/>
  <c r="R477" i="1" s="1"/>
  <c r="Q477" i="1"/>
  <c r="S477" i="1"/>
  <c r="P478" i="1"/>
  <c r="Q478" i="1"/>
  <c r="R478" i="1" s="1"/>
  <c r="S478" i="1" s="1"/>
  <c r="P479" i="1"/>
  <c r="Q479" i="1"/>
  <c r="P480" i="1"/>
  <c r="Q480" i="1"/>
  <c r="P481" i="1"/>
  <c r="Q481" i="1"/>
  <c r="R481" i="1"/>
  <c r="S481" i="1"/>
  <c r="P482" i="1"/>
  <c r="Q482" i="1"/>
  <c r="P483" i="1"/>
  <c r="R483" i="1" s="1"/>
  <c r="S483" i="1" s="1"/>
  <c r="Q483" i="1"/>
  <c r="P484" i="1"/>
  <c r="Q484" i="1"/>
  <c r="R484" i="1" s="1"/>
  <c r="S484" i="1" s="1"/>
  <c r="P485" i="1"/>
  <c r="Q485" i="1"/>
  <c r="P486" i="1"/>
  <c r="R486" i="1" s="1"/>
  <c r="S486" i="1" s="1"/>
  <c r="Q486" i="1"/>
  <c r="P487" i="1"/>
  <c r="Q487" i="1"/>
  <c r="R487" i="1"/>
  <c r="S487" i="1" s="1"/>
  <c r="P488" i="1"/>
  <c r="Q488" i="1"/>
  <c r="P489" i="1"/>
  <c r="Q489" i="1"/>
  <c r="R489" i="1"/>
  <c r="S489" i="1" s="1"/>
  <c r="P490" i="1"/>
  <c r="R490" i="1" s="1"/>
  <c r="Q490" i="1"/>
  <c r="S490" i="1"/>
  <c r="P491" i="1"/>
  <c r="Q491" i="1"/>
  <c r="R491" i="1" s="1"/>
  <c r="S491" i="1"/>
  <c r="P492" i="1"/>
  <c r="Q492" i="1"/>
  <c r="R492" i="1" s="1"/>
  <c r="S492" i="1"/>
  <c r="P493" i="1"/>
  <c r="Q493" i="1"/>
  <c r="P494" i="1"/>
  <c r="Q494" i="1"/>
  <c r="P495" i="1"/>
  <c r="Q495" i="1"/>
  <c r="R495" i="1" s="1"/>
  <c r="S495" i="1" s="1"/>
  <c r="P496" i="1"/>
  <c r="Q496" i="1"/>
  <c r="R496" i="1" s="1"/>
  <c r="S496" i="1" s="1"/>
  <c r="P497" i="1"/>
  <c r="Q497" i="1"/>
  <c r="R497" i="1" s="1"/>
  <c r="S497" i="1" s="1"/>
  <c r="P498" i="1"/>
  <c r="R498" i="1" s="1"/>
  <c r="S498" i="1" s="1"/>
  <c r="Q498" i="1"/>
  <c r="P499" i="1"/>
  <c r="Q499" i="1"/>
  <c r="P500" i="1"/>
  <c r="Q500" i="1"/>
  <c r="R500" i="1" s="1"/>
  <c r="S500" i="1" s="1"/>
  <c r="P501" i="1"/>
  <c r="R501" i="1" s="1"/>
  <c r="S501" i="1" s="1"/>
  <c r="Q501" i="1"/>
  <c r="P502" i="1"/>
  <c r="R502" i="1" s="1"/>
  <c r="S502" i="1" s="1"/>
  <c r="Q502" i="1"/>
  <c r="P503" i="1"/>
  <c r="Q503" i="1"/>
  <c r="P504" i="1"/>
  <c r="R504" i="1" s="1"/>
  <c r="Q504" i="1"/>
  <c r="S504" i="1"/>
  <c r="P505" i="1"/>
  <c r="Q505" i="1"/>
  <c r="R505" i="1" s="1"/>
  <c r="S505" i="1" s="1"/>
  <c r="P506" i="1"/>
  <c r="Q506" i="1"/>
  <c r="P507" i="1"/>
  <c r="R507" i="1" s="1"/>
  <c r="S507" i="1" s="1"/>
  <c r="Q507" i="1"/>
  <c r="P508" i="1"/>
  <c r="Q508" i="1"/>
  <c r="R508" i="1"/>
  <c r="S508" i="1"/>
  <c r="P509" i="1"/>
  <c r="Q509" i="1"/>
  <c r="R509" i="1" s="1"/>
  <c r="S509" i="1" s="1"/>
  <c r="P510" i="1"/>
  <c r="R510" i="1" s="1"/>
  <c r="S510" i="1" s="1"/>
  <c r="Q510" i="1"/>
  <c r="P511" i="1"/>
  <c r="Q511" i="1"/>
  <c r="R511" i="1"/>
  <c r="S511" i="1" s="1"/>
  <c r="P512" i="1"/>
  <c r="Q512" i="1"/>
  <c r="R512" i="1" s="1"/>
  <c r="S512" i="1" s="1"/>
  <c r="P513" i="1"/>
  <c r="Q513" i="1"/>
  <c r="R513" i="1"/>
  <c r="S513" i="1"/>
  <c r="P514" i="1"/>
  <c r="R514" i="1" s="1"/>
  <c r="S514" i="1" s="1"/>
  <c r="Q514" i="1"/>
  <c r="P515" i="1"/>
  <c r="Q515" i="1"/>
  <c r="P516" i="1"/>
  <c r="Q516" i="1"/>
  <c r="R516" i="1"/>
  <c r="S516" i="1"/>
  <c r="P517" i="1"/>
  <c r="Q517" i="1"/>
  <c r="R517" i="1"/>
  <c r="S517" i="1" s="1"/>
  <c r="P518" i="1"/>
  <c r="Q518" i="1"/>
  <c r="R518" i="1" s="1"/>
  <c r="S518" i="1" s="1"/>
  <c r="P519" i="1"/>
  <c r="Q519" i="1"/>
  <c r="P520" i="1"/>
  <c r="Q520" i="1"/>
  <c r="R520" i="1"/>
  <c r="S520" i="1"/>
  <c r="P521" i="1"/>
  <c r="Q521" i="1"/>
  <c r="R521" i="1" s="1"/>
  <c r="S521" i="1"/>
  <c r="P522" i="1"/>
  <c r="Q522" i="1"/>
  <c r="R522" i="1" s="1"/>
  <c r="S522" i="1" s="1"/>
  <c r="P523" i="1"/>
  <c r="Q523" i="1"/>
  <c r="R523" i="1"/>
  <c r="S523" i="1"/>
  <c r="P524" i="1"/>
  <c r="Q524" i="1"/>
  <c r="P525" i="1"/>
  <c r="Q525" i="1"/>
  <c r="R525" i="1"/>
  <c r="S525" i="1"/>
  <c r="P526" i="1"/>
  <c r="Q526" i="1"/>
  <c r="R526" i="1"/>
  <c r="S526" i="1" s="1"/>
  <c r="P527" i="1"/>
  <c r="Q527" i="1"/>
  <c r="P528" i="1"/>
  <c r="R528" i="1" s="1"/>
  <c r="Q528" i="1"/>
  <c r="S528" i="1"/>
  <c r="P529" i="1"/>
  <c r="Q529" i="1"/>
  <c r="R529" i="1"/>
  <c r="S529" i="1"/>
  <c r="P530" i="1"/>
  <c r="Q530" i="1"/>
  <c r="R530" i="1" s="1"/>
  <c r="S530" i="1" s="1"/>
  <c r="P531" i="1"/>
  <c r="R531" i="1" s="1"/>
  <c r="Q531" i="1"/>
  <c r="S531" i="1"/>
  <c r="P532" i="1"/>
  <c r="Q532" i="1"/>
  <c r="R532" i="1"/>
  <c r="S532" i="1"/>
  <c r="P533" i="1"/>
  <c r="Q533" i="1"/>
  <c r="R533" i="1" s="1"/>
  <c r="S533" i="1" s="1"/>
  <c r="P534" i="1"/>
  <c r="R534" i="1" s="1"/>
  <c r="S534" i="1" s="1"/>
  <c r="Q534" i="1"/>
  <c r="P535" i="1"/>
  <c r="Q535" i="1"/>
  <c r="P536" i="1"/>
  <c r="Q536" i="1"/>
  <c r="R536" i="1" s="1"/>
  <c r="S536" i="1" s="1"/>
  <c r="P537" i="1"/>
  <c r="Q537" i="1"/>
  <c r="R537" i="1"/>
  <c r="S537" i="1"/>
  <c r="P538" i="1"/>
  <c r="Q538" i="1"/>
  <c r="R538" i="1"/>
  <c r="S538" i="1" s="1"/>
  <c r="P539" i="1"/>
  <c r="Q539" i="1"/>
  <c r="P540" i="1"/>
  <c r="Q540" i="1"/>
  <c r="R540" i="1" s="1"/>
  <c r="S540" i="1" s="1"/>
  <c r="P541" i="1"/>
  <c r="Q541" i="1"/>
  <c r="P542" i="1"/>
  <c r="Q542" i="1"/>
  <c r="P543" i="1"/>
  <c r="Q543" i="1"/>
  <c r="R543" i="1"/>
  <c r="S543" i="1" s="1"/>
  <c r="P544" i="1"/>
  <c r="Q544" i="1"/>
  <c r="R544" i="1" s="1"/>
  <c r="S544" i="1" s="1"/>
  <c r="P545" i="1"/>
  <c r="Q545" i="1"/>
  <c r="R545" i="1" s="1"/>
  <c r="S545" i="1" s="1"/>
  <c r="P546" i="1"/>
  <c r="Q546" i="1"/>
  <c r="R546" i="1"/>
  <c r="S546" i="1" s="1"/>
  <c r="P547" i="1"/>
  <c r="Q547" i="1"/>
  <c r="R547" i="1"/>
  <c r="S547" i="1" s="1"/>
  <c r="P548" i="1"/>
  <c r="Q548" i="1"/>
  <c r="P549" i="1"/>
  <c r="Q549" i="1"/>
  <c r="P550" i="1"/>
  <c r="Q550" i="1"/>
  <c r="R550" i="1" s="1"/>
  <c r="S550" i="1" s="1"/>
  <c r="P551" i="1"/>
  <c r="Q551" i="1"/>
  <c r="R551" i="1" s="1"/>
  <c r="S551" i="1"/>
  <c r="P552" i="1"/>
  <c r="Q552" i="1"/>
  <c r="R552" i="1"/>
  <c r="S552" i="1" s="1"/>
  <c r="P553" i="1"/>
  <c r="R553" i="1" s="1"/>
  <c r="Q553" i="1"/>
  <c r="S553" i="1"/>
  <c r="P554" i="1"/>
  <c r="Q554" i="1"/>
  <c r="R554" i="1" s="1"/>
  <c r="S554" i="1" s="1"/>
  <c r="P555" i="1"/>
  <c r="R555" i="1" s="1"/>
  <c r="Q555" i="1"/>
  <c r="S555" i="1"/>
  <c r="P556" i="1"/>
  <c r="Q556" i="1"/>
  <c r="R556" i="1" s="1"/>
  <c r="S556" i="1" s="1"/>
  <c r="P557" i="1"/>
  <c r="Q557" i="1"/>
  <c r="R557" i="1" s="1"/>
  <c r="S557" i="1" s="1"/>
  <c r="P558" i="1"/>
  <c r="R558" i="1" s="1"/>
  <c r="S558" i="1" s="1"/>
  <c r="Q558" i="1"/>
  <c r="P559" i="1"/>
  <c r="Q559" i="1"/>
  <c r="R559" i="1"/>
  <c r="S559" i="1" s="1"/>
  <c r="P560" i="1"/>
  <c r="Q560" i="1"/>
  <c r="R560" i="1" s="1"/>
  <c r="S560" i="1" s="1"/>
  <c r="P561" i="1"/>
  <c r="Q561" i="1"/>
  <c r="R561" i="1" s="1"/>
  <c r="S561" i="1" s="1"/>
  <c r="P562" i="1"/>
  <c r="Q562" i="1"/>
  <c r="P563" i="1"/>
  <c r="Q563" i="1"/>
  <c r="R563" i="1" s="1"/>
  <c r="S563" i="1"/>
  <c r="P564" i="1"/>
  <c r="R564" i="1" s="1"/>
  <c r="S564" i="1" s="1"/>
  <c r="Q564" i="1"/>
  <c r="P565" i="1"/>
  <c r="Q565" i="1"/>
  <c r="R565" i="1"/>
  <c r="S565" i="1" s="1"/>
  <c r="P566" i="1"/>
  <c r="Q566" i="1"/>
  <c r="P567" i="1"/>
  <c r="Q567" i="1"/>
  <c r="R567" i="1"/>
  <c r="S567" i="1"/>
  <c r="P568" i="1"/>
  <c r="R568" i="1" s="1"/>
  <c r="S568" i="1" s="1"/>
  <c r="Q568" i="1"/>
  <c r="P569" i="1"/>
  <c r="Q569" i="1"/>
  <c r="P570" i="1"/>
  <c r="Q570" i="1"/>
  <c r="R570" i="1"/>
  <c r="S570" i="1" s="1"/>
  <c r="P571" i="1"/>
  <c r="Q571" i="1"/>
  <c r="R571" i="1"/>
  <c r="S571" i="1"/>
  <c r="P572" i="1"/>
  <c r="Q572" i="1"/>
  <c r="R572" i="1" s="1"/>
  <c r="S572" i="1"/>
  <c r="P573" i="1"/>
  <c r="Q573" i="1"/>
  <c r="R573" i="1"/>
  <c r="S573" i="1"/>
  <c r="P574" i="1"/>
  <c r="R574" i="1" s="1"/>
  <c r="S574" i="1" s="1"/>
  <c r="Q574" i="1"/>
  <c r="P575" i="1"/>
  <c r="Q575" i="1"/>
  <c r="P576" i="1"/>
  <c r="Q576" i="1"/>
  <c r="R576" i="1" s="1"/>
  <c r="S576" i="1"/>
  <c r="P577" i="1"/>
  <c r="Q577" i="1"/>
  <c r="R577" i="1" s="1"/>
  <c r="S577" i="1" s="1"/>
  <c r="P578" i="1"/>
  <c r="Q578" i="1"/>
  <c r="P579" i="1"/>
  <c r="Q579" i="1"/>
  <c r="R579" i="1"/>
  <c r="S579" i="1" s="1"/>
  <c r="P580" i="1"/>
  <c r="Q580" i="1"/>
  <c r="R580" i="1" s="1"/>
  <c r="S580" i="1"/>
  <c r="P581" i="1"/>
  <c r="Q581" i="1"/>
  <c r="R581" i="1" s="1"/>
  <c r="S581" i="1" s="1"/>
  <c r="P582" i="1"/>
  <c r="R582" i="1" s="1"/>
  <c r="S582" i="1" s="1"/>
  <c r="Q582" i="1"/>
  <c r="P583" i="1"/>
  <c r="Q583" i="1"/>
  <c r="R583" i="1"/>
  <c r="S583" i="1"/>
  <c r="P584" i="1"/>
  <c r="Q584" i="1"/>
  <c r="R584" i="1" s="1"/>
  <c r="S584" i="1" s="1"/>
  <c r="P585" i="1"/>
  <c r="Q585" i="1"/>
  <c r="R585" i="1"/>
  <c r="S585" i="1"/>
  <c r="P586" i="1"/>
  <c r="R586" i="1" s="1"/>
  <c r="S586" i="1" s="1"/>
  <c r="Q586" i="1"/>
  <c r="P587" i="1"/>
  <c r="Q587" i="1"/>
  <c r="R587" i="1" s="1"/>
  <c r="S587" i="1"/>
  <c r="P588" i="1"/>
  <c r="Q588" i="1"/>
  <c r="R588" i="1" s="1"/>
  <c r="S588" i="1"/>
  <c r="P589" i="1"/>
  <c r="Q589" i="1"/>
  <c r="P590" i="1"/>
  <c r="Q590" i="1"/>
  <c r="P591" i="1"/>
  <c r="Q591" i="1"/>
  <c r="P592" i="1"/>
  <c r="Q592" i="1"/>
  <c r="R592" i="1"/>
  <c r="S592" i="1"/>
  <c r="P593" i="1"/>
  <c r="Q593" i="1"/>
  <c r="R593" i="1" s="1"/>
  <c r="S593" i="1"/>
  <c r="P594" i="1"/>
  <c r="Q594" i="1"/>
  <c r="R594" i="1"/>
  <c r="S594" i="1" s="1"/>
  <c r="P595" i="1"/>
  <c r="Q595" i="1"/>
  <c r="R595" i="1"/>
  <c r="S595" i="1"/>
  <c r="P596" i="1"/>
  <c r="Q596" i="1"/>
  <c r="R596" i="1" s="1"/>
  <c r="S596" i="1"/>
  <c r="P597" i="1"/>
  <c r="Q597" i="1"/>
  <c r="P598" i="1"/>
  <c r="Q598" i="1"/>
  <c r="R598" i="1" s="1"/>
  <c r="S598" i="1" s="1"/>
  <c r="P599" i="1"/>
  <c r="Q599" i="1"/>
  <c r="R599" i="1" s="1"/>
  <c r="S599" i="1"/>
  <c r="P600" i="1"/>
  <c r="Q600" i="1"/>
  <c r="R600" i="1"/>
  <c r="S600" i="1"/>
  <c r="P601" i="1"/>
  <c r="Q601" i="1"/>
  <c r="R601" i="1"/>
  <c r="S601" i="1" s="1"/>
  <c r="P602" i="1"/>
  <c r="Q602" i="1"/>
  <c r="P603" i="1"/>
  <c r="Q603" i="1"/>
  <c r="R603" i="1"/>
  <c r="S603" i="1"/>
  <c r="P604" i="1"/>
  <c r="Q604" i="1"/>
  <c r="R604" i="1"/>
  <c r="S604" i="1" s="1"/>
  <c r="P605" i="1"/>
  <c r="Q605" i="1"/>
  <c r="P606" i="1"/>
  <c r="Q606" i="1"/>
  <c r="R606" i="1" s="1"/>
  <c r="S606" i="1" s="1"/>
  <c r="P607" i="1"/>
  <c r="Q607" i="1"/>
  <c r="R607" i="1" s="1"/>
  <c r="S607" i="1" s="1"/>
  <c r="P608" i="1"/>
  <c r="Q608" i="1"/>
  <c r="P609" i="1"/>
  <c r="Q609" i="1"/>
  <c r="R609" i="1"/>
  <c r="S609" i="1" s="1"/>
  <c r="P610" i="1"/>
  <c r="Q610" i="1"/>
  <c r="R610" i="1"/>
  <c r="S610" i="1"/>
  <c r="P611" i="1"/>
  <c r="Q611" i="1"/>
  <c r="P612" i="1"/>
  <c r="Q612" i="1"/>
  <c r="R612" i="1" s="1"/>
  <c r="S612" i="1" s="1"/>
  <c r="P613" i="1"/>
  <c r="Q613" i="1"/>
  <c r="R613" i="1"/>
  <c r="S613" i="1" s="1"/>
  <c r="P614" i="1"/>
  <c r="Q614" i="1"/>
  <c r="R614" i="1" s="1"/>
  <c r="S614" i="1"/>
  <c r="P615" i="1"/>
  <c r="R615" i="1" s="1"/>
  <c r="S615" i="1" s="1"/>
  <c r="Q615" i="1"/>
  <c r="P616" i="1"/>
  <c r="Q616" i="1"/>
  <c r="R616" i="1"/>
  <c r="S616" i="1"/>
  <c r="P617" i="1"/>
  <c r="Q617" i="1"/>
  <c r="P618" i="1"/>
  <c r="Q618" i="1"/>
  <c r="R618" i="1"/>
  <c r="S618" i="1" s="1"/>
  <c r="P619" i="1"/>
  <c r="R619" i="1" s="1"/>
  <c r="S619" i="1" s="1"/>
  <c r="Q619" i="1"/>
  <c r="P620" i="1"/>
  <c r="Q620" i="1"/>
  <c r="R620" i="1" s="1"/>
  <c r="S620" i="1" s="1"/>
  <c r="P621" i="1"/>
  <c r="Q621" i="1"/>
  <c r="R621" i="1" s="1"/>
  <c r="S621" i="1" s="1"/>
  <c r="P622" i="1"/>
  <c r="R622" i="1" s="1"/>
  <c r="S622" i="1" s="1"/>
  <c r="Q622" i="1"/>
  <c r="P623" i="1"/>
  <c r="Q623" i="1"/>
  <c r="R623" i="1"/>
  <c r="S623" i="1" s="1"/>
  <c r="P624" i="1"/>
  <c r="Q624" i="1"/>
  <c r="P625" i="1"/>
  <c r="Q625" i="1"/>
  <c r="R625" i="1"/>
  <c r="S625" i="1"/>
  <c r="P626" i="1"/>
  <c r="R626" i="1" s="1"/>
  <c r="S626" i="1" s="1"/>
  <c r="Q626" i="1"/>
  <c r="P627" i="1"/>
  <c r="Q627" i="1"/>
  <c r="R627" i="1" s="1"/>
  <c r="S627" i="1"/>
  <c r="P628" i="1"/>
  <c r="R628" i="1" s="1"/>
  <c r="S628" i="1" s="1"/>
  <c r="Q628" i="1"/>
  <c r="P629" i="1"/>
  <c r="Q629" i="1"/>
  <c r="P630" i="1"/>
  <c r="Q630" i="1"/>
  <c r="P631" i="1"/>
  <c r="Q631" i="1"/>
  <c r="R631" i="1"/>
  <c r="S631" i="1"/>
  <c r="P632" i="1"/>
  <c r="Q632" i="1"/>
  <c r="P633" i="1"/>
  <c r="Q633" i="1"/>
  <c r="R633" i="1" s="1"/>
  <c r="S633" i="1" s="1"/>
  <c r="P634" i="1"/>
  <c r="R634" i="1" s="1"/>
  <c r="S634" i="1" s="1"/>
  <c r="Q634" i="1"/>
  <c r="P635" i="1"/>
  <c r="Q635" i="1"/>
  <c r="R635" i="1" s="1"/>
  <c r="S635" i="1" s="1"/>
  <c r="P636" i="1"/>
  <c r="Q636" i="1"/>
  <c r="R636" i="1" s="1"/>
  <c r="S636" i="1" s="1"/>
  <c r="P637" i="1"/>
  <c r="Q637" i="1"/>
  <c r="R637" i="1"/>
  <c r="S637" i="1"/>
  <c r="P638" i="1"/>
  <c r="Q638" i="1"/>
  <c r="R638" i="1" s="1"/>
  <c r="S638" i="1" s="1"/>
  <c r="P639" i="1"/>
  <c r="Q639" i="1"/>
  <c r="R639" i="1" s="1"/>
  <c r="S639" i="1" s="1"/>
  <c r="P640" i="1"/>
  <c r="Q640" i="1"/>
  <c r="P641" i="1"/>
  <c r="Q641" i="1"/>
  <c r="P642" i="1"/>
  <c r="Q642" i="1"/>
  <c r="P643" i="1"/>
  <c r="Q643" i="1"/>
  <c r="R643" i="1"/>
  <c r="S643" i="1" s="1"/>
  <c r="P644" i="1"/>
  <c r="Q644" i="1"/>
  <c r="P645" i="1"/>
  <c r="Q645" i="1"/>
  <c r="P646" i="1"/>
  <c r="Q646" i="1"/>
  <c r="R646" i="1"/>
  <c r="S646" i="1" s="1"/>
  <c r="P647" i="1"/>
  <c r="Q647" i="1"/>
  <c r="R647" i="1" s="1"/>
  <c r="S647" i="1" s="1"/>
  <c r="P648" i="1"/>
  <c r="Q648" i="1"/>
  <c r="R648" i="1" s="1"/>
  <c r="S648" i="1" s="1"/>
  <c r="P649" i="1"/>
  <c r="R649" i="1" s="1"/>
  <c r="S649" i="1" s="1"/>
  <c r="Q649" i="1"/>
  <c r="P650" i="1"/>
  <c r="Q650" i="1"/>
  <c r="R650" i="1" s="1"/>
  <c r="S650" i="1" s="1"/>
  <c r="P651" i="1"/>
  <c r="Q651" i="1"/>
  <c r="R651" i="1" s="1"/>
  <c r="S651" i="1" s="1"/>
  <c r="P652" i="1"/>
  <c r="Q652" i="1"/>
  <c r="R652" i="1"/>
  <c r="S652" i="1"/>
  <c r="P653" i="1"/>
  <c r="R653" i="1" s="1"/>
  <c r="S653" i="1" s="1"/>
  <c r="Q653" i="1"/>
  <c r="P654" i="1"/>
  <c r="Q654" i="1"/>
  <c r="R654" i="1" s="1"/>
  <c r="S654" i="1" s="1"/>
  <c r="P655" i="1"/>
  <c r="Q655" i="1"/>
  <c r="R655" i="1"/>
  <c r="S655" i="1"/>
  <c r="P656" i="1"/>
  <c r="Q656" i="1"/>
  <c r="R656" i="1" s="1"/>
  <c r="S656" i="1"/>
  <c r="P657" i="1"/>
  <c r="Q657" i="1"/>
  <c r="R657" i="1" s="1"/>
  <c r="S657" i="1" s="1"/>
  <c r="P658" i="1"/>
  <c r="Q658" i="1"/>
  <c r="R658" i="1" s="1"/>
  <c r="S658" i="1"/>
  <c r="P659" i="1"/>
  <c r="Q659" i="1"/>
  <c r="R659" i="1"/>
  <c r="S659" i="1" s="1"/>
  <c r="P660" i="1"/>
  <c r="Q660" i="1"/>
  <c r="R660" i="1" s="1"/>
  <c r="S660" i="1"/>
  <c r="P661" i="1"/>
  <c r="Q661" i="1"/>
  <c r="P662" i="1"/>
  <c r="Q662" i="1"/>
  <c r="R662" i="1"/>
  <c r="S662" i="1" s="1"/>
  <c r="P663" i="1"/>
  <c r="Q663" i="1"/>
  <c r="R663" i="1" s="1"/>
  <c r="S663" i="1"/>
  <c r="P664" i="1"/>
  <c r="Q664" i="1"/>
  <c r="R664" i="1"/>
  <c r="S664" i="1" s="1"/>
  <c r="P665" i="1"/>
  <c r="Q665" i="1"/>
  <c r="P666" i="1"/>
  <c r="Q666" i="1"/>
  <c r="R666" i="1" s="1"/>
  <c r="S666" i="1"/>
  <c r="P667" i="1"/>
  <c r="R667" i="1" s="1"/>
  <c r="S667" i="1" s="1"/>
  <c r="Q667" i="1"/>
  <c r="P668" i="1"/>
  <c r="Q668" i="1"/>
  <c r="R668" i="1" s="1"/>
  <c r="S668" i="1" s="1"/>
  <c r="P669" i="1"/>
  <c r="Q669" i="1"/>
  <c r="R669" i="1" s="1"/>
  <c r="S669" i="1" s="1"/>
  <c r="P670" i="1"/>
  <c r="Q670" i="1"/>
  <c r="R670" i="1"/>
  <c r="S670" i="1"/>
  <c r="P671" i="1"/>
  <c r="R671" i="1" s="1"/>
  <c r="S671" i="1" s="1"/>
  <c r="Q671" i="1"/>
  <c r="P672" i="1"/>
  <c r="Q672" i="1"/>
  <c r="R672" i="1" s="1"/>
  <c r="S672" i="1"/>
  <c r="P673" i="1"/>
  <c r="Q673" i="1"/>
  <c r="R673" i="1" s="1"/>
  <c r="S673" i="1" s="1"/>
  <c r="P674" i="1"/>
  <c r="Q674" i="1"/>
  <c r="R674" i="1" s="1"/>
  <c r="S674" i="1"/>
  <c r="P675" i="1"/>
  <c r="Q675" i="1"/>
  <c r="P676" i="1"/>
  <c r="Q676" i="1"/>
  <c r="P677" i="1"/>
  <c r="Q677" i="1"/>
  <c r="R677" i="1" s="1"/>
  <c r="S677" i="1" s="1"/>
  <c r="P678" i="1"/>
  <c r="Q678" i="1"/>
  <c r="R678" i="1" s="1"/>
  <c r="S678" i="1" s="1"/>
  <c r="P679" i="1"/>
  <c r="Q679" i="1"/>
  <c r="R679" i="1"/>
  <c r="S679" i="1" s="1"/>
  <c r="P680" i="1"/>
  <c r="Q680" i="1"/>
  <c r="R680" i="1"/>
  <c r="S680" i="1" s="1"/>
  <c r="P681" i="1"/>
  <c r="Q681" i="1"/>
  <c r="R681" i="1" s="1"/>
  <c r="S681" i="1" s="1"/>
  <c r="P682" i="1"/>
  <c r="Q682" i="1"/>
  <c r="R682" i="1"/>
  <c r="S682" i="1"/>
  <c r="P683" i="1"/>
  <c r="Q683" i="1"/>
  <c r="P684" i="1"/>
  <c r="Q684" i="1"/>
  <c r="P685" i="1"/>
  <c r="Q685" i="1"/>
  <c r="R685" i="1" s="1"/>
  <c r="S685" i="1" s="1"/>
  <c r="P686" i="1"/>
  <c r="Q686" i="1"/>
  <c r="R686" i="1" s="1"/>
  <c r="S686" i="1" s="1"/>
  <c r="P687" i="1"/>
  <c r="Q687" i="1"/>
  <c r="R687" i="1" s="1"/>
  <c r="S687" i="1" s="1"/>
  <c r="P688" i="1"/>
  <c r="Q688" i="1"/>
  <c r="P689" i="1"/>
  <c r="Q689" i="1"/>
  <c r="R689" i="1"/>
  <c r="S689" i="1" s="1"/>
  <c r="P690" i="1"/>
  <c r="Q690" i="1"/>
  <c r="R690" i="1" s="1"/>
  <c r="S690" i="1" s="1"/>
  <c r="P691" i="1"/>
  <c r="R691" i="1" s="1"/>
  <c r="S691" i="1" s="1"/>
  <c r="Q691" i="1"/>
  <c r="P692" i="1"/>
  <c r="Q692" i="1"/>
  <c r="R692" i="1" s="1"/>
  <c r="S692" i="1" s="1"/>
  <c r="P693" i="1"/>
  <c r="Q693" i="1"/>
  <c r="P694" i="1"/>
  <c r="R694" i="1" s="1"/>
  <c r="S694" i="1" s="1"/>
  <c r="Q694" i="1"/>
  <c r="P695" i="1"/>
  <c r="Q695" i="1"/>
  <c r="R695" i="1"/>
  <c r="S695" i="1" s="1"/>
  <c r="P696" i="1"/>
  <c r="Q696" i="1"/>
  <c r="R696" i="1" s="1"/>
  <c r="S696" i="1" s="1"/>
  <c r="P697" i="1"/>
  <c r="Q697" i="1"/>
  <c r="R697" i="1"/>
  <c r="S697" i="1" s="1"/>
  <c r="P698" i="1"/>
  <c r="Q698" i="1"/>
  <c r="R698" i="1"/>
  <c r="S698" i="1"/>
  <c r="P699" i="1"/>
  <c r="Q699" i="1"/>
  <c r="R699" i="1" s="1"/>
  <c r="S699" i="1" s="1"/>
  <c r="P700" i="1"/>
  <c r="R700" i="1" s="1"/>
  <c r="S700" i="1" s="1"/>
  <c r="Q700" i="1"/>
  <c r="P701" i="1"/>
  <c r="Q701" i="1"/>
  <c r="P702" i="1"/>
  <c r="Q702" i="1"/>
  <c r="P703" i="1"/>
  <c r="Q703" i="1"/>
  <c r="P704" i="1"/>
  <c r="Q704" i="1"/>
  <c r="R704" i="1" s="1"/>
  <c r="S704" i="1" s="1"/>
  <c r="P705" i="1"/>
  <c r="Q705" i="1"/>
  <c r="P706" i="1"/>
  <c r="Q706" i="1"/>
  <c r="P707" i="1"/>
  <c r="Q707" i="1"/>
  <c r="P708" i="1"/>
  <c r="Q708" i="1"/>
  <c r="P709" i="1"/>
  <c r="Q709" i="1"/>
  <c r="R709" i="1"/>
  <c r="S709" i="1" s="1"/>
  <c r="P710" i="1"/>
  <c r="Q710" i="1"/>
  <c r="P711" i="1"/>
  <c r="Q711" i="1"/>
  <c r="P712" i="1"/>
  <c r="Q712" i="1"/>
  <c r="R712" i="1"/>
  <c r="S712" i="1"/>
  <c r="P713" i="1"/>
  <c r="Q713" i="1"/>
  <c r="R713" i="1" s="1"/>
  <c r="S713" i="1" s="1"/>
  <c r="P714" i="1"/>
  <c r="Q714" i="1"/>
  <c r="P715" i="1"/>
  <c r="Q715" i="1"/>
  <c r="P716" i="1"/>
  <c r="Q716" i="1"/>
  <c r="R716" i="1" s="1"/>
  <c r="S716" i="1" s="1"/>
  <c r="P717" i="1"/>
  <c r="Q717" i="1"/>
  <c r="R717" i="1" s="1"/>
  <c r="S717" i="1" s="1"/>
  <c r="P718" i="1"/>
  <c r="Q718" i="1"/>
  <c r="R718" i="1"/>
  <c r="S718" i="1"/>
  <c r="P719" i="1"/>
  <c r="Q719" i="1"/>
  <c r="P720" i="1"/>
  <c r="Q720" i="1"/>
  <c r="R720" i="1" s="1"/>
  <c r="S720" i="1" s="1"/>
  <c r="P721" i="1"/>
  <c r="Q721" i="1"/>
  <c r="R721" i="1"/>
  <c r="S721" i="1"/>
  <c r="P722" i="1"/>
  <c r="Q722" i="1"/>
  <c r="R722" i="1" s="1"/>
  <c r="S722" i="1" s="1"/>
  <c r="P723" i="1"/>
  <c r="Q723" i="1"/>
  <c r="R723" i="1" s="1"/>
  <c r="S723" i="1" s="1"/>
  <c r="P724" i="1"/>
  <c r="Q724" i="1"/>
  <c r="R724" i="1"/>
  <c r="S724" i="1" s="1"/>
  <c r="P725" i="1"/>
  <c r="R725" i="1" s="1"/>
  <c r="S725" i="1" s="1"/>
  <c r="Q725" i="1"/>
  <c r="P726" i="1"/>
  <c r="Q726" i="1"/>
  <c r="R726" i="1" s="1"/>
  <c r="S726" i="1"/>
  <c r="P727" i="1"/>
  <c r="Q727" i="1"/>
  <c r="P728" i="1"/>
  <c r="Q728" i="1"/>
  <c r="R728" i="1" s="1"/>
  <c r="S728" i="1"/>
  <c r="P729" i="1"/>
  <c r="Q729" i="1"/>
  <c r="P730" i="1"/>
  <c r="Q730" i="1"/>
  <c r="R730" i="1"/>
  <c r="S730" i="1"/>
  <c r="P731" i="1"/>
  <c r="Q731" i="1"/>
  <c r="R731" i="1" s="1"/>
  <c r="S731" i="1" s="1"/>
  <c r="P732" i="1"/>
  <c r="Q732" i="1"/>
  <c r="R732" i="1" s="1"/>
  <c r="S732" i="1"/>
  <c r="P733" i="1"/>
  <c r="R733" i="1" s="1"/>
  <c r="S733" i="1" s="1"/>
  <c r="Q733" i="1"/>
  <c r="P734" i="1"/>
  <c r="R734" i="1" s="1"/>
  <c r="S734" i="1" s="1"/>
  <c r="Q734" i="1"/>
  <c r="P735" i="1"/>
  <c r="Q735" i="1"/>
  <c r="P736" i="1"/>
  <c r="Q736" i="1"/>
  <c r="R736" i="1"/>
  <c r="S736" i="1"/>
  <c r="P737" i="1"/>
  <c r="Q737" i="1"/>
  <c r="P738" i="1"/>
  <c r="Q738" i="1"/>
  <c r="P739" i="1"/>
  <c r="Q739" i="1"/>
  <c r="R739" i="1" s="1"/>
  <c r="S739" i="1" s="1"/>
  <c r="P740" i="1"/>
  <c r="Q740" i="1"/>
  <c r="R740" i="1" s="1"/>
  <c r="S740" i="1" s="1"/>
  <c r="P741" i="1"/>
  <c r="Q741" i="1"/>
  <c r="R741" i="1" s="1"/>
  <c r="S741" i="1" s="1"/>
  <c r="P742" i="1"/>
  <c r="R742" i="1" s="1"/>
  <c r="S742" i="1" s="1"/>
  <c r="Q742" i="1"/>
  <c r="P743" i="1"/>
  <c r="Q743" i="1"/>
  <c r="R743" i="1" s="1"/>
  <c r="S743" i="1" s="1"/>
  <c r="P744" i="1"/>
  <c r="Q744" i="1"/>
  <c r="R744" i="1" s="1"/>
  <c r="S744" i="1" s="1"/>
  <c r="P745" i="1"/>
  <c r="Q745" i="1"/>
  <c r="R745" i="1"/>
  <c r="S745" i="1"/>
  <c r="P746" i="1"/>
  <c r="Q746" i="1"/>
  <c r="P747" i="1"/>
  <c r="Q747" i="1"/>
  <c r="R747" i="1" s="1"/>
  <c r="S747" i="1" s="1"/>
  <c r="P748" i="1"/>
  <c r="Q748" i="1"/>
  <c r="R748" i="1"/>
  <c r="S748" i="1" s="1"/>
  <c r="P749" i="1"/>
  <c r="Q749" i="1"/>
  <c r="R749" i="1" s="1"/>
  <c r="S749" i="1" s="1"/>
  <c r="P750" i="1"/>
  <c r="Q750" i="1"/>
  <c r="P751" i="1"/>
  <c r="R751" i="1" s="1"/>
  <c r="S751" i="1" s="1"/>
  <c r="Q751" i="1"/>
  <c r="P752" i="1"/>
  <c r="Q752" i="1"/>
  <c r="R752" i="1" s="1"/>
  <c r="S752" i="1" s="1"/>
  <c r="P753" i="1"/>
  <c r="Q753" i="1"/>
  <c r="R753" i="1" s="1"/>
  <c r="S753" i="1" s="1"/>
  <c r="P754" i="1"/>
  <c r="R754" i="1" s="1"/>
  <c r="S754" i="1" s="1"/>
  <c r="Q754" i="1"/>
  <c r="P755" i="1"/>
  <c r="Q755" i="1"/>
  <c r="P756" i="1"/>
  <c r="Q756" i="1"/>
  <c r="P757" i="1"/>
  <c r="Q757" i="1"/>
  <c r="R757" i="1"/>
  <c r="S757" i="1"/>
  <c r="P758" i="1"/>
  <c r="Q758" i="1"/>
  <c r="P759" i="1"/>
  <c r="Q759" i="1"/>
  <c r="R759" i="1" s="1"/>
  <c r="S759" i="1" s="1"/>
  <c r="P760" i="1"/>
  <c r="Q760" i="1"/>
  <c r="P761" i="1"/>
  <c r="Q761" i="1"/>
  <c r="R761" i="1"/>
  <c r="S761" i="1" s="1"/>
  <c r="P762" i="1"/>
  <c r="Q762" i="1"/>
  <c r="R762" i="1" s="1"/>
  <c r="S762" i="1"/>
  <c r="P763" i="1"/>
  <c r="Q763" i="1"/>
  <c r="R763" i="1" s="1"/>
  <c r="S763" i="1" s="1"/>
  <c r="P764" i="1"/>
  <c r="Q764" i="1"/>
  <c r="P765" i="1"/>
  <c r="Q765" i="1"/>
  <c r="R765" i="1" s="1"/>
  <c r="S765" i="1"/>
  <c r="P766" i="1"/>
  <c r="Q766" i="1"/>
  <c r="P767" i="1"/>
  <c r="R767" i="1" s="1"/>
  <c r="S767" i="1" s="1"/>
  <c r="Q767" i="1"/>
  <c r="P768" i="1"/>
  <c r="Q768" i="1"/>
  <c r="P769" i="1"/>
  <c r="Q769" i="1"/>
  <c r="R769" i="1"/>
  <c r="S769" i="1"/>
  <c r="P770" i="1"/>
  <c r="Q770" i="1"/>
  <c r="R770" i="1"/>
  <c r="S770" i="1" s="1"/>
  <c r="P771" i="1"/>
  <c r="Q771" i="1"/>
  <c r="P772" i="1"/>
  <c r="Q772" i="1"/>
  <c r="R772" i="1"/>
  <c r="S772" i="1"/>
  <c r="P773" i="1"/>
  <c r="Q773" i="1"/>
  <c r="R773" i="1" s="1"/>
  <c r="S773" i="1" s="1"/>
  <c r="P774" i="1"/>
  <c r="Q774" i="1"/>
  <c r="R774" i="1" s="1"/>
  <c r="S774" i="1"/>
  <c r="P775" i="1"/>
  <c r="R775" i="1" s="1"/>
  <c r="S775" i="1" s="1"/>
  <c r="Q775" i="1"/>
  <c r="P776" i="1"/>
  <c r="Q776" i="1"/>
  <c r="R776" i="1" s="1"/>
  <c r="S776" i="1" s="1"/>
  <c r="P777" i="1"/>
  <c r="Q777" i="1"/>
  <c r="P778" i="1"/>
  <c r="Q778" i="1"/>
  <c r="R778" i="1"/>
  <c r="S778" i="1"/>
  <c r="P779" i="1"/>
  <c r="R779" i="1" s="1"/>
  <c r="S779" i="1" s="1"/>
  <c r="Q779" i="1"/>
  <c r="P780" i="1"/>
  <c r="Q780" i="1"/>
  <c r="P781" i="1"/>
  <c r="Q781" i="1"/>
  <c r="R781" i="1" s="1"/>
  <c r="S781" i="1" s="1"/>
  <c r="P782" i="1"/>
  <c r="Q782" i="1"/>
  <c r="R782" i="1" s="1"/>
  <c r="S782" i="1"/>
  <c r="P783" i="1"/>
  <c r="Q783" i="1"/>
  <c r="R783" i="1" s="1"/>
  <c r="S783" i="1"/>
  <c r="P784" i="1"/>
  <c r="Q784" i="1"/>
  <c r="R784" i="1"/>
  <c r="S784" i="1"/>
  <c r="P785" i="1"/>
  <c r="Q785" i="1"/>
  <c r="R785" i="1" s="1"/>
  <c r="S785" i="1" s="1"/>
  <c r="P786" i="1"/>
  <c r="Q786" i="1"/>
  <c r="R786" i="1" s="1"/>
  <c r="S786" i="1" s="1"/>
  <c r="P787" i="1"/>
  <c r="Q787" i="1"/>
  <c r="R787" i="1"/>
  <c r="S787" i="1"/>
  <c r="P788" i="1"/>
  <c r="Q788" i="1"/>
  <c r="P789" i="1"/>
  <c r="Q789" i="1"/>
  <c r="P790" i="1"/>
  <c r="Q790" i="1"/>
  <c r="P791" i="1"/>
  <c r="Q791" i="1"/>
  <c r="R791" i="1" s="1"/>
  <c r="S791" i="1" s="1"/>
  <c r="P792" i="1"/>
  <c r="Q792" i="1"/>
  <c r="P793" i="1"/>
  <c r="R793" i="1" s="1"/>
  <c r="S793" i="1" s="1"/>
  <c r="Q793" i="1"/>
  <c r="P794" i="1"/>
  <c r="R794" i="1" s="1"/>
  <c r="S794" i="1" s="1"/>
  <c r="Q794" i="1"/>
  <c r="P795" i="1"/>
  <c r="Q795" i="1"/>
  <c r="P796" i="1"/>
  <c r="Q796" i="1"/>
  <c r="R796" i="1"/>
  <c r="S796" i="1"/>
  <c r="P797" i="1"/>
  <c r="Q797" i="1"/>
  <c r="R797" i="1"/>
  <c r="S797" i="1" s="1"/>
  <c r="P798" i="1"/>
  <c r="Q798" i="1"/>
  <c r="P799" i="1"/>
  <c r="R799" i="1" s="1"/>
  <c r="S799" i="1" s="1"/>
  <c r="Q799" i="1"/>
  <c r="P800" i="1"/>
  <c r="Q800" i="1"/>
  <c r="R800" i="1" s="1"/>
  <c r="S800" i="1"/>
  <c r="P801" i="1"/>
  <c r="Q801" i="1"/>
  <c r="P802" i="1"/>
  <c r="Q802" i="1"/>
  <c r="R802" i="1"/>
  <c r="S802" i="1" s="1"/>
  <c r="P803" i="1"/>
  <c r="Q803" i="1"/>
  <c r="R803" i="1"/>
  <c r="S803" i="1" s="1"/>
  <c r="P804" i="1"/>
  <c r="Q804" i="1"/>
  <c r="P805" i="1"/>
  <c r="R805" i="1" s="1"/>
  <c r="S805" i="1" s="1"/>
  <c r="Q805" i="1"/>
  <c r="P806" i="1"/>
  <c r="Q806" i="1"/>
  <c r="R806" i="1"/>
  <c r="S806" i="1" s="1"/>
  <c r="P807" i="1"/>
  <c r="Q807" i="1"/>
  <c r="P808" i="1"/>
  <c r="Q808" i="1"/>
  <c r="R808" i="1"/>
  <c r="S808" i="1"/>
  <c r="P809" i="1"/>
  <c r="Q809" i="1"/>
  <c r="P810" i="1"/>
  <c r="Q810" i="1"/>
  <c r="P811" i="1"/>
  <c r="Q811" i="1"/>
  <c r="R811" i="1"/>
  <c r="S811" i="1" s="1"/>
  <c r="P812" i="1"/>
  <c r="Q812" i="1"/>
  <c r="R812" i="1" s="1"/>
  <c r="S812" i="1" s="1"/>
  <c r="P813" i="1"/>
  <c r="Q813" i="1"/>
  <c r="P814" i="1"/>
  <c r="Q814" i="1"/>
  <c r="R814" i="1"/>
  <c r="S814" i="1"/>
  <c r="P815" i="1"/>
  <c r="Q815" i="1"/>
  <c r="R815" i="1"/>
  <c r="S815" i="1" s="1"/>
  <c r="P816" i="1"/>
  <c r="Q816" i="1"/>
  <c r="P817" i="1"/>
  <c r="Q817" i="1"/>
  <c r="R817" i="1"/>
  <c r="S817" i="1" s="1"/>
  <c r="P818" i="1"/>
  <c r="Q818" i="1"/>
  <c r="R818" i="1" s="1"/>
  <c r="S818" i="1"/>
  <c r="P819" i="1"/>
  <c r="Q819" i="1"/>
  <c r="P820" i="1"/>
  <c r="R820" i="1" s="1"/>
  <c r="S820" i="1" s="1"/>
  <c r="Q820" i="1"/>
  <c r="P821" i="1"/>
  <c r="Q821" i="1"/>
  <c r="P822" i="1"/>
  <c r="Q822" i="1"/>
  <c r="P823" i="1"/>
  <c r="Q823" i="1"/>
  <c r="R823" i="1"/>
  <c r="S823" i="1"/>
  <c r="P824" i="1"/>
  <c r="R824" i="1" s="1"/>
  <c r="S824" i="1" s="1"/>
  <c r="Q824" i="1"/>
  <c r="P825" i="1"/>
  <c r="Q825" i="1"/>
  <c r="P826" i="1"/>
  <c r="Q826" i="1"/>
  <c r="R826" i="1"/>
  <c r="S826" i="1"/>
  <c r="P827" i="1"/>
  <c r="Q827" i="1"/>
  <c r="R827" i="1" s="1"/>
  <c r="S827" i="1" s="1"/>
  <c r="P828" i="1"/>
  <c r="Q828" i="1"/>
  <c r="P829" i="1"/>
  <c r="R829" i="1" s="1"/>
  <c r="S829" i="1" s="1"/>
  <c r="Q829" i="1"/>
  <c r="P830" i="1"/>
  <c r="Q830" i="1"/>
  <c r="R830" i="1"/>
  <c r="S830" i="1" s="1"/>
  <c r="P831" i="1"/>
  <c r="Q831" i="1"/>
  <c r="P832" i="1"/>
  <c r="R832" i="1" s="1"/>
  <c r="S832" i="1" s="1"/>
  <c r="Q832" i="1"/>
  <c r="P833" i="1"/>
  <c r="Q833" i="1"/>
  <c r="R833" i="1"/>
  <c r="S833" i="1" s="1"/>
  <c r="P834" i="1"/>
  <c r="R834" i="1" s="1"/>
  <c r="S834" i="1" s="1"/>
  <c r="Q834" i="1"/>
  <c r="P835" i="1"/>
  <c r="Q835" i="1"/>
  <c r="R835" i="1"/>
  <c r="S835" i="1"/>
  <c r="P836" i="1"/>
  <c r="Q836" i="1"/>
  <c r="P837" i="1"/>
  <c r="Q837" i="1"/>
  <c r="P838" i="1"/>
  <c r="R838" i="1" s="1"/>
  <c r="S838" i="1" s="1"/>
  <c r="Q838" i="1"/>
  <c r="P839" i="1"/>
  <c r="Q839" i="1"/>
  <c r="R839" i="1"/>
  <c r="S839" i="1" s="1"/>
  <c r="P840" i="1"/>
  <c r="Q840" i="1"/>
  <c r="R840" i="1"/>
  <c r="S840" i="1" s="1"/>
  <c r="P841" i="1"/>
  <c r="R841" i="1" s="1"/>
  <c r="S841" i="1" s="1"/>
  <c r="Q841" i="1"/>
  <c r="P842" i="1"/>
  <c r="Q842" i="1"/>
  <c r="R842" i="1" s="1"/>
  <c r="S842" i="1" s="1"/>
  <c r="P843" i="1"/>
  <c r="Q843" i="1"/>
  <c r="R843" i="1"/>
  <c r="S843" i="1"/>
  <c r="P844" i="1"/>
  <c r="Q844" i="1"/>
  <c r="R844" i="1"/>
  <c r="S844" i="1" s="1"/>
  <c r="P845" i="1"/>
  <c r="Q845" i="1"/>
  <c r="P846" i="1"/>
  <c r="Q846" i="1"/>
  <c r="R846" i="1"/>
  <c r="S846" i="1"/>
  <c r="P847" i="1"/>
  <c r="Q847" i="1"/>
  <c r="R847" i="1"/>
  <c r="S847" i="1"/>
  <c r="P848" i="1"/>
  <c r="Q848" i="1"/>
  <c r="P849" i="1"/>
  <c r="R849" i="1" s="1"/>
  <c r="S849" i="1" s="1"/>
  <c r="Q849" i="1"/>
  <c r="P850" i="1"/>
  <c r="Q850" i="1"/>
  <c r="R850" i="1"/>
  <c r="S850" i="1"/>
  <c r="P851" i="1"/>
  <c r="Q851" i="1"/>
  <c r="R851" i="1"/>
  <c r="S851" i="1" s="1"/>
  <c r="P852" i="1"/>
  <c r="Q852" i="1"/>
  <c r="P853" i="1"/>
  <c r="R853" i="1" s="1"/>
  <c r="S853" i="1" s="1"/>
  <c r="Q853" i="1"/>
  <c r="P854" i="1"/>
  <c r="Q854" i="1"/>
  <c r="R854" i="1"/>
  <c r="S854" i="1" s="1"/>
  <c r="P855" i="1"/>
  <c r="Q855" i="1"/>
  <c r="P856" i="1"/>
  <c r="Q856" i="1"/>
  <c r="R856" i="1"/>
  <c r="S856" i="1"/>
  <c r="P857" i="1"/>
  <c r="Q857" i="1"/>
  <c r="P858" i="1"/>
  <c r="Q858" i="1"/>
  <c r="P859" i="1"/>
  <c r="Q859" i="1"/>
  <c r="R859" i="1"/>
  <c r="S859" i="1"/>
  <c r="P860" i="1"/>
  <c r="Q860" i="1"/>
  <c r="R860" i="1" s="1"/>
  <c r="S860" i="1" s="1"/>
  <c r="P861" i="1"/>
  <c r="Q861" i="1"/>
  <c r="P862" i="1"/>
  <c r="Q862" i="1"/>
  <c r="R862" i="1" s="1"/>
  <c r="S862" i="1" s="1"/>
  <c r="P863" i="1"/>
  <c r="Q863" i="1"/>
  <c r="R863" i="1" s="1"/>
  <c r="S863" i="1" s="1"/>
  <c r="P864" i="1"/>
  <c r="Q864" i="1"/>
  <c r="P865" i="1"/>
  <c r="Q865" i="1"/>
  <c r="R865" i="1"/>
  <c r="S865" i="1" s="1"/>
  <c r="P866" i="1"/>
  <c r="Q866" i="1"/>
  <c r="R866" i="1"/>
  <c r="S866" i="1" s="1"/>
  <c r="P867" i="1"/>
  <c r="R867" i="1" s="1"/>
  <c r="S867" i="1" s="1"/>
  <c r="Q867" i="1"/>
  <c r="P868" i="1"/>
  <c r="Q868" i="1"/>
  <c r="R868" i="1"/>
  <c r="S868" i="1"/>
  <c r="P869" i="1"/>
  <c r="Q869" i="1"/>
  <c r="P870" i="1"/>
  <c r="Q870" i="1"/>
  <c r="R870" i="1"/>
  <c r="S870" i="1" s="1"/>
  <c r="P871" i="1"/>
  <c r="R871" i="1" s="1"/>
  <c r="S871" i="1" s="1"/>
  <c r="Q871" i="1"/>
  <c r="P872" i="1"/>
  <c r="Q872" i="1"/>
  <c r="R872" i="1"/>
  <c r="S872" i="1"/>
  <c r="P873" i="1"/>
  <c r="R873" i="1" s="1"/>
  <c r="S873" i="1" s="1"/>
  <c r="Q873" i="1"/>
  <c r="P874" i="1"/>
  <c r="Q874" i="1"/>
  <c r="R874" i="1"/>
  <c r="S874" i="1" s="1"/>
  <c r="P875" i="1"/>
  <c r="Q875" i="1"/>
  <c r="R875" i="1"/>
  <c r="S875" i="1"/>
  <c r="P876" i="1"/>
  <c r="Q876" i="1"/>
  <c r="P877" i="1"/>
  <c r="Q877" i="1"/>
  <c r="R877" i="1"/>
  <c r="S877" i="1"/>
  <c r="P878" i="1"/>
  <c r="R878" i="1" s="1"/>
  <c r="S878" i="1" s="1"/>
  <c r="Q878" i="1"/>
  <c r="P879" i="1"/>
  <c r="Q879" i="1"/>
  <c r="P880" i="1"/>
  <c r="R880" i="1" s="1"/>
  <c r="S880" i="1" s="1"/>
  <c r="Q880" i="1"/>
  <c r="P881" i="1"/>
  <c r="Q881" i="1"/>
  <c r="R881" i="1"/>
  <c r="S881" i="1"/>
  <c r="P882" i="1"/>
  <c r="R882" i="1" s="1"/>
  <c r="S882" i="1" s="1"/>
  <c r="Q882" i="1"/>
  <c r="P883" i="1"/>
  <c r="Q883" i="1"/>
  <c r="R883" i="1"/>
  <c r="S883" i="1" s="1"/>
  <c r="P884" i="1"/>
  <c r="Q884" i="1"/>
  <c r="R884" i="1" s="1"/>
  <c r="S884" i="1" s="1"/>
  <c r="P885" i="1"/>
  <c r="Q885" i="1"/>
  <c r="R885" i="1"/>
  <c r="S885" i="1" s="1"/>
  <c r="P886" i="1"/>
  <c r="R886" i="1" s="1"/>
  <c r="S886" i="1" s="1"/>
  <c r="Q886" i="1"/>
  <c r="P887" i="1"/>
  <c r="Q887" i="1"/>
  <c r="R887" i="1"/>
  <c r="S887" i="1"/>
  <c r="P888" i="1"/>
  <c r="R888" i="1" s="1"/>
  <c r="S888" i="1" s="1"/>
  <c r="Q888" i="1"/>
  <c r="P889" i="1"/>
  <c r="R889" i="1" s="1"/>
  <c r="S889" i="1" s="1"/>
  <c r="Q889" i="1"/>
  <c r="P890" i="1"/>
  <c r="R890" i="1" s="1"/>
  <c r="Q890" i="1"/>
  <c r="S890" i="1"/>
  <c r="P891" i="1"/>
  <c r="Q891" i="1"/>
  <c r="R891" i="1" s="1"/>
  <c r="S891" i="1" s="1"/>
  <c r="P892" i="1"/>
  <c r="Q892" i="1"/>
  <c r="R892" i="1"/>
  <c r="S892" i="1" s="1"/>
  <c r="P893" i="1"/>
  <c r="R893" i="1" s="1"/>
  <c r="S893" i="1" s="1"/>
  <c r="Q893" i="1"/>
  <c r="P894" i="1"/>
  <c r="Q894" i="1"/>
  <c r="R894" i="1"/>
  <c r="S894" i="1" s="1"/>
  <c r="P895" i="1"/>
  <c r="Q895" i="1"/>
  <c r="R895" i="1"/>
  <c r="S895" i="1"/>
  <c r="P896" i="1"/>
  <c r="Q896" i="1"/>
  <c r="P897" i="1"/>
  <c r="R897" i="1" s="1"/>
  <c r="S897" i="1" s="1"/>
  <c r="Q897" i="1"/>
  <c r="P898" i="1"/>
  <c r="Q898" i="1"/>
  <c r="R898" i="1"/>
  <c r="S898" i="1"/>
  <c r="P899" i="1"/>
  <c r="Q899" i="1"/>
  <c r="R899" i="1"/>
  <c r="S899" i="1"/>
  <c r="P900" i="1"/>
  <c r="R900" i="1" s="1"/>
  <c r="S900" i="1" s="1"/>
  <c r="Q900" i="1"/>
  <c r="P901" i="1"/>
  <c r="Q901" i="1"/>
  <c r="R901" i="1"/>
  <c r="S901" i="1"/>
  <c r="P902" i="1"/>
  <c r="Q902" i="1"/>
  <c r="R902" i="1"/>
  <c r="S902" i="1"/>
  <c r="P903" i="1"/>
  <c r="Q903" i="1"/>
  <c r="P904" i="1"/>
  <c r="R904" i="1" s="1"/>
  <c r="S904" i="1" s="1"/>
  <c r="Q904" i="1"/>
  <c r="P905" i="1"/>
  <c r="Q905" i="1"/>
  <c r="R905" i="1"/>
  <c r="S905" i="1"/>
  <c r="P906" i="1"/>
  <c r="Q906" i="1"/>
  <c r="R906" i="1"/>
  <c r="S906" i="1" s="1"/>
  <c r="P907" i="1"/>
  <c r="Q907" i="1"/>
  <c r="R907" i="1"/>
  <c r="S907" i="1" s="1"/>
  <c r="P908" i="1"/>
  <c r="Q908" i="1"/>
  <c r="R908" i="1"/>
  <c r="S908" i="1"/>
  <c r="P909" i="1"/>
  <c r="Q909" i="1"/>
  <c r="P910" i="1"/>
  <c r="Q910" i="1"/>
  <c r="R910" i="1"/>
  <c r="S910" i="1"/>
  <c r="P911" i="1"/>
  <c r="R911" i="1" s="1"/>
  <c r="S911" i="1" s="1"/>
  <c r="Q911" i="1"/>
  <c r="P912" i="1"/>
  <c r="Q912" i="1"/>
  <c r="P913" i="1"/>
  <c r="Q913" i="1"/>
  <c r="R913" i="1"/>
  <c r="S913" i="1"/>
  <c r="P914" i="1"/>
  <c r="Q914" i="1"/>
  <c r="R914" i="1"/>
  <c r="S914" i="1" s="1"/>
  <c r="P915" i="1"/>
  <c r="Q915" i="1"/>
  <c r="P916" i="1"/>
  <c r="R916" i="1" s="1"/>
  <c r="S916" i="1" s="1"/>
  <c r="Q916" i="1"/>
  <c r="P917" i="1"/>
  <c r="R917" i="1" s="1"/>
  <c r="S917" i="1" s="1"/>
  <c r="Q917" i="1"/>
  <c r="P918" i="1"/>
  <c r="R918" i="1" s="1"/>
  <c r="S918" i="1" s="1"/>
  <c r="Q918" i="1"/>
  <c r="P919" i="1"/>
  <c r="Q919" i="1"/>
  <c r="P920" i="1"/>
  <c r="Q920" i="1"/>
  <c r="R920" i="1"/>
  <c r="S920" i="1"/>
  <c r="P921" i="1"/>
  <c r="R921" i="1" s="1"/>
  <c r="S921" i="1" s="1"/>
  <c r="Q921" i="1"/>
  <c r="P922" i="1"/>
  <c r="Q922" i="1"/>
  <c r="R922" i="1"/>
  <c r="S922" i="1"/>
  <c r="P923" i="1"/>
  <c r="R923" i="1" s="1"/>
  <c r="S923" i="1" s="1"/>
  <c r="Q923" i="1"/>
  <c r="P924" i="1"/>
  <c r="Q924" i="1"/>
  <c r="R924" i="1"/>
  <c r="S924" i="1" s="1"/>
  <c r="P925" i="1"/>
  <c r="R925" i="1" s="1"/>
  <c r="S925" i="1" s="1"/>
  <c r="Q925" i="1"/>
  <c r="P926" i="1"/>
  <c r="R926" i="1" s="1"/>
  <c r="S926" i="1" s="1"/>
  <c r="Q926" i="1"/>
  <c r="P927" i="1"/>
  <c r="Q927" i="1"/>
  <c r="R927" i="1" s="1"/>
  <c r="S927" i="1" s="1"/>
  <c r="P928" i="1"/>
  <c r="Q928" i="1"/>
  <c r="R928" i="1"/>
  <c r="S928" i="1" s="1"/>
  <c r="P929" i="1"/>
  <c r="Q929" i="1"/>
  <c r="R929" i="1"/>
  <c r="S929" i="1" s="1"/>
  <c r="P930" i="1"/>
  <c r="R930" i="1" s="1"/>
  <c r="S930" i="1" s="1"/>
  <c r="Q930" i="1"/>
  <c r="P931" i="1"/>
  <c r="Q931" i="1"/>
  <c r="R931" i="1"/>
  <c r="S931" i="1"/>
  <c r="P932" i="1"/>
  <c r="Q932" i="1"/>
  <c r="R932" i="1"/>
  <c r="S932" i="1"/>
  <c r="P933" i="1"/>
  <c r="R933" i="1" s="1"/>
  <c r="S933" i="1" s="1"/>
  <c r="Q933" i="1"/>
  <c r="P934" i="1"/>
  <c r="Q934" i="1"/>
  <c r="R934" i="1"/>
  <c r="S934" i="1"/>
  <c r="P935" i="1"/>
  <c r="Q935" i="1"/>
  <c r="P936" i="1"/>
  <c r="Q936" i="1"/>
  <c r="P937" i="1"/>
  <c r="Q937" i="1"/>
  <c r="P938" i="1"/>
  <c r="Q938" i="1"/>
  <c r="R938" i="1"/>
  <c r="S938" i="1"/>
  <c r="P939" i="1"/>
  <c r="Q939" i="1"/>
  <c r="P940" i="1"/>
  <c r="Q940" i="1"/>
  <c r="R940" i="1"/>
  <c r="S940" i="1"/>
  <c r="P941" i="1"/>
  <c r="R941" i="1" s="1"/>
  <c r="S941" i="1" s="1"/>
  <c r="Q941" i="1"/>
  <c r="P942" i="1"/>
  <c r="R942" i="1" s="1"/>
  <c r="S942" i="1" s="1"/>
  <c r="Q942" i="1"/>
  <c r="P943" i="1"/>
  <c r="Q943" i="1"/>
  <c r="R943" i="1"/>
  <c r="S943" i="1"/>
  <c r="P944" i="1"/>
  <c r="Q944" i="1"/>
  <c r="P945" i="1"/>
  <c r="Q945" i="1"/>
  <c r="P946" i="1"/>
  <c r="R946" i="1" s="1"/>
  <c r="S946" i="1" s="1"/>
  <c r="Q946" i="1"/>
  <c r="P947" i="1"/>
  <c r="Q947" i="1"/>
  <c r="R947" i="1"/>
  <c r="S947" i="1"/>
  <c r="P948" i="1"/>
  <c r="R948" i="1" s="1"/>
  <c r="S948" i="1" s="1"/>
  <c r="Q948" i="1"/>
  <c r="P949" i="1"/>
  <c r="Q949" i="1"/>
  <c r="R949" i="1"/>
  <c r="S949" i="1" s="1"/>
  <c r="P950" i="1"/>
  <c r="R950" i="1" s="1"/>
  <c r="S950" i="1" s="1"/>
  <c r="Q950" i="1"/>
  <c r="P951" i="1"/>
  <c r="Q951" i="1"/>
  <c r="P952" i="1"/>
  <c r="R952" i="1" s="1"/>
  <c r="S952" i="1" s="1"/>
  <c r="Q952" i="1"/>
  <c r="P953" i="1"/>
  <c r="Q953" i="1"/>
  <c r="R953" i="1"/>
  <c r="S953" i="1"/>
  <c r="P954" i="1"/>
  <c r="R954" i="1" s="1"/>
  <c r="S954" i="1" s="1"/>
  <c r="Q954" i="1"/>
  <c r="P955" i="1"/>
  <c r="Q955" i="1"/>
  <c r="P956" i="1"/>
  <c r="Q956" i="1"/>
  <c r="P957" i="1"/>
  <c r="Q957" i="1"/>
  <c r="R957" i="1"/>
  <c r="S957" i="1" s="1"/>
  <c r="P958" i="1"/>
  <c r="R958" i="1" s="1"/>
  <c r="S958" i="1" s="1"/>
  <c r="Q958" i="1"/>
  <c r="P959" i="1"/>
  <c r="R959" i="1" s="1"/>
  <c r="S959" i="1" s="1"/>
  <c r="Q959" i="1"/>
  <c r="P960" i="1"/>
  <c r="Q960" i="1"/>
  <c r="R960" i="1"/>
  <c r="S960" i="1" s="1"/>
  <c r="P961" i="1"/>
  <c r="Q961" i="1"/>
  <c r="R961" i="1"/>
  <c r="S961" i="1"/>
  <c r="P962" i="1"/>
  <c r="R962" i="1" s="1"/>
  <c r="S962" i="1" s="1"/>
  <c r="Q962" i="1"/>
  <c r="P963" i="1"/>
  <c r="Q963" i="1"/>
  <c r="R963" i="1" s="1"/>
  <c r="S963" i="1" s="1"/>
  <c r="P964" i="1"/>
  <c r="Q964" i="1"/>
  <c r="R964" i="1"/>
  <c r="S964" i="1"/>
  <c r="P965" i="1"/>
  <c r="Q965" i="1"/>
  <c r="R965" i="1"/>
  <c r="S965" i="1"/>
  <c r="P966" i="1"/>
  <c r="R966" i="1" s="1"/>
  <c r="S966" i="1" s="1"/>
  <c r="Q966" i="1"/>
  <c r="P967" i="1"/>
  <c r="Q967" i="1"/>
  <c r="R967" i="1"/>
  <c r="S967" i="1"/>
  <c r="P968" i="1"/>
  <c r="Q968" i="1"/>
  <c r="R968" i="1"/>
  <c r="S968" i="1"/>
  <c r="P969" i="1"/>
  <c r="Q969" i="1"/>
  <c r="P970" i="1"/>
  <c r="R970" i="1" s="1"/>
  <c r="S970" i="1" s="1"/>
  <c r="Q970" i="1"/>
  <c r="P971" i="1"/>
  <c r="Q971" i="1"/>
  <c r="R971" i="1"/>
  <c r="S971" i="1"/>
  <c r="P972" i="1"/>
  <c r="Q972" i="1"/>
  <c r="P973" i="1"/>
  <c r="Q973" i="1"/>
  <c r="R973" i="1"/>
  <c r="S973" i="1" s="1"/>
  <c r="P974" i="1"/>
  <c r="Q974" i="1"/>
  <c r="R974" i="1"/>
  <c r="S974" i="1" s="1"/>
  <c r="P975" i="1"/>
  <c r="Q975" i="1"/>
  <c r="P976" i="1"/>
  <c r="Q976" i="1"/>
  <c r="R976" i="1"/>
  <c r="S976" i="1"/>
  <c r="P977" i="1"/>
  <c r="R977" i="1" s="1"/>
  <c r="S977" i="1" s="1"/>
  <c r="Q977" i="1"/>
  <c r="P978" i="1"/>
  <c r="R978" i="1" s="1"/>
  <c r="S978" i="1" s="1"/>
  <c r="Q978" i="1"/>
  <c r="P979" i="1"/>
  <c r="Q979" i="1"/>
  <c r="R979" i="1"/>
  <c r="S979" i="1"/>
  <c r="P980" i="1"/>
  <c r="Q980" i="1"/>
  <c r="P981" i="1"/>
  <c r="Q981" i="1"/>
  <c r="P982" i="1"/>
  <c r="Q982" i="1"/>
  <c r="R982" i="1"/>
  <c r="S982" i="1" s="1"/>
  <c r="P983" i="1"/>
  <c r="Q983" i="1"/>
  <c r="R983" i="1"/>
  <c r="S983" i="1"/>
  <c r="P984" i="1"/>
  <c r="Q984" i="1"/>
  <c r="P985" i="1"/>
  <c r="Q985" i="1"/>
  <c r="R985" i="1"/>
  <c r="S985" i="1"/>
  <c r="P986" i="1"/>
  <c r="R986" i="1" s="1"/>
  <c r="S986" i="1" s="1"/>
  <c r="Q986" i="1"/>
  <c r="P987" i="1"/>
  <c r="Q987" i="1"/>
  <c r="P988" i="1"/>
  <c r="Q988" i="1"/>
  <c r="R988" i="1"/>
  <c r="S988" i="1"/>
  <c r="P989" i="1"/>
  <c r="Q989" i="1"/>
  <c r="R989" i="1"/>
  <c r="S989" i="1" s="1"/>
  <c r="P990" i="1"/>
  <c r="Q990" i="1"/>
  <c r="R990" i="1"/>
  <c r="S990" i="1" s="1"/>
  <c r="P991" i="1"/>
  <c r="R991" i="1" s="1"/>
  <c r="S991" i="1" s="1"/>
  <c r="Q991" i="1"/>
  <c r="P992" i="1"/>
  <c r="Q992" i="1"/>
  <c r="R992" i="1"/>
  <c r="S992" i="1"/>
  <c r="P993" i="1"/>
  <c r="R993" i="1" s="1"/>
  <c r="S993" i="1" s="1"/>
  <c r="Q993" i="1"/>
  <c r="P994" i="1"/>
  <c r="Q994" i="1"/>
  <c r="P995" i="1"/>
  <c r="Q995" i="1"/>
  <c r="R995" i="1"/>
  <c r="S995" i="1"/>
  <c r="P996" i="1"/>
  <c r="Q996" i="1"/>
  <c r="R996" i="1"/>
  <c r="S996" i="1" s="1"/>
  <c r="P997" i="1"/>
  <c r="R997" i="1" s="1"/>
  <c r="S997" i="1" s="1"/>
  <c r="Q997" i="1"/>
  <c r="P998" i="1"/>
  <c r="Q998" i="1"/>
  <c r="R998" i="1"/>
  <c r="S998" i="1"/>
  <c r="P999" i="1"/>
  <c r="Q999" i="1"/>
  <c r="R999" i="1" s="1"/>
  <c r="S999" i="1" s="1"/>
  <c r="P1000" i="1"/>
  <c r="Q1000" i="1"/>
  <c r="R1000" i="1"/>
  <c r="S1000" i="1"/>
  <c r="P1001" i="1"/>
  <c r="R1001" i="1" s="1"/>
  <c r="S1001" i="1" s="1"/>
  <c r="Q1001" i="1"/>
  <c r="P1002" i="1"/>
  <c r="Q1002" i="1"/>
  <c r="R1002" i="1"/>
  <c r="S1002" i="1" s="1"/>
  <c r="P1003" i="1"/>
  <c r="Q1003" i="1"/>
  <c r="R1003" i="1"/>
  <c r="S1003" i="1"/>
  <c r="P1004" i="1"/>
  <c r="Q1004" i="1"/>
  <c r="P1005" i="1"/>
  <c r="Q1005" i="1"/>
  <c r="P1006" i="1"/>
  <c r="R1006" i="1" s="1"/>
  <c r="S1006" i="1" s="1"/>
  <c r="Q1006" i="1"/>
  <c r="P1007" i="1"/>
  <c r="Q1007" i="1"/>
  <c r="R1007" i="1"/>
  <c r="S1007" i="1"/>
  <c r="P1008" i="1"/>
  <c r="Q1008" i="1"/>
  <c r="P1009" i="1"/>
  <c r="R1009" i="1" s="1"/>
  <c r="S1009" i="1" s="1"/>
  <c r="Q1009" i="1"/>
  <c r="P1010" i="1"/>
  <c r="Q1010" i="1"/>
  <c r="R1010" i="1"/>
  <c r="S1010" i="1"/>
  <c r="P1011" i="1"/>
  <c r="Q1011" i="1"/>
  <c r="P1012" i="1"/>
  <c r="Q1012" i="1"/>
  <c r="R1012" i="1"/>
  <c r="S1012" i="1"/>
  <c r="P1013" i="1"/>
  <c r="R1013" i="1" s="1"/>
  <c r="S1013" i="1" s="1"/>
  <c r="Q1013" i="1"/>
  <c r="P1014" i="1"/>
  <c r="Q1014" i="1"/>
  <c r="R1014" i="1"/>
  <c r="S1014" i="1" s="1"/>
  <c r="P1015" i="1"/>
  <c r="R1015" i="1" s="1"/>
  <c r="Q1015" i="1"/>
  <c r="S1015" i="1"/>
  <c r="P1016" i="1"/>
  <c r="R1016" i="1" s="1"/>
  <c r="S1016" i="1" s="1"/>
  <c r="Q1016" i="1"/>
  <c r="P1017" i="1"/>
  <c r="Q1017" i="1"/>
  <c r="P1018" i="1"/>
  <c r="Q1018" i="1"/>
  <c r="R1018" i="1"/>
  <c r="S1018" i="1" s="1"/>
  <c r="P1019" i="1"/>
  <c r="Q1019" i="1"/>
  <c r="R1019" i="1"/>
  <c r="S1019" i="1"/>
  <c r="P1020" i="1"/>
  <c r="R1020" i="1" s="1"/>
  <c r="S1020" i="1" s="1"/>
  <c r="Q1020" i="1"/>
  <c r="P1021" i="1"/>
  <c r="Q1021" i="1"/>
  <c r="R1021" i="1"/>
  <c r="S1021" i="1"/>
  <c r="P1022" i="1"/>
  <c r="R1022" i="1" s="1"/>
  <c r="Q1022" i="1"/>
  <c r="S1022" i="1"/>
  <c r="P1023" i="1"/>
  <c r="Q1023" i="1"/>
  <c r="P1024" i="1"/>
  <c r="R1024" i="1" s="1"/>
  <c r="S1024" i="1" s="1"/>
  <c r="Q1024" i="1"/>
  <c r="P1025" i="1"/>
  <c r="Q1025" i="1"/>
  <c r="R1025" i="1"/>
  <c r="S1025" i="1" s="1"/>
  <c r="P1026" i="1"/>
  <c r="Q1026" i="1"/>
  <c r="R1026" i="1"/>
  <c r="S1026" i="1" s="1"/>
  <c r="P1027" i="1"/>
  <c r="Q1027" i="1"/>
  <c r="R1027" i="1"/>
  <c r="S1027" i="1"/>
  <c r="P1028" i="1"/>
  <c r="R1028" i="1" s="1"/>
  <c r="S1028" i="1" s="1"/>
  <c r="Q1028" i="1"/>
  <c r="P1029" i="1"/>
  <c r="Q1029" i="1"/>
  <c r="R1029" i="1"/>
  <c r="S1029" i="1" s="1"/>
  <c r="P1030" i="1"/>
  <c r="Q1030" i="1"/>
  <c r="R1030" i="1"/>
  <c r="S1030" i="1"/>
  <c r="P1031" i="1"/>
  <c r="R1031" i="1" s="1"/>
  <c r="S1031" i="1" s="1"/>
  <c r="Q1031" i="1"/>
  <c r="P1032" i="1"/>
  <c r="R1032" i="1" s="1"/>
  <c r="S1032" i="1" s="1"/>
  <c r="Q1032" i="1"/>
  <c r="P1033" i="1"/>
  <c r="Q1033" i="1"/>
  <c r="R1033" i="1"/>
  <c r="S1033" i="1"/>
  <c r="P1034" i="1"/>
  <c r="Q1034" i="1"/>
  <c r="R1034" i="1"/>
  <c r="S1034" i="1" s="1"/>
  <c r="P1035" i="1"/>
  <c r="Q1035" i="1"/>
  <c r="R1035" i="1" s="1"/>
  <c r="S1035" i="1" s="1"/>
  <c r="P1036" i="1"/>
  <c r="Q1036" i="1"/>
  <c r="R1036" i="1"/>
  <c r="S1036" i="1"/>
  <c r="P1037" i="1"/>
  <c r="Q1037" i="1"/>
  <c r="R1037" i="1"/>
  <c r="S1037" i="1"/>
  <c r="P1038" i="1"/>
  <c r="R1038" i="1" s="1"/>
  <c r="S1038" i="1" s="1"/>
  <c r="Q1038" i="1"/>
  <c r="P1039" i="1"/>
  <c r="R1039" i="1" s="1"/>
  <c r="Q1039" i="1"/>
  <c r="S1039" i="1"/>
  <c r="P1040" i="1"/>
  <c r="Q1040" i="1"/>
  <c r="R1040" i="1"/>
  <c r="S1040" i="1"/>
  <c r="P1041" i="1"/>
  <c r="Q1041" i="1"/>
  <c r="P1042" i="1"/>
  <c r="R1042" i="1" s="1"/>
  <c r="S1042" i="1" s="1"/>
  <c r="Q1042" i="1"/>
  <c r="P1043" i="1"/>
  <c r="Q1043" i="1"/>
  <c r="R1043" i="1"/>
  <c r="S1043" i="1"/>
  <c r="P1044" i="1"/>
  <c r="Q1044" i="1"/>
  <c r="P1045" i="1"/>
  <c r="Q1045" i="1"/>
  <c r="R1045" i="1"/>
  <c r="S1045" i="1"/>
  <c r="P1046" i="1"/>
  <c r="R1046" i="1" s="1"/>
  <c r="S1046" i="1" s="1"/>
  <c r="Q1046" i="1"/>
  <c r="P1047" i="1"/>
  <c r="Q1047" i="1"/>
  <c r="P1048" i="1"/>
  <c r="Q1048" i="1"/>
  <c r="R1048" i="1"/>
  <c r="S1048" i="1"/>
  <c r="P1049" i="1"/>
  <c r="Q1049" i="1"/>
  <c r="R1049" i="1"/>
  <c r="S1049" i="1" s="1"/>
  <c r="P1050" i="1"/>
  <c r="Q1050" i="1"/>
  <c r="R1050" i="1"/>
  <c r="S1050" i="1" s="1"/>
  <c r="P1051" i="1"/>
  <c r="Q1051" i="1"/>
  <c r="R1051" i="1"/>
  <c r="S1051" i="1"/>
  <c r="P1052" i="1"/>
  <c r="Q1052" i="1"/>
  <c r="R1052" i="1"/>
  <c r="S1052" i="1"/>
  <c r="P1053" i="1"/>
  <c r="Q1053" i="1"/>
  <c r="P1054" i="1"/>
  <c r="Q1054" i="1"/>
  <c r="R1054" i="1"/>
  <c r="S1054" i="1"/>
  <c r="P1055" i="1"/>
  <c r="Q1055" i="1"/>
  <c r="R1055" i="1"/>
  <c r="S1055" i="1"/>
  <c r="P1056" i="1"/>
  <c r="Q1056" i="1"/>
  <c r="P1057" i="1"/>
  <c r="Q1057" i="1"/>
  <c r="R1057" i="1"/>
  <c r="S1057" i="1"/>
  <c r="P1058" i="1"/>
  <c r="Q1058" i="1"/>
  <c r="R1058" i="1"/>
  <c r="S1058" i="1"/>
  <c r="P1059" i="1"/>
  <c r="Q1059" i="1"/>
  <c r="P1060" i="1"/>
  <c r="Q1060" i="1"/>
  <c r="P1061" i="1"/>
  <c r="R1061" i="1" s="1"/>
  <c r="S1061" i="1" s="1"/>
  <c r="Q1061" i="1"/>
  <c r="P1062" i="1"/>
  <c r="Q1062" i="1"/>
  <c r="P1063" i="1"/>
  <c r="Q1063" i="1"/>
  <c r="R1063" i="1"/>
  <c r="S1063" i="1"/>
  <c r="P1064" i="1"/>
  <c r="Q1064" i="1"/>
  <c r="R1064" i="1"/>
  <c r="S1064" i="1" s="1"/>
  <c r="P1065" i="1"/>
  <c r="Q1065" i="1"/>
  <c r="P1066" i="1"/>
  <c r="Q1066" i="1"/>
  <c r="R1066" i="1"/>
  <c r="S1066" i="1"/>
  <c r="P1067" i="1"/>
  <c r="Q1067" i="1"/>
  <c r="P1068" i="1"/>
  <c r="Q1068" i="1"/>
  <c r="P1069" i="1"/>
  <c r="R1069" i="1" s="1"/>
  <c r="S1069" i="1" s="1"/>
  <c r="Q1069" i="1"/>
  <c r="P1070" i="1"/>
  <c r="Q1070" i="1"/>
  <c r="R1070" i="1"/>
  <c r="S1070" i="1"/>
  <c r="P1071" i="1"/>
  <c r="Q1071" i="1"/>
  <c r="P1072" i="1"/>
  <c r="Q1072" i="1"/>
  <c r="R1072" i="1"/>
  <c r="S1072" i="1" s="1"/>
  <c r="P1073" i="1"/>
  <c r="Q1073" i="1"/>
  <c r="R1073" i="1"/>
  <c r="S1073" i="1"/>
  <c r="P1074" i="1"/>
  <c r="Q1074" i="1"/>
  <c r="P1075" i="1"/>
  <c r="Q1075" i="1"/>
  <c r="R1075" i="1"/>
  <c r="S1075" i="1"/>
  <c r="P1076" i="1"/>
  <c r="R1076" i="1" s="1"/>
  <c r="S1076" i="1" s="1"/>
  <c r="Q1076" i="1"/>
  <c r="P1077" i="1"/>
  <c r="Q1077" i="1"/>
  <c r="P1078" i="1"/>
  <c r="Q1078" i="1"/>
  <c r="P1079" i="1"/>
  <c r="Q1079" i="1"/>
  <c r="R1079" i="1"/>
  <c r="S1079" i="1"/>
  <c r="P1080" i="1"/>
  <c r="R1080" i="1" s="1"/>
  <c r="S1080" i="1" s="1"/>
  <c r="Q1080" i="1"/>
  <c r="P1081" i="1"/>
  <c r="Q1081" i="1"/>
  <c r="R1081" i="1"/>
  <c r="S1081" i="1"/>
  <c r="P1082" i="1"/>
  <c r="Q1082" i="1"/>
  <c r="R1082" i="1"/>
  <c r="S1082" i="1"/>
  <c r="P1083" i="1"/>
  <c r="Q1083" i="1"/>
  <c r="P1084" i="1"/>
  <c r="R1084" i="1" s="1"/>
  <c r="S1084" i="1" s="1"/>
  <c r="Q1084" i="1"/>
  <c r="P1085" i="1"/>
  <c r="Q1085" i="1"/>
  <c r="P1086" i="1"/>
  <c r="Q1086" i="1"/>
  <c r="P1087" i="1"/>
  <c r="Q1087" i="1"/>
  <c r="R1087" i="1"/>
  <c r="S1087" i="1"/>
  <c r="P1088" i="1"/>
  <c r="R1088" i="1" s="1"/>
  <c r="S1088" i="1" s="1"/>
  <c r="Q1088" i="1"/>
  <c r="P1089" i="1"/>
  <c r="Q1089" i="1"/>
  <c r="P1090" i="1"/>
  <c r="Q1090" i="1"/>
  <c r="R1090" i="1"/>
  <c r="S1090" i="1"/>
  <c r="P1091" i="1"/>
  <c r="Q1091" i="1"/>
  <c r="R1091" i="1"/>
  <c r="S1091" i="1" s="1"/>
  <c r="P1092" i="1"/>
  <c r="Q1092" i="1"/>
  <c r="P1093" i="1"/>
  <c r="Q1093" i="1"/>
  <c r="R1093" i="1"/>
  <c r="S1093" i="1"/>
  <c r="P1094" i="1"/>
  <c r="Q1094" i="1"/>
  <c r="R1094" i="1"/>
  <c r="S1094" i="1"/>
  <c r="P1095" i="1"/>
  <c r="R1095" i="1" s="1"/>
  <c r="S1095" i="1" s="1"/>
  <c r="Q1095" i="1"/>
  <c r="P1096" i="1"/>
  <c r="Q1096" i="1"/>
  <c r="P1097" i="1"/>
  <c r="Q1097" i="1"/>
  <c r="R1097" i="1"/>
  <c r="S1097" i="1"/>
  <c r="P1098" i="1"/>
  <c r="Q1098" i="1"/>
  <c r="P1099" i="1"/>
  <c r="Q1099" i="1"/>
  <c r="R1099" i="1"/>
  <c r="S1099" i="1" s="1"/>
  <c r="P1100" i="1"/>
  <c r="Q1100" i="1"/>
  <c r="R1100" i="1"/>
  <c r="S1100" i="1"/>
  <c r="P1101" i="1"/>
  <c r="Q1101" i="1"/>
  <c r="P1102" i="1"/>
  <c r="Q1102" i="1"/>
  <c r="R1102" i="1"/>
  <c r="S1102" i="1"/>
  <c r="P1103" i="1"/>
  <c r="R1103" i="1" s="1"/>
  <c r="S1103" i="1" s="1"/>
  <c r="Q1103" i="1"/>
  <c r="P1104" i="1"/>
  <c r="Q1104" i="1"/>
  <c r="P1105" i="1"/>
  <c r="Q1105" i="1"/>
  <c r="R1105" i="1"/>
  <c r="S1105" i="1"/>
  <c r="P1106" i="1"/>
  <c r="Q1106" i="1"/>
  <c r="R1106" i="1"/>
  <c r="S1106" i="1"/>
  <c r="P1107" i="1"/>
  <c r="R1107" i="1" s="1"/>
  <c r="S1107" i="1" s="1"/>
  <c r="Q1107" i="1"/>
  <c r="P1108" i="1"/>
  <c r="Q1108" i="1"/>
  <c r="R1108" i="1"/>
  <c r="S1108" i="1"/>
  <c r="P1109" i="1"/>
  <c r="Q1109" i="1"/>
  <c r="R1109" i="1"/>
  <c r="S1109" i="1"/>
  <c r="P1110" i="1"/>
  <c r="Q1110" i="1"/>
  <c r="P1111" i="1"/>
  <c r="Q1111" i="1"/>
  <c r="R1111" i="1"/>
  <c r="S1111" i="1"/>
  <c r="P1112" i="1"/>
  <c r="Q1112" i="1"/>
  <c r="R1112" i="1"/>
  <c r="S1112" i="1"/>
  <c r="P1113" i="1"/>
  <c r="Q1113" i="1"/>
  <c r="P1114" i="1"/>
  <c r="Q1114" i="1"/>
  <c r="P1115" i="1"/>
  <c r="R1115" i="1" s="1"/>
  <c r="S1115" i="1" s="1"/>
  <c r="Q1115" i="1"/>
  <c r="P1116" i="1"/>
  <c r="Q1116" i="1"/>
  <c r="P1117" i="1"/>
  <c r="Q1117" i="1"/>
  <c r="R1117" i="1"/>
  <c r="S1117" i="1"/>
  <c r="P1118" i="1"/>
  <c r="Q1118" i="1"/>
  <c r="R1118" i="1"/>
  <c r="S1118" i="1" s="1"/>
  <c r="P1119" i="1"/>
  <c r="Q1119" i="1"/>
  <c r="P1120" i="1"/>
  <c r="Q1120" i="1"/>
  <c r="R1120" i="1"/>
  <c r="S1120" i="1"/>
  <c r="P1121" i="1"/>
  <c r="Q1121" i="1"/>
  <c r="P1122" i="1"/>
  <c r="Q1122" i="1"/>
  <c r="P1123" i="1"/>
  <c r="R1123" i="1" s="1"/>
  <c r="S1123" i="1" s="1"/>
  <c r="Q1123" i="1"/>
  <c r="P1124" i="1"/>
  <c r="Q1124" i="1"/>
  <c r="R1124" i="1"/>
  <c r="S1124" i="1"/>
  <c r="P1125" i="1"/>
  <c r="Q1125" i="1"/>
  <c r="P1126" i="1"/>
  <c r="Q1126" i="1"/>
  <c r="R1126" i="1"/>
  <c r="S1126" i="1" s="1"/>
  <c r="P1127" i="1"/>
  <c r="Q1127" i="1"/>
  <c r="R1127" i="1"/>
  <c r="S1127" i="1"/>
  <c r="P1128" i="1"/>
  <c r="Q1128" i="1"/>
  <c r="P1129" i="1"/>
  <c r="Q1129" i="1"/>
  <c r="R1129" i="1"/>
  <c r="S1129" i="1"/>
  <c r="P1130" i="1"/>
  <c r="R1130" i="1" s="1"/>
  <c r="S1130" i="1" s="1"/>
  <c r="Q1130" i="1"/>
  <c r="P1131" i="1"/>
  <c r="Q1131" i="1"/>
  <c r="P1132" i="1"/>
  <c r="Q1132" i="1"/>
  <c r="P1133" i="1"/>
  <c r="Q1133" i="1"/>
  <c r="R1133" i="1"/>
  <c r="S1133" i="1"/>
  <c r="P1134" i="1"/>
  <c r="R1134" i="1" s="1"/>
  <c r="S1134" i="1" s="1"/>
  <c r="Q1134" i="1"/>
  <c r="P1135" i="1"/>
  <c r="Q1135" i="1"/>
  <c r="R1135" i="1"/>
  <c r="S1135" i="1"/>
  <c r="P1136" i="1"/>
  <c r="Q1136" i="1"/>
  <c r="R1136" i="1"/>
  <c r="S1136" i="1"/>
  <c r="P1137" i="1"/>
  <c r="Q1137" i="1"/>
  <c r="P1138" i="1"/>
  <c r="R1138" i="1" s="1"/>
  <c r="S1138" i="1" s="1"/>
  <c r="Q1138" i="1"/>
  <c r="P1139" i="1"/>
  <c r="Q1139" i="1"/>
  <c r="P1140" i="1"/>
  <c r="Q1140" i="1"/>
  <c r="R1140" i="1"/>
  <c r="S1140" i="1"/>
  <c r="P1141" i="1"/>
  <c r="Q1141" i="1"/>
  <c r="P1142" i="1"/>
  <c r="Q1142" i="1"/>
  <c r="R1142" i="1"/>
  <c r="S1142" i="1" s="1"/>
  <c r="P1143" i="1"/>
  <c r="Q1143" i="1"/>
  <c r="P3" i="1"/>
  <c r="Q3" i="1"/>
  <c r="R3" i="1"/>
  <c r="S3" i="1"/>
  <c r="P4" i="1"/>
  <c r="Q4" i="1"/>
  <c r="R4" i="1"/>
  <c r="S4" i="1" s="1"/>
  <c r="P5" i="1"/>
  <c r="Q5" i="1"/>
  <c r="R5" i="1"/>
  <c r="S5" i="1" s="1"/>
  <c r="P6" i="1"/>
  <c r="Q6" i="1"/>
  <c r="R6" i="1"/>
  <c r="S6" i="1"/>
  <c r="P7" i="1"/>
  <c r="Q7" i="1"/>
  <c r="R7" i="1"/>
  <c r="S7" i="1"/>
  <c r="P8" i="1"/>
  <c r="Q8" i="1"/>
  <c r="R8" i="1"/>
  <c r="S8" i="1" s="1"/>
  <c r="Q2" i="1"/>
  <c r="P2" i="1"/>
  <c r="R2" i="1" s="1"/>
  <c r="S2" i="1" s="1"/>
  <c r="R798" i="1" l="1"/>
  <c r="S798" i="1" s="1"/>
  <c r="R1060" i="1"/>
  <c r="S1060" i="1" s="1"/>
  <c r="R1041" i="1"/>
  <c r="S1041" i="1" s="1"/>
  <c r="R661" i="1"/>
  <c r="S661" i="1" s="1"/>
  <c r="R307" i="1"/>
  <c r="S307" i="1" s="1"/>
  <c r="R1023" i="1"/>
  <c r="S1023" i="1" s="1"/>
  <c r="R597" i="1"/>
  <c r="S597" i="1" s="1"/>
  <c r="R1005" i="1"/>
  <c r="S1005" i="1" s="1"/>
  <c r="R1137" i="1"/>
  <c r="S1137" i="1" s="1"/>
  <c r="R1110" i="1"/>
  <c r="S1110" i="1" s="1"/>
  <c r="R423" i="1"/>
  <c r="S423" i="1" s="1"/>
  <c r="R225" i="1"/>
  <c r="S225" i="1" s="1"/>
  <c r="R111" i="1"/>
  <c r="S111" i="1" s="1"/>
  <c r="R936" i="1"/>
  <c r="S936" i="1" s="1"/>
  <c r="R1121" i="1"/>
  <c r="S1121" i="1" s="1"/>
  <c r="R1067" i="1"/>
  <c r="S1067" i="1" s="1"/>
  <c r="R792" i="1"/>
  <c r="S792" i="1" s="1"/>
  <c r="R39" i="1"/>
  <c r="S39" i="1" s="1"/>
  <c r="R1044" i="1"/>
  <c r="S1044" i="1" s="1"/>
  <c r="R1011" i="1"/>
  <c r="S1011" i="1" s="1"/>
  <c r="R944" i="1"/>
  <c r="S944" i="1" s="1"/>
  <c r="R683" i="1"/>
  <c r="S683" i="1" s="1"/>
  <c r="R353" i="1"/>
  <c r="S353" i="1" s="1"/>
  <c r="R1132" i="1"/>
  <c r="S1132" i="1" s="1"/>
  <c r="R1101" i="1"/>
  <c r="S1101" i="1" s="1"/>
  <c r="R1074" i="1"/>
  <c r="S1074" i="1" s="1"/>
  <c r="R980" i="1"/>
  <c r="S980" i="1" s="1"/>
  <c r="R972" i="1"/>
  <c r="S972" i="1" s="1"/>
  <c r="R919" i="1"/>
  <c r="S919" i="1" s="1"/>
  <c r="R246" i="1"/>
  <c r="S246" i="1" s="1"/>
  <c r="R237" i="1"/>
  <c r="S237" i="1" s="1"/>
  <c r="R67" i="1"/>
  <c r="S67" i="1" s="1"/>
  <c r="R688" i="1"/>
  <c r="S688" i="1" s="1"/>
  <c r="R179" i="1"/>
  <c r="S179" i="1" s="1"/>
  <c r="R165" i="1"/>
  <c r="S165" i="1" s="1"/>
  <c r="R1116" i="1"/>
  <c r="S1116" i="1" s="1"/>
  <c r="R1077" i="1"/>
  <c r="S1077" i="1" s="1"/>
  <c r="R1047" i="1"/>
  <c r="S1047" i="1" s="1"/>
  <c r="R236" i="1"/>
  <c r="S236" i="1" s="1"/>
  <c r="R85" i="1"/>
  <c r="S85" i="1" s="1"/>
  <c r="R1017" i="1"/>
  <c r="S1017" i="1" s="1"/>
  <c r="R975" i="1"/>
  <c r="S975" i="1" s="1"/>
  <c r="R955" i="1"/>
  <c r="S955" i="1" s="1"/>
  <c r="R909" i="1"/>
  <c r="S909" i="1" s="1"/>
  <c r="R706" i="1"/>
  <c r="S706" i="1" s="1"/>
  <c r="R541" i="1"/>
  <c r="S541" i="1" s="1"/>
  <c r="R385" i="1"/>
  <c r="S385" i="1" s="1"/>
  <c r="R164" i="1"/>
  <c r="S164" i="1" s="1"/>
  <c r="R148" i="1"/>
  <c r="S148" i="1" s="1"/>
  <c r="R76" i="1"/>
  <c r="S76" i="1" s="1"/>
  <c r="R937" i="1"/>
  <c r="S937" i="1" s="1"/>
  <c r="R852" i="1"/>
  <c r="S852" i="1" s="1"/>
  <c r="R221" i="1"/>
  <c r="S221" i="1" s="1"/>
  <c r="R196" i="1"/>
  <c r="S196" i="1" s="1"/>
  <c r="R131" i="1"/>
  <c r="S131" i="1" s="1"/>
  <c r="R55" i="1"/>
  <c r="S55" i="1" s="1"/>
  <c r="R1114" i="1"/>
  <c r="S1114" i="1" s="1"/>
  <c r="R499" i="1"/>
  <c r="S499" i="1" s="1"/>
  <c r="R291" i="1"/>
  <c r="S291" i="1" s="1"/>
  <c r="R951" i="1"/>
  <c r="S951" i="1" s="1"/>
  <c r="R864" i="1"/>
  <c r="S864" i="1" s="1"/>
  <c r="R1143" i="1"/>
  <c r="S1143" i="1" s="1"/>
  <c r="R1139" i="1"/>
  <c r="S1139" i="1" s="1"/>
  <c r="R1119" i="1"/>
  <c r="S1119" i="1" s="1"/>
  <c r="R1104" i="1"/>
  <c r="S1104" i="1" s="1"/>
  <c r="R1096" i="1"/>
  <c r="S1096" i="1" s="1"/>
  <c r="R1092" i="1"/>
  <c r="S1092" i="1" s="1"/>
  <c r="R1065" i="1"/>
  <c r="S1065" i="1" s="1"/>
  <c r="R994" i="1"/>
  <c r="S994" i="1" s="1"/>
  <c r="R876" i="1"/>
  <c r="S876" i="1" s="1"/>
  <c r="R836" i="1"/>
  <c r="S836" i="1" s="1"/>
  <c r="R705" i="1"/>
  <c r="S705" i="1" s="1"/>
  <c r="R611" i="1"/>
  <c r="S611" i="1" s="1"/>
  <c r="R476" i="1"/>
  <c r="S476" i="1" s="1"/>
  <c r="R409" i="1"/>
  <c r="S409" i="1" s="1"/>
  <c r="R389" i="1"/>
  <c r="S389" i="1" s="1"/>
  <c r="R379" i="1"/>
  <c r="S379" i="1" s="1"/>
  <c r="R896" i="1"/>
  <c r="S896" i="1" s="1"/>
  <c r="R1122" i="1"/>
  <c r="S1122" i="1" s="1"/>
  <c r="R1083" i="1"/>
  <c r="S1083" i="1" s="1"/>
  <c r="R1068" i="1"/>
  <c r="S1068" i="1" s="1"/>
  <c r="R1056" i="1"/>
  <c r="S1056" i="1" s="1"/>
  <c r="R969" i="1"/>
  <c r="S969" i="1" s="1"/>
  <c r="R861" i="1"/>
  <c r="S861" i="1" s="1"/>
  <c r="R1004" i="1"/>
  <c r="S1004" i="1" s="1"/>
  <c r="R903" i="1"/>
  <c r="S903" i="1" s="1"/>
  <c r="R766" i="1"/>
  <c r="S766" i="1" s="1"/>
  <c r="R589" i="1"/>
  <c r="S589" i="1" s="1"/>
  <c r="R135" i="1"/>
  <c r="S135" i="1" s="1"/>
  <c r="R59" i="1"/>
  <c r="S59" i="1" s="1"/>
  <c r="R1141" i="1"/>
  <c r="S1141" i="1" s="1"/>
  <c r="R1113" i="1"/>
  <c r="S1113" i="1" s="1"/>
  <c r="R1098" i="1"/>
  <c r="S1098" i="1" s="1"/>
  <c r="R1059" i="1"/>
  <c r="S1059" i="1" s="1"/>
  <c r="R727" i="1"/>
  <c r="S727" i="1" s="1"/>
  <c r="R412" i="1"/>
  <c r="S412" i="1" s="1"/>
  <c r="R144" i="1"/>
  <c r="S144" i="1" s="1"/>
  <c r="R1128" i="1"/>
  <c r="S1128" i="1" s="1"/>
  <c r="R1086" i="1"/>
  <c r="S1086" i="1" s="1"/>
  <c r="R1078" i="1"/>
  <c r="S1078" i="1" s="1"/>
  <c r="R935" i="1"/>
  <c r="S935" i="1" s="1"/>
  <c r="R869" i="1"/>
  <c r="S869" i="1" s="1"/>
  <c r="R855" i="1"/>
  <c r="S855" i="1" s="1"/>
  <c r="R819" i="1"/>
  <c r="S819" i="1" s="1"/>
  <c r="R143" i="1"/>
  <c r="S143" i="1" s="1"/>
  <c r="R71" i="1"/>
  <c r="S71" i="1" s="1"/>
  <c r="R1131" i="1"/>
  <c r="S1131" i="1" s="1"/>
  <c r="R1085" i="1"/>
  <c r="S1085" i="1" s="1"/>
  <c r="R1062" i="1"/>
  <c r="S1062" i="1" s="1"/>
  <c r="R987" i="1"/>
  <c r="S987" i="1" s="1"/>
  <c r="R828" i="1"/>
  <c r="S828" i="1" s="1"/>
  <c r="R760" i="1"/>
  <c r="S760" i="1" s="1"/>
  <c r="R184" i="1"/>
  <c r="S184" i="1" s="1"/>
  <c r="R848" i="1"/>
  <c r="S848" i="1" s="1"/>
  <c r="R771" i="1"/>
  <c r="S771" i="1" s="1"/>
  <c r="R758" i="1"/>
  <c r="S758" i="1" s="1"/>
  <c r="R629" i="1"/>
  <c r="S629" i="1" s="1"/>
  <c r="R374" i="1"/>
  <c r="S374" i="1" s="1"/>
  <c r="R981" i="1"/>
  <c r="S981" i="1" s="1"/>
  <c r="R879" i="1"/>
  <c r="S879" i="1" s="1"/>
  <c r="R703" i="1"/>
  <c r="S703" i="1" s="1"/>
  <c r="R566" i="1"/>
  <c r="S566" i="1" s="1"/>
  <c r="R562" i="1"/>
  <c r="S562" i="1" s="1"/>
  <c r="R549" i="1"/>
  <c r="S549" i="1" s="1"/>
  <c r="R493" i="1"/>
  <c r="S493" i="1" s="1"/>
  <c r="R480" i="1"/>
  <c r="S480" i="1" s="1"/>
  <c r="R392" i="1"/>
  <c r="S392" i="1" s="1"/>
  <c r="R279" i="1"/>
  <c r="S279" i="1" s="1"/>
  <c r="R52" i="1"/>
  <c r="S52" i="1" s="1"/>
  <c r="R956" i="1"/>
  <c r="S956" i="1" s="1"/>
  <c r="R945" i="1"/>
  <c r="S945" i="1" s="1"/>
  <c r="R676" i="1"/>
  <c r="S676" i="1" s="1"/>
  <c r="R1125" i="1"/>
  <c r="S1125" i="1" s="1"/>
  <c r="R1089" i="1"/>
  <c r="S1089" i="1" s="1"/>
  <c r="R1071" i="1"/>
  <c r="S1071" i="1" s="1"/>
  <c r="R1053" i="1"/>
  <c r="S1053" i="1" s="1"/>
  <c r="R1008" i="1"/>
  <c r="S1008" i="1" s="1"/>
  <c r="R984" i="1"/>
  <c r="S984" i="1" s="1"/>
  <c r="R912" i="1"/>
  <c r="S912" i="1" s="1"/>
  <c r="R790" i="1"/>
  <c r="S790" i="1" s="1"/>
  <c r="R777" i="1"/>
  <c r="S777" i="1" s="1"/>
  <c r="R756" i="1"/>
  <c r="S756" i="1" s="1"/>
  <c r="R737" i="1"/>
  <c r="S737" i="1" s="1"/>
  <c r="R729" i="1"/>
  <c r="S729" i="1" s="1"/>
  <c r="R693" i="1"/>
  <c r="S693" i="1" s="1"/>
  <c r="R640" i="1"/>
  <c r="S640" i="1" s="1"/>
  <c r="R602" i="1"/>
  <c r="S602" i="1" s="1"/>
  <c r="R527" i="1"/>
  <c r="S527" i="1" s="1"/>
  <c r="R479" i="1"/>
  <c r="S479" i="1" s="1"/>
  <c r="R429" i="1"/>
  <c r="S429" i="1" s="1"/>
  <c r="R287" i="1"/>
  <c r="S287" i="1" s="1"/>
  <c r="R701" i="1"/>
  <c r="S701" i="1" s="1"/>
  <c r="R675" i="1"/>
  <c r="S675" i="1" s="1"/>
  <c r="R644" i="1"/>
  <c r="S644" i="1" s="1"/>
  <c r="R617" i="1"/>
  <c r="S617" i="1" s="1"/>
  <c r="R539" i="1"/>
  <c r="S539" i="1" s="1"/>
  <c r="R858" i="1"/>
  <c r="S858" i="1" s="1"/>
  <c r="R810" i="1"/>
  <c r="S810" i="1" s="1"/>
  <c r="R707" i="1"/>
  <c r="S707" i="1" s="1"/>
  <c r="R641" i="1"/>
  <c r="S641" i="1" s="1"/>
  <c r="R591" i="1"/>
  <c r="S591" i="1" s="1"/>
  <c r="R435" i="1"/>
  <c r="S435" i="1" s="1"/>
  <c r="R306" i="1"/>
  <c r="S306" i="1" s="1"/>
  <c r="R276" i="1"/>
  <c r="S276" i="1" s="1"/>
  <c r="R41" i="1"/>
  <c r="S41" i="1" s="1"/>
  <c r="R36" i="1"/>
  <c r="S36" i="1" s="1"/>
  <c r="R939" i="1"/>
  <c r="S939" i="1" s="1"/>
  <c r="R915" i="1"/>
  <c r="S915" i="1" s="1"/>
  <c r="R857" i="1"/>
  <c r="S857" i="1" s="1"/>
  <c r="R845" i="1"/>
  <c r="S845" i="1" s="1"/>
  <c r="R822" i="1"/>
  <c r="S822" i="1" s="1"/>
  <c r="R809" i="1"/>
  <c r="S809" i="1" s="1"/>
  <c r="R788" i="1"/>
  <c r="S788" i="1" s="1"/>
  <c r="R780" i="1"/>
  <c r="S780" i="1" s="1"/>
  <c r="R719" i="1"/>
  <c r="S719" i="1" s="1"/>
  <c r="R715" i="1"/>
  <c r="S715" i="1" s="1"/>
  <c r="R702" i="1"/>
  <c r="S702" i="1" s="1"/>
  <c r="R645" i="1"/>
  <c r="S645" i="1" s="1"/>
  <c r="R632" i="1"/>
  <c r="S632" i="1" s="1"/>
  <c r="R578" i="1"/>
  <c r="S578" i="1" s="1"/>
  <c r="R519" i="1"/>
  <c r="S519" i="1" s="1"/>
  <c r="R506" i="1"/>
  <c r="S506" i="1" s="1"/>
  <c r="R482" i="1"/>
  <c r="S482" i="1" s="1"/>
  <c r="R466" i="1"/>
  <c r="S466" i="1" s="1"/>
  <c r="R439" i="1"/>
  <c r="S439" i="1" s="1"/>
  <c r="R434" i="1"/>
  <c r="S434" i="1" s="1"/>
  <c r="R275" i="1"/>
  <c r="S275" i="1" s="1"/>
  <c r="R218" i="1"/>
  <c r="S218" i="1" s="1"/>
  <c r="R214" i="1"/>
  <c r="S214" i="1" s="1"/>
  <c r="R209" i="1"/>
  <c r="S209" i="1" s="1"/>
  <c r="R201" i="1"/>
  <c r="S201" i="1" s="1"/>
  <c r="R129" i="1"/>
  <c r="S129" i="1" s="1"/>
  <c r="R108" i="1"/>
  <c r="S108" i="1" s="1"/>
  <c r="R821" i="1"/>
  <c r="S821" i="1" s="1"/>
  <c r="R768" i="1"/>
  <c r="S768" i="1" s="1"/>
  <c r="R764" i="1"/>
  <c r="S764" i="1" s="1"/>
  <c r="R714" i="1"/>
  <c r="S714" i="1" s="1"/>
  <c r="R710" i="1"/>
  <c r="S710" i="1" s="1"/>
  <c r="R624" i="1"/>
  <c r="S624" i="1" s="1"/>
  <c r="R590" i="1"/>
  <c r="S590" i="1" s="1"/>
  <c r="R356" i="1"/>
  <c r="S356" i="1" s="1"/>
  <c r="R98" i="1"/>
  <c r="S98" i="1" s="1"/>
  <c r="R35" i="1"/>
  <c r="S35" i="1" s="1"/>
  <c r="R38" i="1"/>
  <c r="S38" i="1" s="1"/>
  <c r="R13" i="1"/>
  <c r="S13" i="1" s="1"/>
  <c r="U3" i="1" s="1"/>
  <c r="R755" i="1"/>
  <c r="S755" i="1" s="1"/>
  <c r="R735" i="1"/>
  <c r="S735" i="1" s="1"/>
  <c r="R708" i="1"/>
  <c r="S708" i="1" s="1"/>
  <c r="R665" i="1"/>
  <c r="S665" i="1" s="1"/>
  <c r="R642" i="1"/>
  <c r="S642" i="1" s="1"/>
  <c r="R605" i="1"/>
  <c r="S605" i="1" s="1"/>
  <c r="R535" i="1"/>
  <c r="S535" i="1" s="1"/>
  <c r="R485" i="1"/>
  <c r="S485" i="1" s="1"/>
  <c r="R399" i="1"/>
  <c r="S399" i="1" s="1"/>
  <c r="R314" i="1"/>
  <c r="S314" i="1" s="1"/>
  <c r="R272" i="1"/>
  <c r="S272" i="1" s="1"/>
  <c r="R220" i="1"/>
  <c r="S220" i="1" s="1"/>
  <c r="R215" i="1"/>
  <c r="S215" i="1" s="1"/>
  <c r="R206" i="1"/>
  <c r="S206" i="1" s="1"/>
  <c r="R147" i="1"/>
  <c r="S147" i="1" s="1"/>
  <c r="R110" i="1"/>
  <c r="S110" i="1" s="1"/>
  <c r="R65" i="1"/>
  <c r="S65" i="1" s="1"/>
  <c r="R50" i="1"/>
  <c r="S50" i="1" s="1"/>
  <c r="R46" i="1"/>
  <c r="S46" i="1" s="1"/>
  <c r="R750" i="1"/>
  <c r="S750" i="1" s="1"/>
  <c r="R746" i="1"/>
  <c r="S746" i="1" s="1"/>
  <c r="R738" i="1"/>
  <c r="S738" i="1" s="1"/>
  <c r="R711" i="1"/>
  <c r="S711" i="1" s="1"/>
  <c r="R684" i="1"/>
  <c r="S684" i="1" s="1"/>
  <c r="R630" i="1"/>
  <c r="S630" i="1" s="1"/>
  <c r="R608" i="1"/>
  <c r="S608" i="1" s="1"/>
  <c r="R503" i="1"/>
  <c r="S503" i="1" s="1"/>
  <c r="R488" i="1"/>
  <c r="S488" i="1" s="1"/>
  <c r="R444" i="1"/>
  <c r="S444" i="1" s="1"/>
  <c r="R219" i="1"/>
  <c r="S219" i="1" s="1"/>
  <c r="R182" i="1"/>
  <c r="S182" i="1" s="1"/>
  <c r="R137" i="1"/>
  <c r="S137" i="1" s="1"/>
  <c r="R122" i="1"/>
  <c r="S122" i="1" s="1"/>
  <c r="R118" i="1"/>
  <c r="S118" i="1" s="1"/>
  <c r="R57" i="1"/>
  <c r="S57" i="1" s="1"/>
  <c r="R569" i="1"/>
  <c r="S569" i="1" s="1"/>
  <c r="R542" i="1"/>
  <c r="S542" i="1" s="1"/>
  <c r="R515" i="1"/>
  <c r="S515" i="1" s="1"/>
  <c r="R494" i="1"/>
  <c r="S494" i="1" s="1"/>
  <c r="R380" i="1"/>
  <c r="S380" i="1" s="1"/>
  <c r="R347" i="1"/>
  <c r="S347" i="1" s="1"/>
  <c r="R329" i="1"/>
  <c r="S329" i="1" s="1"/>
  <c r="R233" i="1"/>
  <c r="S233" i="1" s="1"/>
  <c r="R197" i="1"/>
  <c r="S197" i="1" s="1"/>
  <c r="R161" i="1"/>
  <c r="S161" i="1" s="1"/>
  <c r="R125" i="1"/>
  <c r="S125" i="1" s="1"/>
  <c r="R89" i="1"/>
  <c r="S89" i="1" s="1"/>
  <c r="R53" i="1"/>
  <c r="S53" i="1" s="1"/>
  <c r="R575" i="1"/>
  <c r="S575" i="1" s="1"/>
  <c r="R548" i="1"/>
  <c r="S548" i="1" s="1"/>
  <c r="R524" i="1"/>
  <c r="S524" i="1" s="1"/>
  <c r="R428" i="1"/>
  <c r="S428" i="1" s="1"/>
  <c r="R398" i="1"/>
  <c r="S398" i="1" s="1"/>
  <c r="R383" i="1"/>
  <c r="S383" i="1" s="1"/>
  <c r="R284" i="1"/>
  <c r="S284" i="1" s="1"/>
  <c r="R837" i="1"/>
  <c r="S837" i="1" s="1"/>
  <c r="R801" i="1"/>
  <c r="S801" i="1" s="1"/>
  <c r="R804" i="1"/>
  <c r="S804" i="1" s="1"/>
  <c r="R831" i="1"/>
  <c r="S831" i="1" s="1"/>
  <c r="R813" i="1"/>
  <c r="S813" i="1" s="1"/>
  <c r="R795" i="1"/>
  <c r="S795" i="1" s="1"/>
  <c r="R807" i="1"/>
  <c r="S807" i="1" s="1"/>
  <c r="R816" i="1"/>
  <c r="S816" i="1" s="1"/>
  <c r="R825" i="1"/>
  <c r="S825" i="1" s="1"/>
  <c r="R789" i="1"/>
  <c r="S789" i="1" s="1"/>
  <c r="U2" i="1" l="1"/>
  <c r="U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A8DEC78-B2F9-4CE0-959D-8E703A13268F}" keepAlive="1" name="Query - flagged_transactions" description="Connection to the 'flagged_transactions' query in the workbook." type="5" refreshedVersion="8" background="1" saveData="1">
    <dbPr connection="Provider=Microsoft.Mashup.OleDb.1;Data Source=$Workbook$;Location=flagged_transactions;Extended Properties=&quot;&quot;" command="SELECT * FROM [flagged_transactions]"/>
  </connection>
  <connection id="2" xr16:uid="{319F904A-8A6A-45F4-B75E-B16457ABA4C9}" keepAlive="1" name="Query - sql_fraud_by_type" description="Connection to the 'sql_fraud_by_type' query in the workbook." type="5" refreshedVersion="8" background="1" saveData="1">
    <dbPr connection="Provider=Microsoft.Mashup.OleDb.1;Data Source=$Workbook$;Location=sql_fraud_by_type;Extended Properties=&quot;&quot;" command="SELECT * FROM [sql_fraud_by_type]"/>
  </connection>
  <connection id="3" xr16:uid="{A0F8D82C-1B20-4BEC-BC82-172540D55B98}" keepAlive="1" name="Query - sql_hourly_pattern" description="Connection to the 'sql_hourly_pattern' query in the workbook." type="5" refreshedVersion="8" background="1" saveData="1">
    <dbPr connection="Provider=Microsoft.Mashup.OleDb.1;Data Source=$Workbook$;Location=sql_hourly_pattern;Extended Properties=&quot;&quot;" command="SELECT * FROM [sql_hourly_pattern]"/>
  </connection>
</connections>
</file>

<file path=xl/sharedStrings.xml><?xml version="1.0" encoding="utf-8"?>
<sst xmlns="http://schemas.openxmlformats.org/spreadsheetml/2006/main" count="11531" uniqueCount="2337">
  <si>
    <t>step</t>
  </si>
  <si>
    <t>type</t>
  </si>
  <si>
    <t>amount</t>
  </si>
  <si>
    <t>nameOrig</t>
  </si>
  <si>
    <t>oldbalanceOrg</t>
  </si>
  <si>
    <t>newbalanceOrig</t>
  </si>
  <si>
    <t>nameDest</t>
  </si>
  <si>
    <t>oldbalanceDest</t>
  </si>
  <si>
    <t>newbalanceDest</t>
  </si>
  <si>
    <t>isFraud</t>
  </si>
  <si>
    <t>isFlaggedFraud</t>
  </si>
  <si>
    <t>hour_of_day</t>
  </si>
  <si>
    <t>is_round_number</t>
  </si>
  <si>
    <t>balance_drain</t>
  </si>
  <si>
    <t>balance_change_orig</t>
  </si>
  <si>
    <t>TRANSFER</t>
  </si>
  <si>
    <t>C1305486145</t>
  </si>
  <si>
    <t>C553264065</t>
  </si>
  <si>
    <t>CASH_OUT</t>
  </si>
  <si>
    <t>C840083671</t>
  </si>
  <si>
    <t>C38997010</t>
  </si>
  <si>
    <t>C1420196421</t>
  </si>
  <si>
    <t>C972765878</t>
  </si>
  <si>
    <t>C2101527076</t>
  </si>
  <si>
    <t>C1007251739</t>
  </si>
  <si>
    <t>C137533655</t>
  </si>
  <si>
    <t>C1848415041</t>
  </si>
  <si>
    <t>C1118430673</t>
  </si>
  <si>
    <t>C339924917</t>
  </si>
  <si>
    <t>C749981943</t>
  </si>
  <si>
    <t>C667346055</t>
  </si>
  <si>
    <t>C1334405552</t>
  </si>
  <si>
    <t>C431687661</t>
  </si>
  <si>
    <t>C467632528</t>
  </si>
  <si>
    <t>C716083600</t>
  </si>
  <si>
    <t>C1364127192</t>
  </si>
  <si>
    <t>C1136419747</t>
  </si>
  <si>
    <t>C1635772897</t>
  </si>
  <si>
    <t>C1983025922</t>
  </si>
  <si>
    <t>C669700766</t>
  </si>
  <si>
    <t>C1384210339</t>
  </si>
  <si>
    <t>C1275464847</t>
  </si>
  <si>
    <t>C1364913072</t>
  </si>
  <si>
    <t>C13692003</t>
  </si>
  <si>
    <t>C297927961</t>
  </si>
  <si>
    <t>C1872047468</t>
  </si>
  <si>
    <t>C116289363</t>
  </si>
  <si>
    <t>C1499825229</t>
  </si>
  <si>
    <t>C2100440237</t>
  </si>
  <si>
    <t>C1093223281</t>
  </si>
  <si>
    <t>C2063275841</t>
  </si>
  <si>
    <t>C77163673</t>
  </si>
  <si>
    <t>C644345897</t>
  </si>
  <si>
    <t>C1440057381</t>
  </si>
  <si>
    <t>C268086000</t>
  </si>
  <si>
    <t>C430329518</t>
  </si>
  <si>
    <t>C991505714</t>
  </si>
  <si>
    <t>C140702728</t>
  </si>
  <si>
    <t>C634210724</t>
  </si>
  <si>
    <t>C395257482</t>
  </si>
  <si>
    <t>C1032986144</t>
  </si>
  <si>
    <t>C1375503918</t>
  </si>
  <si>
    <t>C234430897</t>
  </si>
  <si>
    <t>C175961135</t>
  </si>
  <si>
    <t>C1711105800</t>
  </si>
  <si>
    <t>C1134864869</t>
  </si>
  <si>
    <t>C118648358</t>
  </si>
  <si>
    <t>C1984954272</t>
  </si>
  <si>
    <t>C124540047</t>
  </si>
  <si>
    <t>C1247938090</t>
  </si>
  <si>
    <t>C1002031672</t>
  </si>
  <si>
    <t>C2126545173</t>
  </si>
  <si>
    <t>C573200870</t>
  </si>
  <si>
    <t>C7162498</t>
  </si>
  <si>
    <t>C945327594</t>
  </si>
  <si>
    <t>C351297720</t>
  </si>
  <si>
    <t>C766681183</t>
  </si>
  <si>
    <t>C2047521920</t>
  </si>
  <si>
    <t>C449261773</t>
  </si>
  <si>
    <t>C2044690596</t>
  </si>
  <si>
    <t>C932583850</t>
  </si>
  <si>
    <t>C540962910</t>
  </si>
  <si>
    <t>C2127862399</t>
  </si>
  <si>
    <t>C2026325575</t>
  </si>
  <si>
    <t>C1394526584</t>
  </si>
  <si>
    <t>C17222024</t>
  </si>
  <si>
    <t>C410033330</t>
  </si>
  <si>
    <t>C556223230</t>
  </si>
  <si>
    <t>C2094777811</t>
  </si>
  <si>
    <t>C1844941220</t>
  </si>
  <si>
    <t>C1191544932</t>
  </si>
  <si>
    <t>C1699873763</t>
  </si>
  <si>
    <t>C560041895</t>
  </si>
  <si>
    <t>C1409933277</t>
  </si>
  <si>
    <t>C162114152</t>
  </si>
  <si>
    <t>C1174000532</t>
  </si>
  <si>
    <t>C383882703</t>
  </si>
  <si>
    <t>C1807010830</t>
  </si>
  <si>
    <t>C840095827</t>
  </si>
  <si>
    <t>C803116137</t>
  </si>
  <si>
    <t>C1775746074</t>
  </si>
  <si>
    <t>C746009679</t>
  </si>
  <si>
    <t>C213063852</t>
  </si>
  <si>
    <t>C922511709</t>
  </si>
  <si>
    <t>C2025652936</t>
  </si>
  <si>
    <t>C1662235713</t>
  </si>
  <si>
    <t>C685428529</t>
  </si>
  <si>
    <t>C1626759869</t>
  </si>
  <si>
    <t>C864622150</t>
  </si>
  <si>
    <t>C41792607</t>
  </si>
  <si>
    <t>C1004271827</t>
  </si>
  <si>
    <t>C451934410</t>
  </si>
  <si>
    <t>C457596841</t>
  </si>
  <si>
    <t>C1956477953</t>
  </si>
  <si>
    <t>C682812632</t>
  </si>
  <si>
    <t>C256417920</t>
  </si>
  <si>
    <t>C903383636</t>
  </si>
  <si>
    <t>C904300960</t>
  </si>
  <si>
    <t>C1813769162</t>
  </si>
  <si>
    <t>C1249547869</t>
  </si>
  <si>
    <t>C666642000</t>
  </si>
  <si>
    <t>C1315078366</t>
  </si>
  <si>
    <t>C1547714604</t>
  </si>
  <si>
    <t>C7881234</t>
  </si>
  <si>
    <t>C788790720</t>
  </si>
  <si>
    <t>C1589547066</t>
  </si>
  <si>
    <t>C436661284</t>
  </si>
  <si>
    <t>C522173599</t>
  </si>
  <si>
    <t>C1034673425</t>
  </si>
  <si>
    <t>C1379589736</t>
  </si>
  <si>
    <t>C1484518113</t>
  </si>
  <si>
    <t>C978609035</t>
  </si>
  <si>
    <t>C777407608</t>
  </si>
  <si>
    <t>C1790657739</t>
  </si>
  <si>
    <t>C1191732945</t>
  </si>
  <si>
    <t>C418964192</t>
  </si>
  <si>
    <t>C365589282</t>
  </si>
  <si>
    <t>C908043384</t>
  </si>
  <si>
    <t>C1284098442</t>
  </si>
  <si>
    <t>C801412408</t>
  </si>
  <si>
    <t>C558400671</t>
  </si>
  <si>
    <t>C527482085</t>
  </si>
  <si>
    <t>C158801009</t>
  </si>
  <si>
    <t>C382431057</t>
  </si>
  <si>
    <t>C1735554279</t>
  </si>
  <si>
    <t>C12793273</t>
  </si>
  <si>
    <t>C1421965867</t>
  </si>
  <si>
    <t>C1438594533</t>
  </si>
  <si>
    <t>C2101686389</t>
  </si>
  <si>
    <t>C612008977</t>
  </si>
  <si>
    <t>C383717053</t>
  </si>
  <si>
    <t>C380242442</t>
  </si>
  <si>
    <t>C1686905633</t>
  </si>
  <si>
    <t>C824421402</t>
  </si>
  <si>
    <t>C693427358</t>
  </si>
  <si>
    <t>C1101441872</t>
  </si>
  <si>
    <t>C666654362</t>
  </si>
  <si>
    <t>C1726301214</t>
  </si>
  <si>
    <t>C1588880909</t>
  </si>
  <si>
    <t>C1570256460</t>
  </si>
  <si>
    <t>C1455969984</t>
  </si>
  <si>
    <t>C2119910556</t>
  </si>
  <si>
    <t>C1173659886</t>
  </si>
  <si>
    <t>C1769947269</t>
  </si>
  <si>
    <t>C786114805</t>
  </si>
  <si>
    <t>C1666314150</t>
  </si>
  <si>
    <t>C452475723</t>
  </si>
  <si>
    <t>C2089016471</t>
  </si>
  <si>
    <t>C1023505879</t>
  </si>
  <si>
    <t>C847761155</t>
  </si>
  <si>
    <t>C398085606</t>
  </si>
  <si>
    <t>C2072030256</t>
  </si>
  <si>
    <t>C2102265902</t>
  </si>
  <si>
    <t>C789014007</t>
  </si>
  <si>
    <t>C1961506277</t>
  </si>
  <si>
    <t>C378841819</t>
  </si>
  <si>
    <t>C1737727444</t>
  </si>
  <si>
    <t>C588779235</t>
  </si>
  <si>
    <t>C1198040187</t>
  </si>
  <si>
    <t>C1828047633</t>
  </si>
  <si>
    <t>C858959216</t>
  </si>
  <si>
    <t>C864078397</t>
  </si>
  <si>
    <t>C1026280121</t>
  </si>
  <si>
    <t>C277510102</t>
  </si>
  <si>
    <t>C74534388</t>
  </si>
  <si>
    <t>C1748042844</t>
  </si>
  <si>
    <t>C1938531779</t>
  </si>
  <si>
    <t>C2048578791</t>
  </si>
  <si>
    <t>C1825456600</t>
  </si>
  <si>
    <t>C570409417</t>
  </si>
  <si>
    <t>C515973302</t>
  </si>
  <si>
    <t>C170071280</t>
  </si>
  <si>
    <t>C1683174795</t>
  </si>
  <si>
    <t>C427998326</t>
  </si>
  <si>
    <t>C1395071924</t>
  </si>
  <si>
    <t>C79685693</t>
  </si>
  <si>
    <t>C1769581889</t>
  </si>
  <si>
    <t>C217441120</t>
  </si>
  <si>
    <t>C589143360</t>
  </si>
  <si>
    <t>C1992550266</t>
  </si>
  <si>
    <t>C299933576</t>
  </si>
  <si>
    <t>C1060999444</t>
  </si>
  <si>
    <t>C921533797</t>
  </si>
  <si>
    <t>C424669538</t>
  </si>
  <si>
    <t>C1452168793</t>
  </si>
  <si>
    <t>C399194578</t>
  </si>
  <si>
    <t>C58527359</t>
  </si>
  <si>
    <t>C582901057</t>
  </si>
  <si>
    <t>C394488466</t>
  </si>
  <si>
    <t>C575638324</t>
  </si>
  <si>
    <t>C728718059</t>
  </si>
  <si>
    <t>C1013511446</t>
  </si>
  <si>
    <t>C1287719145</t>
  </si>
  <si>
    <t>C352239275</t>
  </si>
  <si>
    <t>C684758020</t>
  </si>
  <si>
    <t>C1769042905</t>
  </si>
  <si>
    <t>C670587931</t>
  </si>
  <si>
    <t>C150406565</t>
  </si>
  <si>
    <t>C1034219836</t>
  </si>
  <si>
    <t>C1195589213</t>
  </si>
  <si>
    <t>C102617052</t>
  </si>
  <si>
    <t>C760675871</t>
  </si>
  <si>
    <t>C1499032143</t>
  </si>
  <si>
    <t>C1508330669</t>
  </si>
  <si>
    <t>C1121789613</t>
  </si>
  <si>
    <t>C254839817</t>
  </si>
  <si>
    <t>C666486325</t>
  </si>
  <si>
    <t>C279565067</t>
  </si>
  <si>
    <t>C1764109750</t>
  </si>
  <si>
    <t>C1522743169</t>
  </si>
  <si>
    <t>C1087133093</t>
  </si>
  <si>
    <t>C1855553543</t>
  </si>
  <si>
    <t>C507466068</t>
  </si>
  <si>
    <t>C706331499</t>
  </si>
  <si>
    <t>C1568400442</t>
  </si>
  <si>
    <t>C1262169546</t>
  </si>
  <si>
    <t>C1020461364</t>
  </si>
  <si>
    <t>C2144015041</t>
  </si>
  <si>
    <t>C489647033</t>
  </si>
  <si>
    <t>C571514738</t>
  </si>
  <si>
    <t>C481501970</t>
  </si>
  <si>
    <t>C1262577882</t>
  </si>
  <si>
    <t>C1190429229</t>
  </si>
  <si>
    <t>C2104652067</t>
  </si>
  <si>
    <t>C1446009472</t>
  </si>
  <si>
    <t>C2010733400</t>
  </si>
  <si>
    <t>C140359285</t>
  </si>
  <si>
    <t>C2020337583</t>
  </si>
  <si>
    <t>C1182702586</t>
  </si>
  <si>
    <t>C2143409210</t>
  </si>
  <si>
    <t>C813115168</t>
  </si>
  <si>
    <t>C401825929</t>
  </si>
  <si>
    <t>C184586799</t>
  </si>
  <si>
    <t>C812377986</t>
  </si>
  <si>
    <t>C1105700111</t>
  </si>
  <si>
    <t>C1767952032</t>
  </si>
  <si>
    <t>C785601242</t>
  </si>
  <si>
    <t>C1576053316</t>
  </si>
  <si>
    <t>C169099320</t>
  </si>
  <si>
    <t>C697156329</t>
  </si>
  <si>
    <t>C1706582969</t>
  </si>
  <si>
    <t>C461905695</t>
  </si>
  <si>
    <t>C711446907</t>
  </si>
  <si>
    <t>C888769567</t>
  </si>
  <si>
    <t>C2021456831</t>
  </si>
  <si>
    <t>C157591472</t>
  </si>
  <si>
    <t>C2079232448</t>
  </si>
  <si>
    <t>C585834595</t>
  </si>
  <si>
    <t>C938980312</t>
  </si>
  <si>
    <t>C621014131</t>
  </si>
  <si>
    <t>C1101705841</t>
  </si>
  <si>
    <t>C925285469</t>
  </si>
  <si>
    <t>C1205151454</t>
  </si>
  <si>
    <t>C664770316</t>
  </si>
  <si>
    <t>C576568419</t>
  </si>
  <si>
    <t>C1571546632</t>
  </si>
  <si>
    <t>C1098250442</t>
  </si>
  <si>
    <t>C1140712423</t>
  </si>
  <si>
    <t>C345293642</t>
  </si>
  <si>
    <t>C937194908</t>
  </si>
  <si>
    <t>C169939918</t>
  </si>
  <si>
    <t>C1673501963</t>
  </si>
  <si>
    <t>C1223631235</t>
  </si>
  <si>
    <t>C1281019843</t>
  </si>
  <si>
    <t>C684252268</t>
  </si>
  <si>
    <t>C2027569559</t>
  </si>
  <si>
    <t>C227115333</t>
  </si>
  <si>
    <t>C460735540</t>
  </si>
  <si>
    <t>C439464764</t>
  </si>
  <si>
    <t>C562360384</t>
  </si>
  <si>
    <t>C1331829443</t>
  </si>
  <si>
    <t>C127509847</t>
  </si>
  <si>
    <t>C265790428</t>
  </si>
  <si>
    <t>C1700442291</t>
  </si>
  <si>
    <t>C288028999</t>
  </si>
  <si>
    <t>C184294001</t>
  </si>
  <si>
    <t>C343345083</t>
  </si>
  <si>
    <t>C200064275</t>
  </si>
  <si>
    <t>C2021466585</t>
  </si>
  <si>
    <t>C1864486913</t>
  </si>
  <si>
    <t>C1894004688</t>
  </si>
  <si>
    <t>C1293978242</t>
  </si>
  <si>
    <t>C920803432</t>
  </si>
  <si>
    <t>C1767389067</t>
  </si>
  <si>
    <t>C1894578299</t>
  </si>
  <si>
    <t>C590035788</t>
  </si>
  <si>
    <t>C735463888</t>
  </si>
  <si>
    <t>C1548348754</t>
  </si>
  <si>
    <t>C79951219</t>
  </si>
  <si>
    <t>C1499489682</t>
  </si>
  <si>
    <t>C1274887619</t>
  </si>
  <si>
    <t>C2146670328</t>
  </si>
  <si>
    <t>C1864459372</t>
  </si>
  <si>
    <t>C537531657</t>
  </si>
  <si>
    <t>C165094398</t>
  </si>
  <si>
    <t>C1966002811</t>
  </si>
  <si>
    <t>C364029634</t>
  </si>
  <si>
    <t>C2041291172</t>
  </si>
  <si>
    <t>C901331326</t>
  </si>
  <si>
    <t>C1662761228</t>
  </si>
  <si>
    <t>C135832352</t>
  </si>
  <si>
    <t>C2009346140</t>
  </si>
  <si>
    <t>C686187434</t>
  </si>
  <si>
    <t>C1562904239</t>
  </si>
  <si>
    <t>C2143112877</t>
  </si>
  <si>
    <t>C1755380031</t>
  </si>
  <si>
    <t>C1374377088</t>
  </si>
  <si>
    <t>C207611232</t>
  </si>
  <si>
    <t>C1440901488</t>
  </si>
  <si>
    <t>C166839225</t>
  </si>
  <si>
    <t>C1960144830</t>
  </si>
  <si>
    <t>C801162238</t>
  </si>
  <si>
    <t>C465166521</t>
  </si>
  <si>
    <t>C487776685</t>
  </si>
  <si>
    <t>C2081788795</t>
  </si>
  <si>
    <t>C2138456206</t>
  </si>
  <si>
    <t>C2010427735</t>
  </si>
  <si>
    <t>C1887744176</t>
  </si>
  <si>
    <t>C439830884</t>
  </si>
  <si>
    <t>C1133002328</t>
  </si>
  <si>
    <t>C803703656</t>
  </si>
  <si>
    <t>C858007309</t>
  </si>
  <si>
    <t>C736093511</t>
  </si>
  <si>
    <t>C1224081716</t>
  </si>
  <si>
    <t>C15204463</t>
  </si>
  <si>
    <t>C1255502452</t>
  </si>
  <si>
    <t>C236875489</t>
  </si>
  <si>
    <t>C528705657</t>
  </si>
  <si>
    <t>C1137669976</t>
  </si>
  <si>
    <t>C1526507740</t>
  </si>
  <si>
    <t>C968403759</t>
  </si>
  <si>
    <t>C1524019269</t>
  </si>
  <si>
    <t>C725915377</t>
  </si>
  <si>
    <t>C1656726101</t>
  </si>
  <si>
    <t>C1995557473</t>
  </si>
  <si>
    <t>C1480876722</t>
  </si>
  <si>
    <t>C1584512618</t>
  </si>
  <si>
    <t>C2102058838</t>
  </si>
  <si>
    <t>C1012580160</t>
  </si>
  <si>
    <t>C540657255</t>
  </si>
  <si>
    <t>C905234452</t>
  </si>
  <si>
    <t>C786510892</t>
  </si>
  <si>
    <t>C1474711983</t>
  </si>
  <si>
    <t>C1009564356</t>
  </si>
  <si>
    <t>C1055229266</t>
  </si>
  <si>
    <t>C1689170857</t>
  </si>
  <si>
    <t>C1761347420</t>
  </si>
  <si>
    <t>C383804904</t>
  </si>
  <si>
    <t>C1689700172</t>
  </si>
  <si>
    <t>C149696600</t>
  </si>
  <si>
    <t>C378910639</t>
  </si>
  <si>
    <t>C1881567873</t>
  </si>
  <si>
    <t>C1970843703</t>
  </si>
  <si>
    <t>C597280894</t>
  </si>
  <si>
    <t>C947728507</t>
  </si>
  <si>
    <t>C1720721903</t>
  </si>
  <si>
    <t>C1404885898</t>
  </si>
  <si>
    <t>C1795377601</t>
  </si>
  <si>
    <t>C553034695</t>
  </si>
  <si>
    <t>C26381896</t>
  </si>
  <si>
    <t>C1065370362</t>
  </si>
  <si>
    <t>C1695793096</t>
  </si>
  <si>
    <t>C849010584</t>
  </si>
  <si>
    <t>C842684426</t>
  </si>
  <si>
    <t>C2025644484</t>
  </si>
  <si>
    <t>C1275373422</t>
  </si>
  <si>
    <t>C1704707395</t>
  </si>
  <si>
    <t>C1765315298</t>
  </si>
  <si>
    <t>C721356209</t>
  </si>
  <si>
    <t>C752563135</t>
  </si>
  <si>
    <t>C247007952</t>
  </si>
  <si>
    <t>C705981026</t>
  </si>
  <si>
    <t>C697783649</t>
  </si>
  <si>
    <t>C1422357582</t>
  </si>
  <si>
    <t>C366986030</t>
  </si>
  <si>
    <t>C1002446735</t>
  </si>
  <si>
    <t>C185805228</t>
  </si>
  <si>
    <t>C494334546</t>
  </si>
  <si>
    <t>C428725863</t>
  </si>
  <si>
    <t>C2140905252</t>
  </si>
  <si>
    <t>C970796050</t>
  </si>
  <si>
    <t>C457962127</t>
  </si>
  <si>
    <t>C614104997</t>
  </si>
  <si>
    <t>C2073757635</t>
  </si>
  <si>
    <t>C1899325653</t>
  </si>
  <si>
    <t>C185016231</t>
  </si>
  <si>
    <t>C1409959</t>
  </si>
  <si>
    <t>C828364266</t>
  </si>
  <si>
    <t>C101179743</t>
  </si>
  <si>
    <t>C15998296</t>
  </si>
  <si>
    <t>C1652158314</t>
  </si>
  <si>
    <t>C967691562</t>
  </si>
  <si>
    <t>C2093967426</t>
  </si>
  <si>
    <t>C1711670940</t>
  </si>
  <si>
    <t>C385061535</t>
  </si>
  <si>
    <t>C1600031018</t>
  </si>
  <si>
    <t>C1971951800</t>
  </si>
  <si>
    <t>C1420261366</t>
  </si>
  <si>
    <t>C639808302</t>
  </si>
  <si>
    <t>C268542581</t>
  </si>
  <si>
    <t>C504693752</t>
  </si>
  <si>
    <t>C897869440</t>
  </si>
  <si>
    <t>C616721459</t>
  </si>
  <si>
    <t>C1726326177</t>
  </si>
  <si>
    <t>C1540448785</t>
  </si>
  <si>
    <t>C1446413189</t>
  </si>
  <si>
    <t>C1066119351</t>
  </si>
  <si>
    <t>C702410034</t>
  </si>
  <si>
    <t>C281912643</t>
  </si>
  <si>
    <t>C1264205758</t>
  </si>
  <si>
    <t>C1462280812</t>
  </si>
  <si>
    <t>C90486891</t>
  </si>
  <si>
    <t>C590103740</t>
  </si>
  <si>
    <t>C1610372134</t>
  </si>
  <si>
    <t>C1213142549</t>
  </si>
  <si>
    <t>C1880832297</t>
  </si>
  <si>
    <t>C1218322192</t>
  </si>
  <si>
    <t>C1107369132</t>
  </si>
  <si>
    <t>C1542410200</t>
  </si>
  <si>
    <t>C183389809</t>
  </si>
  <si>
    <t>C745648946</t>
  </si>
  <si>
    <t>C1091334879</t>
  </si>
  <si>
    <t>C365968372</t>
  </si>
  <si>
    <t>C579837876</t>
  </si>
  <si>
    <t>C370107492</t>
  </si>
  <si>
    <t>C1680789799</t>
  </si>
  <si>
    <t>C779194867</t>
  </si>
  <si>
    <t>C1475456951</t>
  </si>
  <si>
    <t>C576782065</t>
  </si>
  <si>
    <t>C2090737806</t>
  </si>
  <si>
    <t>C1592623877</t>
  </si>
  <si>
    <t>C87183368</t>
  </si>
  <si>
    <t>C895161073</t>
  </si>
  <si>
    <t>C1762082057</t>
  </si>
  <si>
    <t>C1156611770</t>
  </si>
  <si>
    <t>C742977582</t>
  </si>
  <si>
    <t>C681501417</t>
  </si>
  <si>
    <t>C447183071</t>
  </si>
  <si>
    <t>C767243506</t>
  </si>
  <si>
    <t>C1532877354</t>
  </si>
  <si>
    <t>C841995363</t>
  </si>
  <si>
    <t>C1314676285</t>
  </si>
  <si>
    <t>C149845822</t>
  </si>
  <si>
    <t>C1200316948</t>
  </si>
  <si>
    <t>C263177591</t>
  </si>
  <si>
    <t>C94435408</t>
  </si>
  <si>
    <t>C1993475473</t>
  </si>
  <si>
    <t>C1832323051</t>
  </si>
  <si>
    <t>C416779475</t>
  </si>
  <si>
    <t>C380259496</t>
  </si>
  <si>
    <t>C2050703310</t>
  </si>
  <si>
    <t>C1622860679</t>
  </si>
  <si>
    <t>C1990303942</t>
  </si>
  <si>
    <t>C1308678191</t>
  </si>
  <si>
    <t>C1718961034</t>
  </si>
  <si>
    <t>C714051433</t>
  </si>
  <si>
    <t>C2080146129</t>
  </si>
  <si>
    <t>C748889213</t>
  </si>
  <si>
    <t>C530844914</t>
  </si>
  <si>
    <t>C1614121155</t>
  </si>
  <si>
    <t>C1976637754</t>
  </si>
  <si>
    <t>C4020115</t>
  </si>
  <si>
    <t>C348303891</t>
  </si>
  <si>
    <t>C1432596631</t>
  </si>
  <si>
    <t>C1204079316</t>
  </si>
  <si>
    <t>C637091706</t>
  </si>
  <si>
    <t>C1794798581</t>
  </si>
  <si>
    <t>C801984124</t>
  </si>
  <si>
    <t>C278180302</t>
  </si>
  <si>
    <t>C1551346623</t>
  </si>
  <si>
    <t>C179332971</t>
  </si>
  <si>
    <t>C631110333</t>
  </si>
  <si>
    <t>C1861214292</t>
  </si>
  <si>
    <t>C1834461593</t>
  </si>
  <si>
    <t>C1332180070</t>
  </si>
  <si>
    <t>C2027621451</t>
  </si>
  <si>
    <t>C54851371</t>
  </si>
  <si>
    <t>C943084296</t>
  </si>
  <si>
    <t>C1765744035</t>
  </si>
  <si>
    <t>C788887602</t>
  </si>
  <si>
    <t>C2141057802</t>
  </si>
  <si>
    <t>C802885021</t>
  </si>
  <si>
    <t>C362085592</t>
  </si>
  <si>
    <t>C1652057111</t>
  </si>
  <si>
    <t>C142707413</t>
  </si>
  <si>
    <t>C63948986</t>
  </si>
  <si>
    <t>C480136801</t>
  </si>
  <si>
    <t>C160106315</t>
  </si>
  <si>
    <t>C1956707614</t>
  </si>
  <si>
    <t>C1481851679</t>
  </si>
  <si>
    <t>C1472367087</t>
  </si>
  <si>
    <t>C52390890</t>
  </si>
  <si>
    <t>C1672125863</t>
  </si>
  <si>
    <t>C559485820</t>
  </si>
  <si>
    <t>C1239771149</t>
  </si>
  <si>
    <t>C1699565892</t>
  </si>
  <si>
    <t>C1683055902</t>
  </si>
  <si>
    <t>C313857348</t>
  </si>
  <si>
    <t>C869780206</t>
  </si>
  <si>
    <t>C926230389</t>
  </si>
  <si>
    <t>C480109552</t>
  </si>
  <si>
    <t>C720599914</t>
  </si>
  <si>
    <t>C336424141</t>
  </si>
  <si>
    <t>C404961694</t>
  </si>
  <si>
    <t>C1495269307</t>
  </si>
  <si>
    <t>C475345362</t>
  </si>
  <si>
    <t>C1022920965</t>
  </si>
  <si>
    <t>C1460548505</t>
  </si>
  <si>
    <t>C1209224134</t>
  </si>
  <si>
    <t>C314012937</t>
  </si>
  <si>
    <t>C673988903</t>
  </si>
  <si>
    <t>C833477645</t>
  </si>
  <si>
    <t>C834571675</t>
  </si>
  <si>
    <t>C312865842</t>
  </si>
  <si>
    <t>C598573300</t>
  </si>
  <si>
    <t>C2060664104</t>
  </si>
  <si>
    <t>C1977304181</t>
  </si>
  <si>
    <t>C1053513851</t>
  </si>
  <si>
    <t>C663158205</t>
  </si>
  <si>
    <t>C1104558647</t>
  </si>
  <si>
    <t>C1866778945</t>
  </si>
  <si>
    <t>C225469649</t>
  </si>
  <si>
    <t>C785373587</t>
  </si>
  <si>
    <t>C1824914593</t>
  </si>
  <si>
    <t>C71665357</t>
  </si>
  <si>
    <t>C1607901570</t>
  </si>
  <si>
    <t>C1962370851</t>
  </si>
  <si>
    <t>C1560190757</t>
  </si>
  <si>
    <t>C1702714599</t>
  </si>
  <si>
    <t>C83459379</t>
  </si>
  <si>
    <t>C1896884992</t>
  </si>
  <si>
    <t>C309078889</t>
  </si>
  <si>
    <t>C997222163</t>
  </si>
  <si>
    <t>C761549792</t>
  </si>
  <si>
    <t>C2006451816</t>
  </si>
  <si>
    <t>C1380348902</t>
  </si>
  <si>
    <t>C282822245</t>
  </si>
  <si>
    <t>C1731493383</t>
  </si>
  <si>
    <t>C644686763</t>
  </si>
  <si>
    <t>C980380973</t>
  </si>
  <si>
    <t>C763225876</t>
  </si>
  <si>
    <t>C1927695058</t>
  </si>
  <si>
    <t>C1665079678</t>
  </si>
  <si>
    <t>C1566512642</t>
  </si>
  <si>
    <t>C1527375688</t>
  </si>
  <si>
    <t>C658289217</t>
  </si>
  <si>
    <t>C1847744332</t>
  </si>
  <si>
    <t>C1181708889</t>
  </si>
  <si>
    <t>C589374615</t>
  </si>
  <si>
    <t>C1612426642</t>
  </si>
  <si>
    <t>C1812532920</t>
  </si>
  <si>
    <t>C1135869087</t>
  </si>
  <si>
    <t>C1473328942</t>
  </si>
  <si>
    <t>C1650053869</t>
  </si>
  <si>
    <t>C1938399138</t>
  </si>
  <si>
    <t>C257884050</t>
  </si>
  <si>
    <t>C556483673</t>
  </si>
  <si>
    <t>C946378506</t>
  </si>
  <si>
    <t>C57087263</t>
  </si>
  <si>
    <t>C1574807586</t>
  </si>
  <si>
    <t>C862942009</t>
  </si>
  <si>
    <t>C1488413166</t>
  </si>
  <si>
    <t>C1962232117</t>
  </si>
  <si>
    <t>C750661006</t>
  </si>
  <si>
    <t>C1865185181</t>
  </si>
  <si>
    <t>C388097316</t>
  </si>
  <si>
    <t>C902520408</t>
  </si>
  <si>
    <t>C1047966944</t>
  </si>
  <si>
    <t>C127098115</t>
  </si>
  <si>
    <t>C1570699013</t>
  </si>
  <si>
    <t>C1343455954</t>
  </si>
  <si>
    <t>C1045004287</t>
  </si>
  <si>
    <t>C1952239554</t>
  </si>
  <si>
    <t>C399460584</t>
  </si>
  <si>
    <t>C281192595</t>
  </si>
  <si>
    <t>C514736179</t>
  </si>
  <si>
    <t>C1879175902</t>
  </si>
  <si>
    <t>C900709443</t>
  </si>
  <si>
    <t>C1121219802</t>
  </si>
  <si>
    <t>C418751321</t>
  </si>
  <si>
    <t>C1482114822</t>
  </si>
  <si>
    <t>C2123466960</t>
  </si>
  <si>
    <t>C1993214834</t>
  </si>
  <si>
    <t>C1402138462</t>
  </si>
  <si>
    <t>C700083141</t>
  </si>
  <si>
    <t>C1359428492</t>
  </si>
  <si>
    <t>C441238852</t>
  </si>
  <si>
    <t>C2059240998</t>
  </si>
  <si>
    <t>C1549516546</t>
  </si>
  <si>
    <t>C1908627867</t>
  </si>
  <si>
    <t>C1357985676</t>
  </si>
  <si>
    <t>C255246845</t>
  </si>
  <si>
    <t>C414159853</t>
  </si>
  <si>
    <t>C1087566727</t>
  </si>
  <si>
    <t>C1016323653</t>
  </si>
  <si>
    <t>C409414944</t>
  </si>
  <si>
    <t>C1529468267</t>
  </si>
  <si>
    <t>C1924171481</t>
  </si>
  <si>
    <t>C1544211314</t>
  </si>
  <si>
    <t>C1751768780</t>
  </si>
  <si>
    <t>C699198167</t>
  </si>
  <si>
    <t>C2064246111</t>
  </si>
  <si>
    <t>C148278282</t>
  </si>
  <si>
    <t>C1783581377</t>
  </si>
  <si>
    <t>C842027258</t>
  </si>
  <si>
    <t>C136618845</t>
  </si>
  <si>
    <t>C705152518</t>
  </si>
  <si>
    <t>C741210093</t>
  </si>
  <si>
    <t>C361429301</t>
  </si>
  <si>
    <t>C550179566</t>
  </si>
  <si>
    <t>C807604201</t>
  </si>
  <si>
    <t>C849028719</t>
  </si>
  <si>
    <t>C1279307827</t>
  </si>
  <si>
    <t>C1124913173</t>
  </si>
  <si>
    <t>C426880249</t>
  </si>
  <si>
    <t>C1566081912</t>
  </si>
  <si>
    <t>C1029198062</t>
  </si>
  <si>
    <t>C1534111155</t>
  </si>
  <si>
    <t>C1198658385</t>
  </si>
  <si>
    <t>C523126423</t>
  </si>
  <si>
    <t>C491994230</t>
  </si>
  <si>
    <t>C772681684</t>
  </si>
  <si>
    <t>C1369188336</t>
  </si>
  <si>
    <t>C1627551181</t>
  </si>
  <si>
    <t>C775733773</t>
  </si>
  <si>
    <t>C2121303056</t>
  </si>
  <si>
    <t>C2038670336</t>
  </si>
  <si>
    <t>C1068543577</t>
  </si>
  <si>
    <t>C1279213624</t>
  </si>
  <si>
    <t>C2100791242</t>
  </si>
  <si>
    <t>C356571967</t>
  </si>
  <si>
    <t>C1905066109</t>
  </si>
  <si>
    <t>C1273047168</t>
  </si>
  <si>
    <t>C1636242484</t>
  </si>
  <si>
    <t>C474899128</t>
  </si>
  <si>
    <t>C116505755</t>
  </si>
  <si>
    <t>C182136548</t>
  </si>
  <si>
    <t>C717672329</t>
  </si>
  <si>
    <t>C1257554854</t>
  </si>
  <si>
    <t>C1044117371</t>
  </si>
  <si>
    <t>C2037269206</t>
  </si>
  <si>
    <t>C337579043</t>
  </si>
  <si>
    <t>C984153855</t>
  </si>
  <si>
    <t>C1806203979</t>
  </si>
  <si>
    <t>C1775717184</t>
  </si>
  <si>
    <t>C1987320319</t>
  </si>
  <si>
    <t>C89283631</t>
  </si>
  <si>
    <t>C1228650470</t>
  </si>
  <si>
    <t>C237098657</t>
  </si>
  <si>
    <t>C1177827371</t>
  </si>
  <si>
    <t>C1938001564</t>
  </si>
  <si>
    <t>C878440089</t>
  </si>
  <si>
    <t>C551376615</t>
  </si>
  <si>
    <t>C2121782042</t>
  </si>
  <si>
    <t>C939116023</t>
  </si>
  <si>
    <t>C1335084969</t>
  </si>
  <si>
    <t>C620879020</t>
  </si>
  <si>
    <t>C929929591</t>
  </si>
  <si>
    <t>C1309442409</t>
  </si>
  <si>
    <t>C1009459055</t>
  </si>
  <si>
    <t>C1848562108</t>
  </si>
  <si>
    <t>C1803198527</t>
  </si>
  <si>
    <t>C1520365660</t>
  </si>
  <si>
    <t>C1308026520</t>
  </si>
  <si>
    <t>C1909564191</t>
  </si>
  <si>
    <t>C2047987632</t>
  </si>
  <si>
    <t>C1534882693</t>
  </si>
  <si>
    <t>C534658891</t>
  </si>
  <si>
    <t>C1128786535</t>
  </si>
  <si>
    <t>C9901046</t>
  </si>
  <si>
    <t>C1861680707</t>
  </si>
  <si>
    <t>C2064372710</t>
  </si>
  <si>
    <t>C306405849</t>
  </si>
  <si>
    <t>C193080093</t>
  </si>
  <si>
    <t>C706467919</t>
  </si>
  <si>
    <t>C338077337</t>
  </si>
  <si>
    <t>C1458768825</t>
  </si>
  <si>
    <t>C206316722</t>
  </si>
  <si>
    <t>C254731202</t>
  </si>
  <si>
    <t>C1749677978</t>
  </si>
  <si>
    <t>C107615831</t>
  </si>
  <si>
    <t>C144473930</t>
  </si>
  <si>
    <t>C1925676917</t>
  </si>
  <si>
    <t>C2040690699</t>
  </si>
  <si>
    <t>C2084058641</t>
  </si>
  <si>
    <t>C1017580631</t>
  </si>
  <si>
    <t>C1684571589</t>
  </si>
  <si>
    <t>C1619036760</t>
  </si>
  <si>
    <t>C1769820937</t>
  </si>
  <si>
    <t>C1536446312</t>
  </si>
  <si>
    <t>C1085892947</t>
  </si>
  <si>
    <t>C1138178950</t>
  </si>
  <si>
    <t>C1152596026</t>
  </si>
  <si>
    <t>C1976114093</t>
  </si>
  <si>
    <t>C1587398978</t>
  </si>
  <si>
    <t>C1560573396</t>
  </si>
  <si>
    <t>C304547800</t>
  </si>
  <si>
    <t>C155793474</t>
  </si>
  <si>
    <t>C6796051</t>
  </si>
  <si>
    <t>C677541710</t>
  </si>
  <si>
    <t>C1439740840</t>
  </si>
  <si>
    <t>C875288652</t>
  </si>
  <si>
    <t>C29118015</t>
  </si>
  <si>
    <t>C1379703840</t>
  </si>
  <si>
    <t>C1548903046</t>
  </si>
  <si>
    <t>C2065423383</t>
  </si>
  <si>
    <t>C1071702423</t>
  </si>
  <si>
    <t>C28783325</t>
  </si>
  <si>
    <t>C101899927</t>
  </si>
  <si>
    <t>C679483948</t>
  </si>
  <si>
    <t>C942063884</t>
  </si>
  <si>
    <t>C1317594509</t>
  </si>
  <si>
    <t>C67311634</t>
  </si>
  <si>
    <t>C674603923</t>
  </si>
  <si>
    <t>C1612816859</t>
  </si>
  <si>
    <t>C836514715</t>
  </si>
  <si>
    <t>C1887135298</t>
  </si>
  <si>
    <t>C1119742908</t>
  </si>
  <si>
    <t>C1977213426</t>
  </si>
  <si>
    <t>C1445058573</t>
  </si>
  <si>
    <t>C711340026</t>
  </si>
  <si>
    <t>C674486348</t>
  </si>
  <si>
    <t>C1057589740</t>
  </si>
  <si>
    <t>C511164301</t>
  </si>
  <si>
    <t>C437611850</t>
  </si>
  <si>
    <t>C830293590</t>
  </si>
  <si>
    <t>C483094763</t>
  </si>
  <si>
    <t>C1009901500</t>
  </si>
  <si>
    <t>C2112073607</t>
  </si>
  <si>
    <t>C399994587</t>
  </si>
  <si>
    <t>C1049482889</t>
  </si>
  <si>
    <t>C373339841</t>
  </si>
  <si>
    <t>C722855847</t>
  </si>
  <si>
    <t>C866867675</t>
  </si>
  <si>
    <t>C476695686</t>
  </si>
  <si>
    <t>C90854025</t>
  </si>
  <si>
    <t>C2035691205</t>
  </si>
  <si>
    <t>C2145664965</t>
  </si>
  <si>
    <t>C1177633466</t>
  </si>
  <si>
    <t>C1609979141</t>
  </si>
  <si>
    <t>C321662798</t>
  </si>
  <si>
    <t>C1466511502</t>
  </si>
  <si>
    <t>C2109818783</t>
  </si>
  <si>
    <t>C197117096</t>
  </si>
  <si>
    <t>C1302461032</t>
  </si>
  <si>
    <t>C1058590682</t>
  </si>
  <si>
    <t>C1257352420</t>
  </si>
  <si>
    <t>C984948607</t>
  </si>
  <si>
    <t>C262165422</t>
  </si>
  <si>
    <t>C847172802</t>
  </si>
  <si>
    <t>C1657291163</t>
  </si>
  <si>
    <t>C684399107</t>
  </si>
  <si>
    <t>C638438531</t>
  </si>
  <si>
    <t>C2146216948</t>
  </si>
  <si>
    <t>C1455982049</t>
  </si>
  <si>
    <t>C1613524189</t>
  </si>
  <si>
    <t>C1103482150</t>
  </si>
  <si>
    <t>C2145121206</t>
  </si>
  <si>
    <t>C1845753498</t>
  </si>
  <si>
    <t>C967051629</t>
  </si>
  <si>
    <t>C892010542</t>
  </si>
  <si>
    <t>C935310781</t>
  </si>
  <si>
    <t>C145594916</t>
  </si>
  <si>
    <t>C1718370785</t>
  </si>
  <si>
    <t>C133342319</t>
  </si>
  <si>
    <t>C1919617921</t>
  </si>
  <si>
    <t>C1167817015</t>
  </si>
  <si>
    <t>C1628037417</t>
  </si>
  <si>
    <t>C1054903406</t>
  </si>
  <si>
    <t>C755069790</t>
  </si>
  <si>
    <t>C1011490419</t>
  </si>
  <si>
    <t>C1919783086</t>
  </si>
  <si>
    <t>C609821524</t>
  </si>
  <si>
    <t>C708118422</t>
  </si>
  <si>
    <t>C392119936</t>
  </si>
  <si>
    <t>C1283539626</t>
  </si>
  <si>
    <t>C432562518</t>
  </si>
  <si>
    <t>C1529736160</t>
  </si>
  <si>
    <t>C851016578</t>
  </si>
  <si>
    <t>C1650562969</t>
  </si>
  <si>
    <t>C91276418</t>
  </si>
  <si>
    <t>C1220805115</t>
  </si>
  <si>
    <t>C1322100754</t>
  </si>
  <si>
    <t>C580058151</t>
  </si>
  <si>
    <t>C1482588472</t>
  </si>
  <si>
    <t>C1751888979</t>
  </si>
  <si>
    <t>C828966021</t>
  </si>
  <si>
    <t>C253711141</t>
  </si>
  <si>
    <t>C1036592129</t>
  </si>
  <si>
    <t>C133256042</t>
  </si>
  <si>
    <t>C237051726</t>
  </si>
  <si>
    <t>C1684081981</t>
  </si>
  <si>
    <t>C1259393771</t>
  </si>
  <si>
    <t>C275053310</t>
  </si>
  <si>
    <t>C1498028072</t>
  </si>
  <si>
    <t>C70360442</t>
  </si>
  <si>
    <t>C914179351</t>
  </si>
  <si>
    <t>C413966770</t>
  </si>
  <si>
    <t>C226697568</t>
  </si>
  <si>
    <t>C1045024523</t>
  </si>
  <si>
    <t>C371645181</t>
  </si>
  <si>
    <t>C895376277</t>
  </si>
  <si>
    <t>C1027885522</t>
  </si>
  <si>
    <t>C201404620</t>
  </si>
  <si>
    <t>C1385592810</t>
  </si>
  <si>
    <t>C1755092826</t>
  </si>
  <si>
    <t>C2020161235</t>
  </si>
  <si>
    <t>C1827219533</t>
  </si>
  <si>
    <t>C510717698</t>
  </si>
  <si>
    <t>C1469248112</t>
  </si>
  <si>
    <t>C1819371332</t>
  </si>
  <si>
    <t>C59681246</t>
  </si>
  <si>
    <t>C1789723757</t>
  </si>
  <si>
    <t>C236701409</t>
  </si>
  <si>
    <t>C1291212648</t>
  </si>
  <si>
    <t>C301302016</t>
  </si>
  <si>
    <t>C1507237385</t>
  </si>
  <si>
    <t>C53062849</t>
  </si>
  <si>
    <t>C383698470</t>
  </si>
  <si>
    <t>C761769299</t>
  </si>
  <si>
    <t>C1859440956</t>
  </si>
  <si>
    <t>C1389963224</t>
  </si>
  <si>
    <t>C1737133410</t>
  </si>
  <si>
    <t>C877378703</t>
  </si>
  <si>
    <t>C397247453</t>
  </si>
  <si>
    <t>C227472046</t>
  </si>
  <si>
    <t>C168686866</t>
  </si>
  <si>
    <t>C1032918138</t>
  </si>
  <si>
    <t>C34257403</t>
  </si>
  <si>
    <t>C323132484</t>
  </si>
  <si>
    <t>C1737682079</t>
  </si>
  <si>
    <t>C1482673200</t>
  </si>
  <si>
    <t>C1127207923</t>
  </si>
  <si>
    <t>C1196784232</t>
  </si>
  <si>
    <t>C165922010</t>
  </si>
  <si>
    <t>C1904979167</t>
  </si>
  <si>
    <t>C2067685892</t>
  </si>
  <si>
    <t>C517122648</t>
  </si>
  <si>
    <t>C839403720</t>
  </si>
  <si>
    <t>C899260948</t>
  </si>
  <si>
    <t>C1414206737</t>
  </si>
  <si>
    <t>C1240594546</t>
  </si>
  <si>
    <t>C579897687</t>
  </si>
  <si>
    <t>C1300586295</t>
  </si>
  <si>
    <t>C786580223</t>
  </si>
  <si>
    <t>C921148283</t>
  </si>
  <si>
    <t>C129500962</t>
  </si>
  <si>
    <t>C140477383</t>
  </si>
  <si>
    <t>C1169138113</t>
  </si>
  <si>
    <t>C1260832016</t>
  </si>
  <si>
    <t>C930580526</t>
  </si>
  <si>
    <t>C124687089</t>
  </si>
  <si>
    <t>C179706450</t>
  </si>
  <si>
    <t>C2088582248</t>
  </si>
  <si>
    <t>C534171533</t>
  </si>
  <si>
    <t>C949792674</t>
  </si>
  <si>
    <t>C1152369407</t>
  </si>
  <si>
    <t>C151033820</t>
  </si>
  <si>
    <t>C1303889891</t>
  </si>
  <si>
    <t>C1295812229</t>
  </si>
  <si>
    <t>C1254182177</t>
  </si>
  <si>
    <t>C1907944035</t>
  </si>
  <si>
    <t>C541373010</t>
  </si>
  <si>
    <t>C1884262933</t>
  </si>
  <si>
    <t>C69223691</t>
  </si>
  <si>
    <t>C1032400193</t>
  </si>
  <si>
    <t>C760883565</t>
  </si>
  <si>
    <t>C1015615322</t>
  </si>
  <si>
    <t>C503986394</t>
  </si>
  <si>
    <t>C50436894</t>
  </si>
  <si>
    <t>C1124184322</t>
  </si>
  <si>
    <t>C1215509660</t>
  </si>
  <si>
    <t>C96222488</t>
  </si>
  <si>
    <t>C1891733615</t>
  </si>
  <si>
    <t>C1599314459</t>
  </si>
  <si>
    <t>C2049498532</t>
  </si>
  <si>
    <t>C1540407960</t>
  </si>
  <si>
    <t>C2002603307</t>
  </si>
  <si>
    <t>C1685866985</t>
  </si>
  <si>
    <t>C1948189565</t>
  </si>
  <si>
    <t>C1059308371</t>
  </si>
  <si>
    <t>C739289668</t>
  </si>
  <si>
    <t>C432663857</t>
  </si>
  <si>
    <t>C62190783</t>
  </si>
  <si>
    <t>C1187610031</t>
  </si>
  <si>
    <t>C511306069</t>
  </si>
  <si>
    <t>C1776402146</t>
  </si>
  <si>
    <t>C1115361466</t>
  </si>
  <si>
    <t>C521252518</t>
  </si>
  <si>
    <t>C492613437</t>
  </si>
  <si>
    <t>C74971191</t>
  </si>
  <si>
    <t>C1658110693</t>
  </si>
  <si>
    <t>C222052738</t>
  </si>
  <si>
    <t>C725825783</t>
  </si>
  <si>
    <t>C236787500</t>
  </si>
  <si>
    <t>C1507825825</t>
  </si>
  <si>
    <t>C1603586973</t>
  </si>
  <si>
    <t>C2057200986</t>
  </si>
  <si>
    <t>C1124319645</t>
  </si>
  <si>
    <t>C1581001485</t>
  </si>
  <si>
    <t>C2012612648</t>
  </si>
  <si>
    <t>C1092667126</t>
  </si>
  <si>
    <t>C1482119856</t>
  </si>
  <si>
    <t>C888856721</t>
  </si>
  <si>
    <t>C202101281</t>
  </si>
  <si>
    <t>C1118399210</t>
  </si>
  <si>
    <t>C104038589</t>
  </si>
  <si>
    <t>C1395896953</t>
  </si>
  <si>
    <t>C45672156</t>
  </si>
  <si>
    <t>C575969831</t>
  </si>
  <si>
    <t>C220147588</t>
  </si>
  <si>
    <t>C1112574505</t>
  </si>
  <si>
    <t>C30015547</t>
  </si>
  <si>
    <t>C776336653</t>
  </si>
  <si>
    <t>C737099940</t>
  </si>
  <si>
    <t>C1545814282</t>
  </si>
  <si>
    <t>C183363284</t>
  </si>
  <si>
    <t>C979937832</t>
  </si>
  <si>
    <t>C1787596520</t>
  </si>
  <si>
    <t>C1440649048</t>
  </si>
  <si>
    <t>C1477641326</t>
  </si>
  <si>
    <t>C1340596396</t>
  </si>
  <si>
    <t>C487414422</t>
  </si>
  <si>
    <t>C82669876</t>
  </si>
  <si>
    <t>C1462250062</t>
  </si>
  <si>
    <t>C1551140519</t>
  </si>
  <si>
    <t>C311151183</t>
  </si>
  <si>
    <t>C418271713</t>
  </si>
  <si>
    <t>C795853330</t>
  </si>
  <si>
    <t>C1311186566</t>
  </si>
  <si>
    <t>C1907577066</t>
  </si>
  <si>
    <t>C1222717182</t>
  </si>
  <si>
    <t>C515442419</t>
  </si>
  <si>
    <t>C1424554187</t>
  </si>
  <si>
    <t>C1294873831</t>
  </si>
  <si>
    <t>C1863248518</t>
  </si>
  <si>
    <t>C536599412</t>
  </si>
  <si>
    <t>C518343264</t>
  </si>
  <si>
    <t>C596058183</t>
  </si>
  <si>
    <t>C541992132</t>
  </si>
  <si>
    <t>C715094437</t>
  </si>
  <si>
    <t>C1067826676</t>
  </si>
  <si>
    <t>C57546675</t>
  </si>
  <si>
    <t>C229433868</t>
  </si>
  <si>
    <t>C978822470</t>
  </si>
  <si>
    <t>C474735735</t>
  </si>
  <si>
    <t>C1737223057</t>
  </si>
  <si>
    <t>C1327670146</t>
  </si>
  <si>
    <t>C1480756205</t>
  </si>
  <si>
    <t>C1813633369</t>
  </si>
  <si>
    <t>C586649123</t>
  </si>
  <si>
    <t>C1070694303</t>
  </si>
  <si>
    <t>C1612957594</t>
  </si>
  <si>
    <t>C1268743025</t>
  </si>
  <si>
    <t>C802302527</t>
  </si>
  <si>
    <t>C1805103048</t>
  </si>
  <si>
    <t>C1167029703</t>
  </si>
  <si>
    <t>C739578791</t>
  </si>
  <si>
    <t>C1562052816</t>
  </si>
  <si>
    <t>C866414395</t>
  </si>
  <si>
    <t>C315595990</t>
  </si>
  <si>
    <t>C1374233613</t>
  </si>
  <si>
    <t>C443044241</t>
  </si>
  <si>
    <t>C1006070662</t>
  </si>
  <si>
    <t>C1475265472</t>
  </si>
  <si>
    <t>C1985844506</t>
  </si>
  <si>
    <t>C440567141</t>
  </si>
  <si>
    <t>C2012983997</t>
  </si>
  <si>
    <t>C365271329</t>
  </si>
  <si>
    <t>C646867271</t>
  </si>
  <si>
    <t>C701554593</t>
  </si>
  <si>
    <t>C1496808239</t>
  </si>
  <si>
    <t>C737489499</t>
  </si>
  <si>
    <t>C1883768704</t>
  </si>
  <si>
    <t>C1982874632</t>
  </si>
  <si>
    <t>C253446049</t>
  </si>
  <si>
    <t>C57938337</t>
  </si>
  <si>
    <t>C1167233065</t>
  </si>
  <si>
    <t>C528250681</t>
  </si>
  <si>
    <t>C1257654035</t>
  </si>
  <si>
    <t>C334259414</t>
  </si>
  <si>
    <t>C1345605199</t>
  </si>
  <si>
    <t>C759668657</t>
  </si>
  <si>
    <t>C341811151</t>
  </si>
  <si>
    <t>C1795348373</t>
  </si>
  <si>
    <t>C373557981</t>
  </si>
  <si>
    <t>C114416170</t>
  </si>
  <si>
    <t>C1510964909</t>
  </si>
  <si>
    <t>C580102695</t>
  </si>
  <si>
    <t>C158964639</t>
  </si>
  <si>
    <t>C1661087818</t>
  </si>
  <si>
    <t>C756162144</t>
  </si>
  <si>
    <t>C1734856260</t>
  </si>
  <si>
    <t>C1709961291</t>
  </si>
  <si>
    <t>C1364728606</t>
  </si>
  <si>
    <t>C1269861924</t>
  </si>
  <si>
    <t>C724251968</t>
  </si>
  <si>
    <t>C1296215617</t>
  </si>
  <si>
    <t>C1429415136</t>
  </si>
  <si>
    <t>C1518273469</t>
  </si>
  <si>
    <t>C1076725693</t>
  </si>
  <si>
    <t>C1250676021</t>
  </si>
  <si>
    <t>C977089472</t>
  </si>
  <si>
    <t>C1897851214</t>
  </si>
  <si>
    <t>C1118636317</t>
  </si>
  <si>
    <t>C743185292</t>
  </si>
  <si>
    <t>C1036804658</t>
  </si>
  <si>
    <t>C725236553</t>
  </si>
  <si>
    <t>C417640852</t>
  </si>
  <si>
    <t>C983847519</t>
  </si>
  <si>
    <t>C868283274</t>
  </si>
  <si>
    <t>C1484448573</t>
  </si>
  <si>
    <t>C1911678087</t>
  </si>
  <si>
    <t>C1825250063</t>
  </si>
  <si>
    <t>C321399553</t>
  </si>
  <si>
    <t>C369936121</t>
  </si>
  <si>
    <t>C1347315975</t>
  </si>
  <si>
    <t>C2052172437</t>
  </si>
  <si>
    <t>C1401780750</t>
  </si>
  <si>
    <t>C374179954</t>
  </si>
  <si>
    <t>C1213274351</t>
  </si>
  <si>
    <t>C321872585</t>
  </si>
  <si>
    <t>C401911630</t>
  </si>
  <si>
    <t>C1819568647</t>
  </si>
  <si>
    <t>C258309243</t>
  </si>
  <si>
    <t>C330892703</t>
  </si>
  <si>
    <t>C648682751</t>
  </si>
  <si>
    <t>C967325382</t>
  </si>
  <si>
    <t>C1259079602</t>
  </si>
  <si>
    <t>C1829721095</t>
  </si>
  <si>
    <t>C991247178</t>
  </si>
  <si>
    <t>C286239409</t>
  </si>
  <si>
    <t>C151804423</t>
  </si>
  <si>
    <t>C578474227</t>
  </si>
  <si>
    <t>C265601701</t>
  </si>
  <si>
    <t>C1481880227</t>
  </si>
  <si>
    <t>C948441746</t>
  </si>
  <si>
    <t>C1291131466</t>
  </si>
  <si>
    <t>C1786011910</t>
  </si>
  <si>
    <t>C1582972194</t>
  </si>
  <si>
    <t>C284364603</t>
  </si>
  <si>
    <t>C1958391057</t>
  </si>
  <si>
    <t>C1813915360</t>
  </si>
  <si>
    <t>C1556710652</t>
  </si>
  <si>
    <t>C1264872013</t>
  </si>
  <si>
    <t>C1564479230</t>
  </si>
  <si>
    <t>C203959811</t>
  </si>
  <si>
    <t>C1457431353</t>
  </si>
  <si>
    <t>C203170379</t>
  </si>
  <si>
    <t>C693406382</t>
  </si>
  <si>
    <t>C1514738968</t>
  </si>
  <si>
    <t>C353840221</t>
  </si>
  <si>
    <t>C1679122685</t>
  </si>
  <si>
    <t>C198543509</t>
  </si>
  <si>
    <t>C824285986</t>
  </si>
  <si>
    <t>C280136890</t>
  </si>
  <si>
    <t>C927108992</t>
  </si>
  <si>
    <t>C719370249</t>
  </si>
  <si>
    <t>C2024978323</t>
  </si>
  <si>
    <t>C1102672587</t>
  </si>
  <si>
    <t>C735323689</t>
  </si>
  <si>
    <t>C1223916377</t>
  </si>
  <si>
    <t>C542934513</t>
  </si>
  <si>
    <t>C154757729</t>
  </si>
  <si>
    <t>C1895716929</t>
  </si>
  <si>
    <t>C840795008</t>
  </si>
  <si>
    <t>C1214752539</t>
  </si>
  <si>
    <t>C397528199</t>
  </si>
  <si>
    <t>C1325281003</t>
  </si>
  <si>
    <t>C1267520613</t>
  </si>
  <si>
    <t>C801157832</t>
  </si>
  <si>
    <t>C33339986</t>
  </si>
  <si>
    <t>C2120774041</t>
  </si>
  <si>
    <t>C313736303</t>
  </si>
  <si>
    <t>C1324043104</t>
  </si>
  <si>
    <t>C797897879</t>
  </si>
  <si>
    <t>C809054944</t>
  </si>
  <si>
    <t>C264512063</t>
  </si>
  <si>
    <t>C1061149717</t>
  </si>
  <si>
    <t>C737745926</t>
  </si>
  <si>
    <t>C533706573</t>
  </si>
  <si>
    <t>C1063608678</t>
  </si>
  <si>
    <t>C1603043156</t>
  </si>
  <si>
    <t>C898953864</t>
  </si>
  <si>
    <t>C522399382</t>
  </si>
  <si>
    <t>C509018542</t>
  </si>
  <si>
    <t>C1948614614</t>
  </si>
  <si>
    <t>C218558993</t>
  </si>
  <si>
    <t>C878935318</t>
  </si>
  <si>
    <t>C2122554602</t>
  </si>
  <si>
    <t>C362274629</t>
  </si>
  <si>
    <t>C2097224214</t>
  </si>
  <si>
    <t>C478694396</t>
  </si>
  <si>
    <t>C310772625</t>
  </si>
  <si>
    <t>C1664257559</t>
  </si>
  <si>
    <t>C1658994093</t>
  </si>
  <si>
    <t>C1427360526</t>
  </si>
  <si>
    <t>C410529823</t>
  </si>
  <si>
    <t>C853837808</t>
  </si>
  <si>
    <t>C1750636426</t>
  </si>
  <si>
    <t>C758510706</t>
  </si>
  <si>
    <t>C1011054162</t>
  </si>
  <si>
    <t>C1669581327</t>
  </si>
  <si>
    <t>C1697995801</t>
  </si>
  <si>
    <t>C11443462</t>
  </si>
  <si>
    <t>C1334228384</t>
  </si>
  <si>
    <t>C825902720</t>
  </si>
  <si>
    <t>C512979582</t>
  </si>
  <si>
    <t>C2064498880</t>
  </si>
  <si>
    <t>C1457751793</t>
  </si>
  <si>
    <t>C1496997212</t>
  </si>
  <si>
    <t>C1588957214</t>
  </si>
  <si>
    <t>C877302181</t>
  </si>
  <si>
    <t>C2044342029</t>
  </si>
  <si>
    <t>C905922907</t>
  </si>
  <si>
    <t>C2062739315</t>
  </si>
  <si>
    <t>C1588509166</t>
  </si>
  <si>
    <t>C1486240719</t>
  </si>
  <si>
    <t>C1767277816</t>
  </si>
  <si>
    <t>C1835346647</t>
  </si>
  <si>
    <t>C1304293347</t>
  </si>
  <si>
    <t>C957732076</t>
  </si>
  <si>
    <t>C1221718544</t>
  </si>
  <si>
    <t>C29028630</t>
  </si>
  <si>
    <t>C1676208609</t>
  </si>
  <si>
    <t>C1263000252</t>
  </si>
  <si>
    <t>C1932446672</t>
  </si>
  <si>
    <t>C966173999</t>
  </si>
  <si>
    <t>C1186930189</t>
  </si>
  <si>
    <t>C2069118895</t>
  </si>
  <si>
    <t>C1476504573</t>
  </si>
  <si>
    <t>C598780092</t>
  </si>
  <si>
    <t>C22070941</t>
  </si>
  <si>
    <t>C1908319524</t>
  </si>
  <si>
    <t>C274359236</t>
  </si>
  <si>
    <t>C1653022223</t>
  </si>
  <si>
    <t>C2029593206</t>
  </si>
  <si>
    <t>C1780194403</t>
  </si>
  <si>
    <t>C1171102344</t>
  </si>
  <si>
    <t>C1505545472</t>
  </si>
  <si>
    <t>C1261933788</t>
  </si>
  <si>
    <t>C1058127621</t>
  </si>
  <si>
    <t>C1556029086</t>
  </si>
  <si>
    <t>C1479614331</t>
  </si>
  <si>
    <t>C796147836</t>
  </si>
  <si>
    <t>C723898004</t>
  </si>
  <si>
    <t>C442133026</t>
  </si>
  <si>
    <t>C952759841</t>
  </si>
  <si>
    <t>C806769154</t>
  </si>
  <si>
    <t>C519182481</t>
  </si>
  <si>
    <t>C123757418</t>
  </si>
  <si>
    <t>C346649476</t>
  </si>
  <si>
    <t>C1545338291</t>
  </si>
  <si>
    <t>C372035143</t>
  </si>
  <si>
    <t>C771564749</t>
  </si>
  <si>
    <t>C2126217921</t>
  </si>
  <si>
    <t>C1785967281</t>
  </si>
  <si>
    <t>C68578357</t>
  </si>
  <si>
    <t>C305323219</t>
  </si>
  <si>
    <t>C1508275623</t>
  </si>
  <si>
    <t>C994276793</t>
  </si>
  <si>
    <t>C670042954</t>
  </si>
  <si>
    <t>C1673728989</t>
  </si>
  <si>
    <t>C487582896</t>
  </si>
  <si>
    <t>C850743663</t>
  </si>
  <si>
    <t>C1137540009</t>
  </si>
  <si>
    <t>C1815828420</t>
  </si>
  <si>
    <t>C917661354</t>
  </si>
  <si>
    <t>C30736240</t>
  </si>
  <si>
    <t>C725738949</t>
  </si>
  <si>
    <t>C300034494</t>
  </si>
  <si>
    <t>C206270107</t>
  </si>
  <si>
    <t>C155466948</t>
  </si>
  <si>
    <t>C1368205157</t>
  </si>
  <si>
    <t>C1064820575</t>
  </si>
  <si>
    <t>C26411328</t>
  </si>
  <si>
    <t>C427722942</t>
  </si>
  <si>
    <t>C2116826462</t>
  </si>
  <si>
    <t>C433192438</t>
  </si>
  <si>
    <t>C1002469873</t>
  </si>
  <si>
    <t>C836452372</t>
  </si>
  <si>
    <t>C1661320351</t>
  </si>
  <si>
    <t>C819461207</t>
  </si>
  <si>
    <t>C814886797</t>
  </si>
  <si>
    <t>C1560394123</t>
  </si>
  <si>
    <t>C1393670189</t>
  </si>
  <si>
    <t>C1269420432</t>
  </si>
  <si>
    <t>C237977902</t>
  </si>
  <si>
    <t>C1948396559</t>
  </si>
  <si>
    <t>C538567441</t>
  </si>
  <si>
    <t>C555990868</t>
  </si>
  <si>
    <t>C1318550066</t>
  </si>
  <si>
    <t>C710887172</t>
  </si>
  <si>
    <t>C2057229481</t>
  </si>
  <si>
    <t>C1373739020</t>
  </si>
  <si>
    <t>C1576761892</t>
  </si>
  <si>
    <t>C877036651</t>
  </si>
  <si>
    <t>C748208035</t>
  </si>
  <si>
    <t>C136533160</t>
  </si>
  <si>
    <t>C178151720</t>
  </si>
  <si>
    <t>C1486116303</t>
  </si>
  <si>
    <t>C398541118</t>
  </si>
  <si>
    <t>C99129129</t>
  </si>
  <si>
    <t>C1179262893</t>
  </si>
  <si>
    <t>C84753955</t>
  </si>
  <si>
    <t>C203085340</t>
  </si>
  <si>
    <t>C395947070</t>
  </si>
  <si>
    <t>C1747066716</t>
  </si>
  <si>
    <t>C1842985263</t>
  </si>
  <si>
    <t>C840755462</t>
  </si>
  <si>
    <t>C742996578</t>
  </si>
  <si>
    <t>C11731793</t>
  </si>
  <si>
    <t>C806145630</t>
  </si>
  <si>
    <t>C1088026094</t>
  </si>
  <si>
    <t>C457586283</t>
  </si>
  <si>
    <t>C379384197</t>
  </si>
  <si>
    <t>C443233087</t>
  </si>
  <si>
    <t>C1597258791</t>
  </si>
  <si>
    <t>C1732115289</t>
  </si>
  <si>
    <t>C262978946</t>
  </si>
  <si>
    <t>C831891422</t>
  </si>
  <si>
    <t>C1984865103</t>
  </si>
  <si>
    <t>C457849577</t>
  </si>
  <si>
    <t>C253226648</t>
  </si>
  <si>
    <t>C1484456052</t>
  </si>
  <si>
    <t>C1913346868</t>
  </si>
  <si>
    <t>C1351929617</t>
  </si>
  <si>
    <t>C842672981</t>
  </si>
  <si>
    <t>C1285761418</t>
  </si>
  <si>
    <t>C2028641482</t>
  </si>
  <si>
    <t>C108318597</t>
  </si>
  <si>
    <t>C1038092429</t>
  </si>
  <si>
    <t>C101455775</t>
  </si>
  <si>
    <t>C1834538811</t>
  </si>
  <si>
    <t>C1888926728</t>
  </si>
  <si>
    <t>C1918631578</t>
  </si>
  <si>
    <t>C919766733</t>
  </si>
  <si>
    <t>C623650025</t>
  </si>
  <si>
    <t>C414078193</t>
  </si>
  <si>
    <t>C907833742</t>
  </si>
  <si>
    <t>C163085808</t>
  </si>
  <si>
    <t>C652285552</t>
  </si>
  <si>
    <t>C1238831225</t>
  </si>
  <si>
    <t>C296924123</t>
  </si>
  <si>
    <t>C1611123412</t>
  </si>
  <si>
    <t>C1796277088</t>
  </si>
  <si>
    <t>C749159040</t>
  </si>
  <si>
    <t>C1749746216</t>
  </si>
  <si>
    <t>C1323797959</t>
  </si>
  <si>
    <t>C986375360</t>
  </si>
  <si>
    <t>C906689307</t>
  </si>
  <si>
    <t>C1018466821</t>
  </si>
  <si>
    <t>C1745208932</t>
  </si>
  <si>
    <t>C2118682140</t>
  </si>
  <si>
    <t>C2116041382</t>
  </si>
  <si>
    <t>C1772301094</t>
  </si>
  <si>
    <t>C215685392</t>
  </si>
  <si>
    <t>C1679780828</t>
  </si>
  <si>
    <t>C1835596211</t>
  </si>
  <si>
    <t>C1502942700</t>
  </si>
  <si>
    <t>C723006620</t>
  </si>
  <si>
    <t>C240791931</t>
  </si>
  <si>
    <t>C1410522707</t>
  </si>
  <si>
    <t>C880907246</t>
  </si>
  <si>
    <t>C5594712</t>
  </si>
  <si>
    <t>C69798076</t>
  </si>
  <si>
    <t>C710580864</t>
  </si>
  <si>
    <t>C349231889</t>
  </si>
  <si>
    <t>C1448304922</t>
  </si>
  <si>
    <t>C1082976131</t>
  </si>
  <si>
    <t>C1900295340</t>
  </si>
  <si>
    <t>C2032646914</t>
  </si>
  <si>
    <t>C633571752</t>
  </si>
  <si>
    <t>C22428002</t>
  </si>
  <si>
    <t>C1179900921</t>
  </si>
  <si>
    <t>C2021579766</t>
  </si>
  <si>
    <t>C353411083</t>
  </si>
  <si>
    <t>C803277933</t>
  </si>
  <si>
    <t>C1799683256</t>
  </si>
  <si>
    <t>C2124012245</t>
  </si>
  <si>
    <t>C1391703729</t>
  </si>
  <si>
    <t>C1707583711</t>
  </si>
  <si>
    <t>C170337029</t>
  </si>
  <si>
    <t>C2005239245</t>
  </si>
  <si>
    <t>C447204018</t>
  </si>
  <si>
    <t>C1405076025</t>
  </si>
  <si>
    <t>C1447707746</t>
  </si>
  <si>
    <t>C133385139</t>
  </si>
  <si>
    <t>C432219684</t>
  </si>
  <si>
    <t>C926776113</t>
  </si>
  <si>
    <t>C718213394</t>
  </si>
  <si>
    <t>C1307403006</t>
  </si>
  <si>
    <t>C244956323</t>
  </si>
  <si>
    <t>C1079262309</t>
  </si>
  <si>
    <t>C175411270</t>
  </si>
  <si>
    <t>C1082242132</t>
  </si>
  <si>
    <t>C176579882</t>
  </si>
  <si>
    <t>C1049193275</t>
  </si>
  <si>
    <t>C1486070505</t>
  </si>
  <si>
    <t>C1428831661</t>
  </si>
  <si>
    <t>C464286204</t>
  </si>
  <si>
    <t>C1532660344</t>
  </si>
  <si>
    <t>C905192559</t>
  </si>
  <si>
    <t>C1676432811</t>
  </si>
  <si>
    <t>C207792334</t>
  </si>
  <si>
    <t>C912468991</t>
  </si>
  <si>
    <t>C1227085633</t>
  </si>
  <si>
    <t>C1712237759</t>
  </si>
  <si>
    <t>C829975560</t>
  </si>
  <si>
    <t>C157107660</t>
  </si>
  <si>
    <t>C633069844</t>
  </si>
  <si>
    <t>C1718989078</t>
  </si>
  <si>
    <t>C550185181</t>
  </si>
  <si>
    <t>C1007032757</t>
  </si>
  <si>
    <t>C1871778702</t>
  </si>
  <si>
    <t>C2092796486</t>
  </si>
  <si>
    <t>C1588962215</t>
  </si>
  <si>
    <t>C1667993735</t>
  </si>
  <si>
    <t>C1249676524</t>
  </si>
  <si>
    <t>C1822682019</t>
  </si>
  <si>
    <t>C856217790</t>
  </si>
  <si>
    <t>C1278181974</t>
  </si>
  <si>
    <t>C1424142386</t>
  </si>
  <si>
    <t>C248271098</t>
  </si>
  <si>
    <t>C666474898</t>
  </si>
  <si>
    <t>C2119441360</t>
  </si>
  <si>
    <t>C160197221</t>
  </si>
  <si>
    <t>C431559844</t>
  </si>
  <si>
    <t>C2083819202</t>
  </si>
  <si>
    <t>C1581398768</t>
  </si>
  <si>
    <t>C1033290326</t>
  </si>
  <si>
    <t>C1721246847</t>
  </si>
  <si>
    <t>C1609180237</t>
  </si>
  <si>
    <t>C1443408255</t>
  </si>
  <si>
    <t>C597790533</t>
  </si>
  <si>
    <t>C1365109989</t>
  </si>
  <si>
    <t>C1979185568</t>
  </si>
  <si>
    <t>C1873285106</t>
  </si>
  <si>
    <t>C853148295</t>
  </si>
  <si>
    <t>C439525493</t>
  </si>
  <si>
    <t>C1016889565</t>
  </si>
  <si>
    <t>C1924324818</t>
  </si>
  <si>
    <t>C325643180</t>
  </si>
  <si>
    <t>C1138806458</t>
  </si>
  <si>
    <t>C1494760088</t>
  </si>
  <si>
    <t>C1835087777</t>
  </si>
  <si>
    <t>C993318150</t>
  </si>
  <si>
    <t>C73690456</t>
  </si>
  <si>
    <t>C1677074645</t>
  </si>
  <si>
    <t>C408634115</t>
  </si>
  <si>
    <t>C924291724</t>
  </si>
  <si>
    <t>C1035427073</t>
  </si>
  <si>
    <t>C801354252</t>
  </si>
  <si>
    <t>C388808912</t>
  </si>
  <si>
    <t>C851631639</t>
  </si>
  <si>
    <t>C1573752300</t>
  </si>
  <si>
    <t>C1625333778</t>
  </si>
  <si>
    <t>C940087282</t>
  </si>
  <si>
    <t>C1802030448</t>
  </si>
  <si>
    <t>C707965723</t>
  </si>
  <si>
    <t>C1648039979</t>
  </si>
  <si>
    <t>C1502171587</t>
  </si>
  <si>
    <t>C280132554</t>
  </si>
  <si>
    <t>C858291954</t>
  </si>
  <si>
    <t>C1675721447</t>
  </si>
  <si>
    <t>C892636220</t>
  </si>
  <si>
    <t>C1585480308</t>
  </si>
  <si>
    <t>C78663667</t>
  </si>
  <si>
    <t>C1690317775</t>
  </si>
  <si>
    <t>C1829927547</t>
  </si>
  <si>
    <t>C1739548854</t>
  </si>
  <si>
    <t>C240278716</t>
  </si>
  <si>
    <t>C267452646</t>
  </si>
  <si>
    <t>C243306413</t>
  </si>
  <si>
    <t>C1429774414</t>
  </si>
  <si>
    <t>C764672612</t>
  </si>
  <si>
    <t>C813936493</t>
  </si>
  <si>
    <t>C1382261132</t>
  </si>
  <si>
    <t>C754293523</t>
  </si>
  <si>
    <t>C1247187194</t>
  </si>
  <si>
    <t>C721700955</t>
  </si>
  <si>
    <t>C1996747267</t>
  </si>
  <si>
    <t>C992917413</t>
  </si>
  <si>
    <t>C385589098</t>
  </si>
  <si>
    <t>C1606057909</t>
  </si>
  <si>
    <t>C383165349</t>
  </si>
  <si>
    <t>C868497487</t>
  </si>
  <si>
    <t>C521758644</t>
  </si>
  <si>
    <t>C1703221504</t>
  </si>
  <si>
    <t>C1363437677</t>
  </si>
  <si>
    <t>C1445811732</t>
  </si>
  <si>
    <t>C453950944</t>
  </si>
  <si>
    <t>C1875884022</t>
  </si>
  <si>
    <t>C954658479</t>
  </si>
  <si>
    <t>C845870432</t>
  </si>
  <si>
    <t>C1813387968</t>
  </si>
  <si>
    <t>C106857650</t>
  </si>
  <si>
    <t>C518197295</t>
  </si>
  <si>
    <t>C1560262585</t>
  </si>
  <si>
    <t>C46706219</t>
  </si>
  <si>
    <t>C1894539182</t>
  </si>
  <si>
    <t>C1413149184</t>
  </si>
  <si>
    <t>C713338583</t>
  </si>
  <si>
    <t>C1517105060</t>
  </si>
  <si>
    <t>C621322132</t>
  </si>
  <si>
    <t>C2128547053</t>
  </si>
  <si>
    <t>C2076906949</t>
  </si>
  <si>
    <t>C958487787</t>
  </si>
  <si>
    <t>C218393296</t>
  </si>
  <si>
    <t>C981996349</t>
  </si>
  <si>
    <t>C1099066639</t>
  </si>
  <si>
    <t>C153820103</t>
  </si>
  <si>
    <t>C1530694083</t>
  </si>
  <si>
    <t>C261473899</t>
  </si>
  <si>
    <t>C897961171</t>
  </si>
  <si>
    <t>C1021314422</t>
  </si>
  <si>
    <t>C2062695733</t>
  </si>
  <si>
    <t>C1175189548</t>
  </si>
  <si>
    <t>C340833561</t>
  </si>
  <si>
    <t>C397354505</t>
  </si>
  <si>
    <t>C320276503</t>
  </si>
  <si>
    <t>C916986889</t>
  </si>
  <si>
    <t>C1738798142</t>
  </si>
  <si>
    <t>C182416415</t>
  </si>
  <si>
    <t>C180492809</t>
  </si>
  <si>
    <t>C319563760</t>
  </si>
  <si>
    <t>C2133088178</t>
  </si>
  <si>
    <t>C2113787126</t>
  </si>
  <si>
    <t>C2003052554</t>
  </si>
  <si>
    <t>C188991252</t>
  </si>
  <si>
    <t>C308006848</t>
  </si>
  <si>
    <t>C1544506396</t>
  </si>
  <si>
    <t>C2060264943</t>
  </si>
  <si>
    <t>C1024969195</t>
  </si>
  <si>
    <t>C1809017437</t>
  </si>
  <si>
    <t>C729983243</t>
  </si>
  <si>
    <t>C246124153</t>
  </si>
  <si>
    <t>C520847673</t>
  </si>
  <si>
    <t>C362089456</t>
  </si>
  <si>
    <t>C960647528</t>
  </si>
  <si>
    <t>C1203056408</t>
  </si>
  <si>
    <t>C983142202</t>
  </si>
  <si>
    <t>C204026282</t>
  </si>
  <si>
    <t>C74298259</t>
  </si>
  <si>
    <t>C1317404545</t>
  </si>
  <si>
    <t>C1202518126</t>
  </si>
  <si>
    <t>C1162744412</t>
  </si>
  <si>
    <t>C330207825</t>
  </si>
  <si>
    <t>C1825454306</t>
  </si>
  <si>
    <t>C570967174</t>
  </si>
  <si>
    <t>C1845869240</t>
  </si>
  <si>
    <t>C1429215839</t>
  </si>
  <si>
    <t>C1401928307</t>
  </si>
  <si>
    <t>C207317063</t>
  </si>
  <si>
    <t>C1419788780</t>
  </si>
  <si>
    <t>C1803571079</t>
  </si>
  <si>
    <t>C1642306592</t>
  </si>
  <si>
    <t>C189532677</t>
  </si>
  <si>
    <t>C741569434</t>
  </si>
  <si>
    <t>C1585122257</t>
  </si>
  <si>
    <t>C645113065</t>
  </si>
  <si>
    <t>C162879753</t>
  </si>
  <si>
    <t>C1818870755</t>
  </si>
  <si>
    <t>C1621152719</t>
  </si>
  <si>
    <t>C2001263601</t>
  </si>
  <si>
    <t>C198701564</t>
  </si>
  <si>
    <t>C492308077</t>
  </si>
  <si>
    <t>C279016627</t>
  </si>
  <si>
    <t>C234112724</t>
  </si>
  <si>
    <t>C1268276273</t>
  </si>
  <si>
    <t>C959205237</t>
  </si>
  <si>
    <t>C156009552</t>
  </si>
  <si>
    <t>C2090793760</t>
  </si>
  <si>
    <t>C1076609671</t>
  </si>
  <si>
    <t>C1903932056</t>
  </si>
  <si>
    <t>C1538536157</t>
  </si>
  <si>
    <t>C1896614473</t>
  </si>
  <si>
    <t>C1388614734</t>
  </si>
  <si>
    <t>C693288034</t>
  </si>
  <si>
    <t>C1061680194</t>
  </si>
  <si>
    <t>C2009518683</t>
  </si>
  <si>
    <t>C568731351</t>
  </si>
  <si>
    <t>C329030670</t>
  </si>
  <si>
    <t>C1530845932</t>
  </si>
  <si>
    <t>C2125159934</t>
  </si>
  <si>
    <t>C758006561</t>
  </si>
  <si>
    <t>C2079728909</t>
  </si>
  <si>
    <t>C759912226</t>
  </si>
  <si>
    <t>C287309829</t>
  </si>
  <si>
    <t>C1032527042</t>
  </si>
  <si>
    <t>C317596259</t>
  </si>
  <si>
    <t>C273631269</t>
  </si>
  <si>
    <t>C1035103148</t>
  </si>
  <si>
    <t>C1336358470</t>
  </si>
  <si>
    <t>C89588966</t>
  </si>
  <si>
    <t>C941791959</t>
  </si>
  <si>
    <t>C1945517835</t>
  </si>
  <si>
    <t>C1563094045</t>
  </si>
  <si>
    <t>C1677375515</t>
  </si>
  <si>
    <t>C927898109</t>
  </si>
  <si>
    <t>C542075780</t>
  </si>
  <si>
    <t>C1101896788</t>
  </si>
  <si>
    <t>C641861955</t>
  </si>
  <si>
    <t>C1844789908</t>
  </si>
  <si>
    <t>C2049190094</t>
  </si>
  <si>
    <t>C1731531059</t>
  </si>
  <si>
    <t>C621663353</t>
  </si>
  <si>
    <t>C1837436553</t>
  </si>
  <si>
    <t>C611839321</t>
  </si>
  <si>
    <t>C1776675634</t>
  </si>
  <si>
    <t>C1757751807</t>
  </si>
  <si>
    <t>C1198248537</t>
  </si>
  <si>
    <t>C29406343</t>
  </si>
  <si>
    <t>C1694539503</t>
  </si>
  <si>
    <t>C1906797318</t>
  </si>
  <si>
    <t>C1422133318</t>
  </si>
  <si>
    <t>C548676992</t>
  </si>
  <si>
    <t>C1795901064</t>
  </si>
  <si>
    <t>C1652576276</t>
  </si>
  <si>
    <t>C1116093088</t>
  </si>
  <si>
    <t>C506992553</t>
  </si>
  <si>
    <t>C289101217</t>
  </si>
  <si>
    <t>C514505298</t>
  </si>
  <si>
    <t>C1699346936</t>
  </si>
  <si>
    <t>C27494611</t>
  </si>
  <si>
    <t>C1422380255</t>
  </si>
  <si>
    <t>C947026739</t>
  </si>
  <si>
    <t>C661110749</t>
  </si>
  <si>
    <t>C90361142</t>
  </si>
  <si>
    <t>C1824157901</t>
  </si>
  <si>
    <t>C675598051</t>
  </si>
  <si>
    <t>C1175896731</t>
  </si>
  <si>
    <t>C1714931087</t>
  </si>
  <si>
    <t>C744316850</t>
  </si>
  <si>
    <t>C1365960800</t>
  </si>
  <si>
    <t>C920552627</t>
  </si>
  <si>
    <t>C1105243161</t>
  </si>
  <si>
    <t>C157136573</t>
  </si>
  <si>
    <t>C882992570</t>
  </si>
  <si>
    <t>C2041556759</t>
  </si>
  <si>
    <t>C1497527382</t>
  </si>
  <si>
    <t>C1061805919</t>
  </si>
  <si>
    <t>C1217320472</t>
  </si>
  <si>
    <t>C2112892697</t>
  </si>
  <si>
    <t>C1785871119</t>
  </si>
  <si>
    <t>C435979844</t>
  </si>
  <si>
    <t>C29687546</t>
  </si>
  <si>
    <t>C498025851</t>
  </si>
  <si>
    <t>C892311426</t>
  </si>
  <si>
    <t>C1827521206</t>
  </si>
  <si>
    <t>C1015650621</t>
  </si>
  <si>
    <t>C270115029</t>
  </si>
  <si>
    <t>C1574358644</t>
  </si>
  <si>
    <t>C1831520820</t>
  </si>
  <si>
    <t>C331175512</t>
  </si>
  <si>
    <t>C172609143</t>
  </si>
  <si>
    <t>C106756368</t>
  </si>
  <si>
    <t>C145966586</t>
  </si>
  <si>
    <t>C979594589</t>
  </si>
  <si>
    <t>C1433490225</t>
  </si>
  <si>
    <t>C1414864266</t>
  </si>
  <si>
    <t>C1857116353</t>
  </si>
  <si>
    <t>C690687822</t>
  </si>
  <si>
    <t>C718215446</t>
  </si>
  <si>
    <t>C1200993280</t>
  </si>
  <si>
    <t>C952177952</t>
  </si>
  <si>
    <t>C884699340</t>
  </si>
  <si>
    <t>C1735799250</t>
  </si>
  <si>
    <t>C106378482</t>
  </si>
  <si>
    <t>C65342125</t>
  </si>
  <si>
    <t>C282355647</t>
  </si>
  <si>
    <t>C476640492</t>
  </si>
  <si>
    <t>C1370530926</t>
  </si>
  <si>
    <t>C1671353324</t>
  </si>
  <si>
    <t>C1524911570</t>
  </si>
  <si>
    <t>C1016521533</t>
  </si>
  <si>
    <t>C475877892</t>
  </si>
  <si>
    <t>C877157675</t>
  </si>
  <si>
    <t>C357180483</t>
  </si>
  <si>
    <t>C1876689114</t>
  </si>
  <si>
    <t>C1824138036</t>
  </si>
  <si>
    <t>C2059976574</t>
  </si>
  <si>
    <t>C1021456304</t>
  </si>
  <si>
    <t>C1900819473</t>
  </si>
  <si>
    <t>C526266879</t>
  </si>
  <si>
    <t>C127639062</t>
  </si>
  <si>
    <t>C1426710143</t>
  </si>
  <si>
    <t>C147756271</t>
  </si>
  <si>
    <t>C650234869</t>
  </si>
  <si>
    <t>C935524807</t>
  </si>
  <si>
    <t>C1309332634</t>
  </si>
  <si>
    <t>C658423698</t>
  </si>
  <si>
    <t>C329899379</t>
  </si>
  <si>
    <t>C2089741901</t>
  </si>
  <si>
    <t>C434503423</t>
  </si>
  <si>
    <t>C1795295</t>
  </si>
  <si>
    <t>C658604431</t>
  </si>
  <si>
    <t>C548911578</t>
  </si>
  <si>
    <t>C1075176822</t>
  </si>
  <si>
    <t>C1915179121</t>
  </si>
  <si>
    <t>C36534041</t>
  </si>
  <si>
    <t>C2043684094</t>
  </si>
  <si>
    <t>C795372753</t>
  </si>
  <si>
    <t>C582388359</t>
  </si>
  <si>
    <t>C641615589</t>
  </si>
  <si>
    <t>C1062379106</t>
  </si>
  <si>
    <t>C1316357800</t>
  </si>
  <si>
    <t>C2009003297</t>
  </si>
  <si>
    <t>C1459842129</t>
  </si>
  <si>
    <t>C263309564</t>
  </si>
  <si>
    <t>C1511183581</t>
  </si>
  <si>
    <t>C432380223</t>
  </si>
  <si>
    <t>C1583623584</t>
  </si>
  <si>
    <t>C844080619</t>
  </si>
  <si>
    <t>C597435768</t>
  </si>
  <si>
    <t>C1936471789</t>
  </si>
  <si>
    <t>C844650878</t>
  </si>
  <si>
    <t>C347823837</t>
  </si>
  <si>
    <t>C535285535</t>
  </si>
  <si>
    <t>C1770441952</t>
  </si>
  <si>
    <t>C1228502814</t>
  </si>
  <si>
    <t>C1232837961</t>
  </si>
  <si>
    <t>C1664538299</t>
  </si>
  <si>
    <t>C1530003925</t>
  </si>
  <si>
    <t>C1195646619</t>
  </si>
  <si>
    <t>C355594712</t>
  </si>
  <si>
    <t>C1163824069</t>
  </si>
  <si>
    <t>C1585059557</t>
  </si>
  <si>
    <t>C1250942546</t>
  </si>
  <si>
    <t>C451243683</t>
  </si>
  <si>
    <t>C958253769</t>
  </si>
  <si>
    <t>C486342629</t>
  </si>
  <si>
    <t>C249139572</t>
  </si>
  <si>
    <t>C712970778</t>
  </si>
  <si>
    <t>C44247024</t>
  </si>
  <si>
    <t>C607970446</t>
  </si>
  <si>
    <t>C1306842666</t>
  </si>
  <si>
    <t>C354227932</t>
  </si>
  <si>
    <t>C467042735</t>
  </si>
  <si>
    <t>C1860550733</t>
  </si>
  <si>
    <t>C731457880</t>
  </si>
  <si>
    <t>C1020850249</t>
  </si>
  <si>
    <t>C381876590</t>
  </si>
  <si>
    <t>C2139323336</t>
  </si>
  <si>
    <t>C1787061281</t>
  </si>
  <si>
    <t>C47524114</t>
  </si>
  <si>
    <t>C645628840</t>
  </si>
  <si>
    <t>C1123186349</t>
  </si>
  <si>
    <t>C1729475937</t>
  </si>
  <si>
    <t>C961780738</t>
  </si>
  <si>
    <t>C1786351253</t>
  </si>
  <si>
    <t>C1567288795</t>
  </si>
  <si>
    <t>C1978402788</t>
  </si>
  <si>
    <t>C1994183389</t>
  </si>
  <si>
    <t>C366927459</t>
  </si>
  <si>
    <t>C659199413</t>
  </si>
  <si>
    <t>C1444079719</t>
  </si>
  <si>
    <t>C48017106</t>
  </si>
  <si>
    <t>C1750307657</t>
  </si>
  <si>
    <t>C139632487</t>
  </si>
  <si>
    <t>C1966690861</t>
  </si>
  <si>
    <t>C403242634</t>
  </si>
  <si>
    <t>C61990291</t>
  </si>
  <si>
    <t>C1805399811</t>
  </si>
  <si>
    <t>C1422711438</t>
  </si>
  <si>
    <t>C215072412</t>
  </si>
  <si>
    <t>C386798101</t>
  </si>
  <si>
    <t>C275034566</t>
  </si>
  <si>
    <t>C782534893</t>
  </si>
  <si>
    <t>C1330110958</t>
  </si>
  <si>
    <t>C857281092</t>
  </si>
  <si>
    <t>C1164571434</t>
  </si>
  <si>
    <t>C895361185</t>
  </si>
  <si>
    <t>C1154322501</t>
  </si>
  <si>
    <t>C1687580441</t>
  </si>
  <si>
    <t>C833989982</t>
  </si>
  <si>
    <t>C1897067419</t>
  </si>
  <si>
    <t>C262990065</t>
  </si>
  <si>
    <t>C1242379975</t>
  </si>
  <si>
    <t>C505397169</t>
  </si>
  <si>
    <t>C599233021</t>
  </si>
  <si>
    <t>C1786386487</t>
  </si>
  <si>
    <t>C1454031203</t>
  </si>
  <si>
    <t>C1991870331</t>
  </si>
  <si>
    <t>C501280303</t>
  </si>
  <si>
    <t>C515510845</t>
  </si>
  <si>
    <t>C415699959</t>
  </si>
  <si>
    <t>C2109457516</t>
  </si>
  <si>
    <t>C908864570</t>
  </si>
  <si>
    <t>C1195032652</t>
  </si>
  <si>
    <t>C1367255869</t>
  </si>
  <si>
    <t>C2105673103</t>
  </si>
  <si>
    <t>C98079296</t>
  </si>
  <si>
    <t>C862440440</t>
  </si>
  <si>
    <t>C167070759</t>
  </si>
  <si>
    <t>C282915164</t>
  </si>
  <si>
    <t>C672400159</t>
  </si>
  <si>
    <t>C32861099</t>
  </si>
  <si>
    <t>C1594778194</t>
  </si>
  <si>
    <t>C1823914087</t>
  </si>
  <si>
    <t>C1052777709</t>
  </si>
  <si>
    <t>C1636013570</t>
  </si>
  <si>
    <t>C2066003164</t>
  </si>
  <si>
    <t>C1765119291</t>
  </si>
  <si>
    <t>C371379583</t>
  </si>
  <si>
    <t>C1982559118</t>
  </si>
  <si>
    <t>C1018969803</t>
  </si>
  <si>
    <t>C1715084286</t>
  </si>
  <si>
    <t>C415375205</t>
  </si>
  <si>
    <t>C1841119507</t>
  </si>
  <si>
    <t>C1966998418</t>
  </si>
  <si>
    <t>C677678546</t>
  </si>
  <si>
    <t>C646623849</t>
  </si>
  <si>
    <t>C92154963</t>
  </si>
  <si>
    <t>C1037207091</t>
  </si>
  <si>
    <t>C866984681</t>
  </si>
  <si>
    <t>C1857536723</t>
  </si>
  <si>
    <t>C874465366</t>
  </si>
  <si>
    <t>C1545590429</t>
  </si>
  <si>
    <t>C949573914</t>
  </si>
  <si>
    <t>C346346824</t>
  </si>
  <si>
    <t>C1282533102</t>
  </si>
  <si>
    <t>C672637887</t>
  </si>
  <si>
    <t>C378617827</t>
  </si>
  <si>
    <t>C1265131322</t>
  </si>
  <si>
    <t>C1476565151</t>
  </si>
  <si>
    <t>C1637975724</t>
  </si>
  <si>
    <t>C706829068</t>
  </si>
  <si>
    <t>C1684593692</t>
  </si>
  <si>
    <t>C1772396080</t>
  </si>
  <si>
    <t>C257338994</t>
  </si>
  <si>
    <t>C1985338048</t>
  </si>
  <si>
    <t>C1366367431</t>
  </si>
  <si>
    <t>C979329781</t>
  </si>
  <si>
    <t>C1938348365</t>
  </si>
  <si>
    <t>C436643721</t>
  </si>
  <si>
    <t>C295403005</t>
  </si>
  <si>
    <t>C1461649383</t>
  </si>
  <si>
    <t>C798055687</t>
  </si>
  <si>
    <t>C264616990</t>
  </si>
  <si>
    <t>C1955514169</t>
  </si>
  <si>
    <t>C1313615833</t>
  </si>
  <si>
    <t>C475338087</t>
  </si>
  <si>
    <t>C1641673590</t>
  </si>
  <si>
    <t>C227659861</t>
  </si>
  <si>
    <t>C1092143469</t>
  </si>
  <si>
    <t>C528593406</t>
  </si>
  <si>
    <t>C1671411740</t>
  </si>
  <si>
    <t>C2033875224</t>
  </si>
  <si>
    <t>C1283613009</t>
  </si>
  <si>
    <t>C1291527211</t>
  </si>
  <si>
    <t>C1659791860</t>
  </si>
  <si>
    <t>C199886377</t>
  </si>
  <si>
    <t>C1706727269</t>
  </si>
  <si>
    <t>C98727471</t>
  </si>
  <si>
    <t>C2071698582</t>
  </si>
  <si>
    <t>C1036746993</t>
  </si>
  <si>
    <t>C615309889</t>
  </si>
  <si>
    <t>C755984599</t>
  </si>
  <si>
    <t>C891068137</t>
  </si>
  <si>
    <t>C177386089</t>
  </si>
  <si>
    <t>C78395024</t>
  </si>
  <si>
    <t>C1981613973</t>
  </si>
  <si>
    <t>C53057884</t>
  </si>
  <si>
    <t>C588547519</t>
  </si>
  <si>
    <t>C1438388258</t>
  </si>
  <si>
    <t>C1089455271</t>
  </si>
  <si>
    <t>C1801750044</t>
  </si>
  <si>
    <t>C1420708952</t>
  </si>
  <si>
    <t>C1456711816</t>
  </si>
  <si>
    <t>C1231373551</t>
  </si>
  <si>
    <t>C427763831</t>
  </si>
  <si>
    <t>C1394804033</t>
  </si>
  <si>
    <t>C754386554</t>
  </si>
  <si>
    <t>C1470379039</t>
  </si>
  <si>
    <t>C1668034974</t>
  </si>
  <si>
    <t>C1048930255</t>
  </si>
  <si>
    <t>C682644115</t>
  </si>
  <si>
    <t>C242591003</t>
  </si>
  <si>
    <t>C1223486306</t>
  </si>
  <si>
    <t>C964592362</t>
  </si>
  <si>
    <t>C1555882195</t>
  </si>
  <si>
    <t>C644163395</t>
  </si>
  <si>
    <t>C1591659035</t>
  </si>
  <si>
    <t>C1490141777</t>
  </si>
  <si>
    <t>C1959804825</t>
  </si>
  <si>
    <t>C1005460442</t>
  </si>
  <si>
    <t>C775816840</t>
  </si>
  <si>
    <t>C1539861914</t>
  </si>
  <si>
    <t>C367894534</t>
  </si>
  <si>
    <t>C397644656</t>
  </si>
  <si>
    <t>C1294027751</t>
  </si>
  <si>
    <t>C1027008059</t>
  </si>
  <si>
    <t>C146952243</t>
  </si>
  <si>
    <t>C570435842</t>
  </si>
  <si>
    <t>C1444290021</t>
  </si>
  <si>
    <t>C959470338</t>
  </si>
  <si>
    <t>C780368561</t>
  </si>
  <si>
    <t>C1227289239</t>
  </si>
  <si>
    <t>C554032564</t>
  </si>
  <si>
    <t>C1773822709</t>
  </si>
  <si>
    <t>C1267904754</t>
  </si>
  <si>
    <t>C858620596</t>
  </si>
  <si>
    <t>C1934910898</t>
  </si>
  <si>
    <t>C547328121</t>
  </si>
  <si>
    <t>C1784961866</t>
  </si>
  <si>
    <t>C1245192492</t>
  </si>
  <si>
    <t>C1694745551</t>
  </si>
  <si>
    <t>C43669214</t>
  </si>
  <si>
    <t>C1003023037</t>
  </si>
  <si>
    <t>C1969565765</t>
  </si>
  <si>
    <t>C1809932675</t>
  </si>
  <si>
    <t>C1098977292</t>
  </si>
  <si>
    <t>C588765630</t>
  </si>
  <si>
    <t>C766485430</t>
  </si>
  <si>
    <t>C1492220840</t>
  </si>
  <si>
    <t>C839360691</t>
  </si>
  <si>
    <t>C605093641</t>
  </si>
  <si>
    <t>C721605153</t>
  </si>
  <si>
    <t>C1151172465</t>
  </si>
  <si>
    <t>C2088124795</t>
  </si>
  <si>
    <t>C1507497077</t>
  </si>
  <si>
    <t>C910594371</t>
  </si>
  <si>
    <t>C178620637</t>
  </si>
  <si>
    <t>C479353061</t>
  </si>
  <si>
    <t>C695129655</t>
  </si>
  <si>
    <t>C103236252</t>
  </si>
  <si>
    <t>C1710384366</t>
  </si>
  <si>
    <t>C198379281</t>
  </si>
  <si>
    <t>C857746237</t>
  </si>
  <si>
    <t>C756454870</t>
  </si>
  <si>
    <t>C1095120189</t>
  </si>
  <si>
    <t>C1922445613</t>
  </si>
  <si>
    <t>C461145537</t>
  </si>
  <si>
    <t>C1318698561</t>
  </si>
  <si>
    <t>C2115087067</t>
  </si>
  <si>
    <t>C1566688012</t>
  </si>
  <si>
    <t>C1361631138</t>
  </si>
  <si>
    <t>C1153451347</t>
  </si>
  <si>
    <t>C450761826</t>
  </si>
  <si>
    <t>C127671231</t>
  </si>
  <si>
    <t>C974221574</t>
  </si>
  <si>
    <t>C1935083121</t>
  </si>
  <si>
    <t>C83154619</t>
  </si>
  <si>
    <t>C568175103</t>
  </si>
  <si>
    <t>C283083073</t>
  </si>
  <si>
    <t>C1267158518</t>
  </si>
  <si>
    <t>C1985253789</t>
  </si>
  <si>
    <t>C1776957208</t>
  </si>
  <si>
    <t>C776312807</t>
  </si>
  <si>
    <t>C1668561632</t>
  </si>
  <si>
    <t>C575000794</t>
  </si>
  <si>
    <t>C725597637</t>
  </si>
  <si>
    <t>C157857444</t>
  </si>
  <si>
    <t>C1528612318</t>
  </si>
  <si>
    <t>C669563371</t>
  </si>
  <si>
    <t>C48810852</t>
  </si>
  <si>
    <t>C1460010933</t>
  </si>
  <si>
    <t>C1074348771</t>
  </si>
  <si>
    <t>C306278286</t>
  </si>
  <si>
    <t>C378412722</t>
  </si>
  <si>
    <t>C802151575</t>
  </si>
  <si>
    <t>C729877384</t>
  </si>
  <si>
    <t>C1610940627</t>
  </si>
  <si>
    <t>C1878410871</t>
  </si>
  <si>
    <t>C891884680</t>
  </si>
  <si>
    <t>C958168241</t>
  </si>
  <si>
    <t>C1700925232</t>
  </si>
  <si>
    <t>C1519833841</t>
  </si>
  <si>
    <t>C1856760155</t>
  </si>
  <si>
    <t>C1907685273</t>
  </si>
  <si>
    <t>C2107203461</t>
  </si>
  <si>
    <t>C1519673706</t>
  </si>
  <si>
    <t>C1396705699</t>
  </si>
  <si>
    <t>C3630973</t>
  </si>
  <si>
    <t>C1609262789</t>
  </si>
  <si>
    <t>C1817853136</t>
  </si>
  <si>
    <t>C1040572676</t>
  </si>
  <si>
    <t>C973342461</t>
  </si>
  <si>
    <t>C631818291</t>
  </si>
  <si>
    <t>C1130541030</t>
  </si>
  <si>
    <t>C50502894</t>
  </si>
  <si>
    <t>C282621115</t>
  </si>
  <si>
    <t>C2027238520</t>
  </si>
  <si>
    <t>C395825139</t>
  </si>
  <si>
    <t>C1241208981</t>
  </si>
  <si>
    <t>C32677445</t>
  </si>
  <si>
    <t>C154560289</t>
  </si>
  <si>
    <t>C1347258113</t>
  </si>
  <si>
    <t>C169356853</t>
  </si>
  <si>
    <t>C65227807</t>
  </si>
  <si>
    <t>C213999906</t>
  </si>
  <si>
    <t>C706933703</t>
  </si>
  <si>
    <t>C273430415</t>
  </si>
  <si>
    <t>C1325126961</t>
  </si>
  <si>
    <t>C1068974192</t>
  </si>
  <si>
    <t>C1947418069</t>
  </si>
  <si>
    <t>C615914680</t>
  </si>
  <si>
    <t>C144675030</t>
  </si>
  <si>
    <t>C660991644</t>
  </si>
  <si>
    <t>C1899697178</t>
  </si>
  <si>
    <t>C553920581</t>
  </si>
  <si>
    <t>C1635325265</t>
  </si>
  <si>
    <t>C1782100943</t>
  </si>
  <si>
    <t>C216625470</t>
  </si>
  <si>
    <t>C1897901588</t>
  </si>
  <si>
    <t>C2021935445</t>
  </si>
  <si>
    <t>C332249974</t>
  </si>
  <si>
    <t>C1370888603</t>
  </si>
  <si>
    <t>C1110499013</t>
  </si>
  <si>
    <t>C2026655073</t>
  </si>
  <si>
    <t>C524492169</t>
  </si>
  <si>
    <t>C1072407495</t>
  </si>
  <si>
    <t>C577652704</t>
  </si>
  <si>
    <t>C1702857614</t>
  </si>
  <si>
    <t>C952860391</t>
  </si>
  <si>
    <t>C73677947</t>
  </si>
  <si>
    <t>C1626691330</t>
  </si>
  <si>
    <t>C517594835</t>
  </si>
  <si>
    <t>C1448192965</t>
  </si>
  <si>
    <t>C2085532500</t>
  </si>
  <si>
    <t>C1628486398</t>
  </si>
  <si>
    <t>C1710515368</t>
  </si>
  <si>
    <t>C1582805529</t>
  </si>
  <si>
    <t>C1079384969</t>
  </si>
  <si>
    <t>C1087953881</t>
  </si>
  <si>
    <t>C279538198</t>
  </si>
  <si>
    <t>C1842012952</t>
  </si>
  <si>
    <t>C427077444</t>
  </si>
  <si>
    <t>C1033887610</t>
  </si>
  <si>
    <t>C2138181348</t>
  </si>
  <si>
    <t>C1608735206</t>
  </si>
  <si>
    <t>C696147355</t>
  </si>
  <si>
    <t>C1941798570</t>
  </si>
  <si>
    <t>C538871976</t>
  </si>
  <si>
    <t>C1208558259</t>
  </si>
  <si>
    <t>C728143038</t>
  </si>
  <si>
    <t>C1407664911</t>
  </si>
  <si>
    <t>C1141684760</t>
  </si>
  <si>
    <t>C1203351352</t>
  </si>
  <si>
    <t>C524658055</t>
  </si>
  <si>
    <t>C200964845</t>
  </si>
  <si>
    <t>C1263150351</t>
  </si>
  <si>
    <t>C61517319</t>
  </si>
  <si>
    <t>C1419156412</t>
  </si>
  <si>
    <t>C31490801</t>
  </si>
  <si>
    <t>C1249942022</t>
  </si>
  <si>
    <t>C1969956684</t>
  </si>
  <si>
    <t>C1774788670</t>
  </si>
  <si>
    <t>C824562042</t>
  </si>
  <si>
    <t>C238307313</t>
  </si>
  <si>
    <t>C1029951793</t>
  </si>
  <si>
    <t>C1587954748</t>
  </si>
  <si>
    <t>C1439182488</t>
  </si>
  <si>
    <t>C194251863</t>
  </si>
  <si>
    <t>C280536388</t>
  </si>
  <si>
    <t>C1913306809</t>
  </si>
  <si>
    <t>C343563320</t>
  </si>
  <si>
    <t>C1000937208</t>
  </si>
  <si>
    <t>C1880907151</t>
  </si>
  <si>
    <t>C911734420</t>
  </si>
  <si>
    <t>C1953014312</t>
  </si>
  <si>
    <t>C495624893</t>
  </si>
  <si>
    <t>C939460136</t>
  </si>
  <si>
    <t>C978467011</t>
  </si>
  <si>
    <t>C809689507</t>
  </si>
  <si>
    <t>C1237313447</t>
  </si>
  <si>
    <t>C1468356154</t>
  </si>
  <si>
    <t>C1079335762</t>
  </si>
  <si>
    <t>C615227407</t>
  </si>
  <si>
    <t>C134383279</t>
  </si>
  <si>
    <t>C1363477592</t>
  </si>
  <si>
    <t>C599597900</t>
  </si>
  <si>
    <t>C886672232</t>
  </si>
  <si>
    <t>C358852719</t>
  </si>
  <si>
    <t>C361327171</t>
  </si>
  <si>
    <t>C341046619</t>
  </si>
  <si>
    <t>C1149435896</t>
  </si>
  <si>
    <t>C2038871800</t>
  </si>
  <si>
    <t>C699011744</t>
  </si>
  <si>
    <t>C422847899</t>
  </si>
  <si>
    <t>C287098370</t>
  </si>
  <si>
    <t>C905119100</t>
  </si>
  <si>
    <t>C451805271</t>
  </si>
  <si>
    <t>C75671301</t>
  </si>
  <si>
    <t>C1444107396</t>
  </si>
  <si>
    <t>C1562027253</t>
  </si>
  <si>
    <t>C1848884000</t>
  </si>
  <si>
    <t>C376115864</t>
  </si>
  <si>
    <t>C426265650</t>
  </si>
  <si>
    <t>C2019200762</t>
  </si>
  <si>
    <t>C1936595952</t>
  </si>
  <si>
    <t>C1416319101</t>
  </si>
  <si>
    <t>C1058391661</t>
  </si>
  <si>
    <t>C167823915</t>
  </si>
  <si>
    <t>C1275891732</t>
  </si>
  <si>
    <t>C989926584</t>
  </si>
  <si>
    <t>C392060027</t>
  </si>
  <si>
    <t>C45705350</t>
  </si>
  <si>
    <t>C342648059</t>
  </si>
  <si>
    <t>C825022387</t>
  </si>
  <si>
    <t>C98299573</t>
  </si>
  <si>
    <t>C323116662</t>
  </si>
  <si>
    <t>C771703338</t>
  </si>
  <si>
    <t>C1350764838</t>
  </si>
  <si>
    <t>C1110566935</t>
  </si>
  <si>
    <t>C1210547818</t>
  </si>
  <si>
    <t>C743472915</t>
  </si>
  <si>
    <t>C165832169</t>
  </si>
  <si>
    <t>C1660861590</t>
  </si>
  <si>
    <t>C852926396</t>
  </si>
  <si>
    <t>C1518895613</t>
  </si>
  <si>
    <t>C315643365</t>
  </si>
  <si>
    <t>C397720555</t>
  </si>
  <si>
    <t>C1006668962</t>
  </si>
  <si>
    <t>C942925545</t>
  </si>
  <si>
    <t>C1633587807</t>
  </si>
  <si>
    <t>C792651637</t>
  </si>
  <si>
    <t>C397396936</t>
  </si>
  <si>
    <t>C824646662</t>
  </si>
  <si>
    <t>C1917849910</t>
  </si>
  <si>
    <t>C58626602</t>
  </si>
  <si>
    <t>C1366192319</t>
  </si>
  <si>
    <t>C610088962</t>
  </si>
  <si>
    <t>C1925322228</t>
  </si>
  <si>
    <t>C2080405171</t>
  </si>
  <si>
    <t>C1544738688</t>
  </si>
  <si>
    <t>C1976472089</t>
  </si>
  <si>
    <t>C920627879</t>
  </si>
  <si>
    <t>C47624520</t>
  </si>
  <si>
    <t>C572686074</t>
  </si>
  <si>
    <t>C1334187064</t>
  </si>
  <si>
    <t>C719763224</t>
  </si>
  <si>
    <t>C810305173</t>
  </si>
  <si>
    <t>C600417404</t>
  </si>
  <si>
    <t>C823346399</t>
  </si>
  <si>
    <t>C1910586925</t>
  </si>
  <si>
    <t>C108588868</t>
  </si>
  <si>
    <t>C944240643</t>
  </si>
  <si>
    <t>C2032147559</t>
  </si>
  <si>
    <t>C599607213</t>
  </si>
  <si>
    <t>C722109752</t>
  </si>
  <si>
    <t>C43114733</t>
  </si>
  <si>
    <t>C9701690</t>
  </si>
  <si>
    <t>C617022852</t>
  </si>
  <si>
    <t>C1096275107</t>
  </si>
  <si>
    <t>C541691384</t>
  </si>
  <si>
    <t>C955071434</t>
  </si>
  <si>
    <t>C865727492</t>
  </si>
  <si>
    <t>C1202805418</t>
  </si>
  <si>
    <t>C1429653947</t>
  </si>
  <si>
    <t>C1733056191</t>
  </si>
  <si>
    <t>C1061971573</t>
  </si>
  <si>
    <t>C406938681</t>
  </si>
  <si>
    <t>C579440834</t>
  </si>
  <si>
    <t>C1227042704</t>
  </si>
  <si>
    <t>C585705042</t>
  </si>
  <si>
    <t>C1107960128</t>
  </si>
  <si>
    <t>C76175380</t>
  </si>
  <si>
    <t>C337026029</t>
  </si>
  <si>
    <t>C1022926752</t>
  </si>
  <si>
    <t>C1843531771</t>
  </si>
  <si>
    <t>C632110164</t>
  </si>
  <si>
    <t>C538142346</t>
  </si>
  <si>
    <t>C557678014</t>
  </si>
  <si>
    <t>C1230337572</t>
  </si>
  <si>
    <t>C720836200</t>
  </si>
  <si>
    <t>C849209216</t>
  </si>
  <si>
    <t>C754619416</t>
  </si>
  <si>
    <t>C1342024703</t>
  </si>
  <si>
    <t>C1828683068</t>
  </si>
  <si>
    <t>C1952555964</t>
  </si>
  <si>
    <t>C1702948277</t>
  </si>
  <si>
    <t>C384245570</t>
  </si>
  <si>
    <t>C898480186</t>
  </si>
  <si>
    <t>C1268472825</t>
  </si>
  <si>
    <t>C2126149202</t>
  </si>
  <si>
    <t>C1763423014</t>
  </si>
  <si>
    <t>C2088891396</t>
  </si>
  <si>
    <t>C270438906</t>
  </si>
  <si>
    <t>C976082192</t>
  </si>
  <si>
    <t>C1043173812</t>
  </si>
  <si>
    <t>C1425524479</t>
  </si>
  <si>
    <t>C796414235</t>
  </si>
  <si>
    <t>C1743229382</t>
  </si>
  <si>
    <t>C466502993</t>
  </si>
  <si>
    <t>C1376830476</t>
  </si>
  <si>
    <t>C2134607507</t>
  </si>
  <si>
    <t>C950019767</t>
  </si>
  <si>
    <t>C759761137</t>
  </si>
  <si>
    <t>C1046167270</t>
  </si>
  <si>
    <t>C1087665354</t>
  </si>
  <si>
    <t>C121215038</t>
  </si>
  <si>
    <t>C702109004</t>
  </si>
  <si>
    <t>C1385287774</t>
  </si>
  <si>
    <t>C183849466</t>
  </si>
  <si>
    <t>C1798936808</t>
  </si>
  <si>
    <t>C1872678613</t>
  </si>
  <si>
    <t>C1669827303</t>
  </si>
  <si>
    <t>C202343880</t>
  </si>
  <si>
    <t>C1389958255</t>
  </si>
  <si>
    <t>C1864352304</t>
  </si>
  <si>
    <t>C238575749</t>
  </si>
  <si>
    <t>C1329935528</t>
  </si>
  <si>
    <t>C1434520582</t>
  </si>
  <si>
    <t>C1453976647</t>
  </si>
  <si>
    <t>C1454683123</t>
  </si>
  <si>
    <t>C399518124</t>
  </si>
  <si>
    <t>C2125071302</t>
  </si>
  <si>
    <t>C425422557</t>
  </si>
  <si>
    <t>C1375508405</t>
  </si>
  <si>
    <t>C889382301</t>
  </si>
  <si>
    <t>C3107126</t>
  </si>
  <si>
    <t>C743505070</t>
  </si>
  <si>
    <t>C1234529860</t>
  </si>
  <si>
    <t>C987446721</t>
  </si>
  <si>
    <t>C2016707009</t>
  </si>
  <si>
    <t>C1883647961</t>
  </si>
  <si>
    <t>C1513663831</t>
  </si>
  <si>
    <t>C1935735129</t>
  </si>
  <si>
    <t>C112075481</t>
  </si>
  <si>
    <t>C1906745138</t>
  </si>
  <si>
    <t>C876716683</t>
  </si>
  <si>
    <t>C1473416514</t>
  </si>
  <si>
    <t>C1832804428</t>
  </si>
  <si>
    <t>C1373339236</t>
  </si>
  <si>
    <t>C2129914105</t>
  </si>
  <si>
    <t>C170080123</t>
  </si>
  <si>
    <t>C163362068</t>
  </si>
  <si>
    <t>C2101762472</t>
  </si>
  <si>
    <t>C810552146</t>
  </si>
  <si>
    <t>C400913352</t>
  </si>
  <si>
    <t>C787624212</t>
  </si>
  <si>
    <t>C707993034</t>
  </si>
  <si>
    <t>C1336389651</t>
  </si>
  <si>
    <t>C4347362</t>
  </si>
  <si>
    <t>C20934995</t>
  </si>
  <si>
    <t>C601864422</t>
  </si>
  <si>
    <t>C1936469791</t>
  </si>
  <si>
    <t>C471979620</t>
  </si>
  <si>
    <t>C199695016</t>
  </si>
  <si>
    <t>C1584778754</t>
  </si>
  <si>
    <t>C973257095</t>
  </si>
  <si>
    <t>C782817814</t>
  </si>
  <si>
    <t>C1087234685</t>
  </si>
  <si>
    <t>C271149484</t>
  </si>
  <si>
    <t>C1389046188</t>
  </si>
  <si>
    <t>C257288692</t>
  </si>
  <si>
    <t>C1640647431</t>
  </si>
  <si>
    <t>C1995045376</t>
  </si>
  <si>
    <t>C1311443000</t>
  </si>
  <si>
    <t>C1414013313</t>
  </si>
  <si>
    <t>C1641731466</t>
  </si>
  <si>
    <t>C290559240</t>
  </si>
  <si>
    <t>C1784092244</t>
  </si>
  <si>
    <t>C646123724</t>
  </si>
  <si>
    <t>C1509358186</t>
  </si>
  <si>
    <t>C2068734277</t>
  </si>
  <si>
    <t>C1334465444</t>
  </si>
  <si>
    <t>C247088283</t>
  </si>
  <si>
    <t>C2018224474</t>
  </si>
  <si>
    <t>C1562137241</t>
  </si>
  <si>
    <t>C712828337</t>
  </si>
  <si>
    <t>C1973032153</t>
  </si>
  <si>
    <t>C1152872254</t>
  </si>
  <si>
    <t>C1484049545</t>
  </si>
  <si>
    <t>C1505563519</t>
  </si>
  <si>
    <t>C863042157</t>
  </si>
  <si>
    <t>C2082041963</t>
  </si>
  <si>
    <t>C484298628</t>
  </si>
  <si>
    <t>C830817076</t>
  </si>
  <si>
    <t>C235145980</t>
  </si>
  <si>
    <t>C531625667</t>
  </si>
  <si>
    <t>C1312031909</t>
  </si>
  <si>
    <t>C1851254039</t>
  </si>
  <si>
    <t>C1151857075</t>
  </si>
  <si>
    <t>C822183230</t>
  </si>
  <si>
    <t>C1393101702</t>
  </si>
  <si>
    <t>C1126237876</t>
  </si>
  <si>
    <t>C842293503</t>
  </si>
  <si>
    <t>C593029629</t>
  </si>
  <si>
    <t>C1743578484</t>
  </si>
  <si>
    <t>C1928781788</t>
  </si>
  <si>
    <t>C1636281428</t>
  </si>
  <si>
    <t>C1340312777</t>
  </si>
  <si>
    <t>C863062485</t>
  </si>
  <si>
    <t>C71055143</t>
  </si>
  <si>
    <t>C1732817669</t>
  </si>
  <si>
    <t>C1615802716</t>
  </si>
  <si>
    <t>C1977391812</t>
  </si>
  <si>
    <t>C612571830</t>
  </si>
  <si>
    <t>C544677509</t>
  </si>
  <si>
    <t>C2002083627</t>
  </si>
  <si>
    <t>C1024161943</t>
  </si>
  <si>
    <t>C313908201</t>
  </si>
  <si>
    <t>C1295977505</t>
  </si>
  <si>
    <t>C199871794</t>
  </si>
  <si>
    <t>C1396988344</t>
  </si>
  <si>
    <t>C931340371</t>
  </si>
  <si>
    <t>C781083195</t>
  </si>
  <si>
    <t>C1961802855</t>
  </si>
  <si>
    <t>C315895571</t>
  </si>
  <si>
    <t>C458914580</t>
  </si>
  <si>
    <t>C1918475530</t>
  </si>
  <si>
    <t>C391100177</t>
  </si>
  <si>
    <t>C1603792241</t>
  </si>
  <si>
    <t>C700848378</t>
  </si>
  <si>
    <t>C1731783280</t>
  </si>
  <si>
    <t>C2002472710</t>
  </si>
  <si>
    <t>C2023856876</t>
  </si>
  <si>
    <t>C861292985</t>
  </si>
  <si>
    <t>C1762318733</t>
  </si>
  <si>
    <t>C1022498421</t>
  </si>
  <si>
    <t>C1697378157</t>
  </si>
  <si>
    <t>C1011158272</t>
  </si>
  <si>
    <t>C1883340818</t>
  </si>
  <si>
    <t>C676090557</t>
  </si>
  <si>
    <t>C1516512243</t>
  </si>
  <si>
    <t>C137902575</t>
  </si>
  <si>
    <t>C1643523023</t>
  </si>
  <si>
    <t>C1863782967</t>
  </si>
  <si>
    <t>C1170590191</t>
  </si>
  <si>
    <t>C1532820276</t>
  </si>
  <si>
    <t>C1326115881</t>
  </si>
  <si>
    <t>C1553979696</t>
  </si>
  <si>
    <t>C537828065</t>
  </si>
  <si>
    <t>C1143980021</t>
  </si>
  <si>
    <t>C1219235880</t>
  </si>
  <si>
    <t>C1904367873</t>
  </si>
  <si>
    <t>C156002993</t>
  </si>
  <si>
    <t>C1309775985</t>
  </si>
  <si>
    <t>C1771620140</t>
  </si>
  <si>
    <t>C358188091</t>
  </si>
  <si>
    <t>C329029721</t>
  </si>
  <si>
    <t>C395839623</t>
  </si>
  <si>
    <t>C925758982</t>
  </si>
  <si>
    <t>C708686257</t>
  </si>
  <si>
    <t>C191950817</t>
  </si>
  <si>
    <t>C824268591</t>
  </si>
  <si>
    <t>C819390198</t>
  </si>
  <si>
    <t>C1586676521</t>
  </si>
  <si>
    <t>C94475674</t>
  </si>
  <si>
    <t>C1563063305</t>
  </si>
  <si>
    <t>C262427288</t>
  </si>
  <si>
    <t>C211205523</t>
  </si>
  <si>
    <t>C1430994246</t>
  </si>
  <si>
    <t>C1767333284</t>
  </si>
  <si>
    <t>C610460069</t>
  </si>
  <si>
    <t>C1313587911</t>
  </si>
  <si>
    <t>C1637506717</t>
  </si>
  <si>
    <t>C1527777491</t>
  </si>
  <si>
    <t>C1215602275</t>
  </si>
  <si>
    <t>C998593582</t>
  </si>
  <si>
    <t>C855256022</t>
  </si>
  <si>
    <t>C1736832400</t>
  </si>
  <si>
    <t>C2124923090</t>
  </si>
  <si>
    <t>C428343058</t>
  </si>
  <si>
    <t>C1518840126</t>
  </si>
  <si>
    <t>C1072220674</t>
  </si>
  <si>
    <t>C2110200242</t>
  </si>
  <si>
    <t>C872526349</t>
  </si>
  <si>
    <t>C1824885183</t>
  </si>
  <si>
    <t>C526144262</t>
  </si>
  <si>
    <t>C79051264</t>
  </si>
  <si>
    <t>C732111322</t>
  </si>
  <si>
    <t>C1140210295</t>
  </si>
  <si>
    <t>C1000086512</t>
  </si>
  <si>
    <t>C1759363094</t>
  </si>
  <si>
    <t>C927181710</t>
  </si>
  <si>
    <t>C757947873</t>
  </si>
  <si>
    <t>C409531429</t>
  </si>
  <si>
    <t>total_count</t>
  </si>
  <si>
    <t>fraud_count</t>
  </si>
  <si>
    <t>fraud_rate_pct</t>
  </si>
  <si>
    <t>avg_amount</t>
  </si>
  <si>
    <t>PAYMENT</t>
  </si>
  <si>
    <t>DEBIT</t>
  </si>
  <si>
    <t>CASH_IN</t>
  </si>
  <si>
    <t>total_transactions</t>
  </si>
  <si>
    <t>running_fraud_total</t>
  </si>
  <si>
    <t>Amount_Score</t>
  </si>
  <si>
    <t>Total_Risk</t>
  </si>
  <si>
    <t>Type_Score</t>
  </si>
  <si>
    <t>Risk_Tier</t>
  </si>
  <si>
    <t>High</t>
  </si>
  <si>
    <t>Medium</t>
  </si>
  <si>
    <t>Low</t>
  </si>
  <si>
    <t>Row Labels</t>
  </si>
  <si>
    <t>Grand Total</t>
  </si>
  <si>
    <t>Column Labels</t>
  </si>
  <si>
    <t>HIGH</t>
  </si>
  <si>
    <t>LOW</t>
  </si>
  <si>
    <t>MEDIUM</t>
  </si>
  <si>
    <t>Count of amount</t>
  </si>
  <si>
    <t>Expected_Balance</t>
  </si>
  <si>
    <t>Difference</t>
  </si>
  <si>
    <t>Status</t>
  </si>
  <si>
    <t>Break Rate</t>
  </si>
  <si>
    <t>AML Transaction Risk Analysis — Executive Dashboard</t>
  </si>
  <si>
    <t>Total Transactions</t>
  </si>
  <si>
    <t>Fraud Cases</t>
  </si>
  <si>
    <t>Fraud Rate %</t>
  </si>
  <si>
    <t>High Risk Cases</t>
  </si>
  <si>
    <t>Risk Tier</t>
  </si>
  <si>
    <t>Count</t>
  </si>
  <si>
    <t>Percentage</t>
  </si>
  <si>
    <t>Reconciliation Summary</t>
  </si>
  <si>
    <t>Total Checked</t>
  </si>
  <si>
    <t>Matches</t>
  </si>
  <si>
    <t>Breaks</t>
  </si>
  <si>
    <t>Key Findings</t>
  </si>
  <si>
    <t>Prepared by: Vijay Veer Lalaji | AML Risk Analysis | March 2026</t>
  </si>
  <si>
    <r>
      <t>1. TRANSFER and CASH_OUT account for</t>
    </r>
    <r>
      <rPr>
        <b/>
        <i/>
        <sz val="11"/>
        <color theme="1"/>
        <rFont val="Calibri"/>
        <family val="2"/>
        <scheme val="minor"/>
      </rPr>
      <t xml:space="preserve"> 100%</t>
    </r>
    <r>
      <rPr>
        <i/>
        <sz val="11"/>
        <color theme="1"/>
        <rFont val="Calibri"/>
        <family val="2"/>
        <scheme val="minor"/>
      </rPr>
      <t xml:space="preserve"> of all fraud</t>
    </r>
  </si>
  <si>
    <r>
      <t>2. Round number transactions have 58.33% fraud rate —</t>
    </r>
    <r>
      <rPr>
        <b/>
        <i/>
        <sz val="11"/>
        <color theme="1"/>
        <rFont val="Calibri"/>
        <family val="2"/>
        <scheme val="minor"/>
      </rPr>
      <t xml:space="preserve"> 536x higher than average</t>
    </r>
  </si>
  <si>
    <r>
      <t xml:space="preserve">3. </t>
    </r>
    <r>
      <rPr>
        <b/>
        <i/>
        <sz val="11"/>
        <color theme="1"/>
        <rFont val="Calibri"/>
        <family val="2"/>
        <scheme val="minor"/>
      </rPr>
      <t>Hours 2-5am</t>
    </r>
    <r>
      <rPr>
        <i/>
        <sz val="11"/>
        <color theme="1"/>
        <rFont val="Calibri"/>
        <family val="2"/>
        <scheme val="minor"/>
      </rPr>
      <t xml:space="preserve"> show highest fraud rate (3.2% to 5.5%)</t>
    </r>
  </si>
  <si>
    <r>
      <t xml:space="preserve">4. </t>
    </r>
    <r>
      <rPr>
        <b/>
        <i/>
        <sz val="11"/>
        <color theme="1"/>
        <rFont val="Calibri"/>
        <family val="2"/>
        <scheme val="minor"/>
      </rPr>
      <t>76.6%</t>
    </r>
    <r>
      <rPr>
        <i/>
        <sz val="11"/>
        <color theme="1"/>
        <rFont val="Calibri"/>
        <family val="2"/>
        <scheme val="minor"/>
      </rPr>
      <t xml:space="preserve"> of fraud cases score </t>
    </r>
    <r>
      <rPr>
        <b/>
        <i/>
        <sz val="11"/>
        <color theme="1"/>
        <rFont val="Calibri"/>
        <family val="2"/>
        <scheme val="minor"/>
      </rPr>
      <t>HIGH</t>
    </r>
    <r>
      <rPr>
        <i/>
        <sz val="11"/>
        <color theme="1"/>
        <rFont val="Calibri"/>
        <family val="2"/>
        <scheme val="minor"/>
      </rPr>
      <t xml:space="preserve"> risk on weighted scoring model</t>
    </r>
  </si>
  <si>
    <r>
      <t>5. 31 balance reconciliation breaks identified (</t>
    </r>
    <r>
      <rPr>
        <b/>
        <i/>
        <sz val="11"/>
        <color theme="1"/>
        <rFont val="Calibri"/>
        <family val="2"/>
        <scheme val="minor"/>
      </rPr>
      <t>2.7% break rate</t>
    </r>
    <r>
      <rPr>
        <i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</si>
</sst>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rgb="FF0070C0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5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0" fontId="4" fillId="0" borderId="3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1" fillId="0" borderId="15" xfId="0" applyFont="1" applyBorder="1"/>
    <xf numFmtId="0" fontId="1" fillId="0" borderId="3" xfId="0" applyFont="1" applyBorder="1"/>
    <xf numFmtId="0" fontId="7" fillId="0" borderId="7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/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0" borderId="15" xfId="0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[AML_Risk_Model.xlsx]Pivot!PivotTable2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Fraud Risk Distribution by Transaction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CASH_OUT</c:v>
                </c:pt>
                <c:pt idx="1">
                  <c:v>TRANSFER</c:v>
                </c:pt>
              </c:strCache>
            </c:strRef>
          </c:cat>
          <c:val>
            <c:numRef>
              <c:f>Pivot!$B$5:$B$7</c:f>
              <c:numCache>
                <c:formatCode>General</c:formatCode>
                <c:ptCount val="2"/>
                <c:pt idx="0">
                  <c:v>421</c:v>
                </c:pt>
                <c:pt idx="1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C-4DC3-B87D-2DBC10706072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CASH_OUT</c:v>
                </c:pt>
                <c:pt idx="1">
                  <c:v>TRANSFER</c:v>
                </c:pt>
              </c:strCache>
            </c:strRef>
          </c:cat>
          <c:val>
            <c:numRef>
              <c:f>Pivot!$C$5:$C$7</c:f>
              <c:numCache>
                <c:formatCode>General</c:formatCode>
                <c:ptCount val="2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0C-4DC3-B87D-2DBC10706072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Pivot!$A$5:$A$7</c:f>
              <c:strCache>
                <c:ptCount val="2"/>
                <c:pt idx="0">
                  <c:v>CASH_OUT</c:v>
                </c:pt>
                <c:pt idx="1">
                  <c:v>TRANSFER</c:v>
                </c:pt>
              </c:strCache>
            </c:strRef>
          </c:cat>
          <c:val>
            <c:numRef>
              <c:f>Pivot!$D$5:$D$7</c:f>
              <c:numCache>
                <c:formatCode>General</c:formatCode>
                <c:ptCount val="2"/>
                <c:pt idx="0">
                  <c:v>129</c:v>
                </c:pt>
                <c:pt idx="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0C-4DC3-B87D-2DBC10706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8863504"/>
        <c:axId val="258865424"/>
      </c:barChart>
      <c:catAx>
        <c:axId val="25886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5424"/>
        <c:crosses val="autoZero"/>
        <c:auto val="1"/>
        <c:lblAlgn val="ctr"/>
        <c:lblOffset val="100"/>
        <c:noMultiLvlLbl val="0"/>
      </c:catAx>
      <c:valAx>
        <c:axId val="25886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86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C97-4EA6-B764-9107B04AA8E2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C97-4EA6-B764-9107B04AA8E2}"/>
              </c:ext>
            </c:extLst>
          </c:dPt>
          <c:cat>
            <c:strRef>
              <c:f>DASHBOARD!$A$8:$A$10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DASHBOARD!$B$8:$B$10</c:f>
              <c:numCache>
                <c:formatCode>General</c:formatCode>
                <c:ptCount val="3"/>
                <c:pt idx="0">
                  <c:v>875</c:v>
                </c:pt>
                <c:pt idx="1">
                  <c:v>239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97-4EA6-B764-9107B04AA8E2}"/>
            </c:ext>
          </c:extLst>
        </c:ser>
        <c:ser>
          <c:idx val="1"/>
          <c:order val="1"/>
          <c:tx>
            <c:strRef>
              <c:f>DASHBOARD!$C$7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DASHBOARD!$A$8:$A$10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DASHBOARD!$C$8:$C$10</c:f>
              <c:numCache>
                <c:formatCode>0.000</c:formatCode>
                <c:ptCount val="3"/>
                <c:pt idx="0">
                  <c:v>76.619964973730291</c:v>
                </c:pt>
                <c:pt idx="1">
                  <c:v>20.928196147110334</c:v>
                </c:pt>
                <c:pt idx="2">
                  <c:v>2.4518388791593697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97-4EA6-B764-9107B04AA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687311612550197"/>
          <c:y val="0.75427238261883933"/>
          <c:w val="0.58917638757467183"/>
          <c:h val="0.160994419274798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Reconcillation Summary</a:t>
            </a:r>
          </a:p>
        </c:rich>
      </c:tx>
      <c:layout>
        <c:manualLayout>
          <c:xMode val="edge"/>
          <c:yMode val="edge"/>
          <c:x val="0.24020602263426752"/>
          <c:y val="8.91861761426978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DASHBOARD!$A$14</c:f>
              <c:strCache>
                <c:ptCount val="1"/>
                <c:pt idx="0">
                  <c:v>Matches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DASHBOARD!$B$14</c:f>
              <c:numCache>
                <c:formatCode>General</c:formatCode>
                <c:ptCount val="1"/>
                <c:pt idx="0">
                  <c:v>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69-4950-AFA5-5047EDFFC788}"/>
            </c:ext>
          </c:extLst>
        </c:ser>
        <c:ser>
          <c:idx val="1"/>
          <c:order val="1"/>
          <c:tx>
            <c:strRef>
              <c:f>DASHBOARD!$A$15</c:f>
              <c:strCache>
                <c:ptCount val="1"/>
                <c:pt idx="0">
                  <c:v>Breaks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DASHBOARD!$B$15</c:f>
              <c:numCache>
                <c:formatCode>General</c:formatCode>
                <c:ptCount val="1"/>
                <c:pt idx="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69-4950-AFA5-5047EDFFC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0675616"/>
        <c:axId val="1849820704"/>
      </c:barChart>
      <c:catAx>
        <c:axId val="1480675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820704"/>
        <c:crosses val="autoZero"/>
        <c:auto val="1"/>
        <c:lblAlgn val="ctr"/>
        <c:lblOffset val="100"/>
        <c:noMultiLvlLbl val="0"/>
      </c:catAx>
      <c:valAx>
        <c:axId val="184982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67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C34D068-30BE-42DD-BFA8-28AC372CFF09}">
  <sheetPr/>
  <sheetViews>
    <sheetView zoomScale="9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387" cy="627625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220346-D68C-8ED6-726F-E95845B3782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15240</xdr:rowOff>
    </xdr:from>
    <xdr:to>
      <xdr:col>6</xdr:col>
      <xdr:colOff>1021080</xdr:colOff>
      <xdr:row>9</xdr:row>
      <xdr:rowOff>259080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767D58-6E5A-867F-AEF1-CAE9D9CC5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11</xdr:row>
      <xdr:rowOff>11430</xdr:rowOff>
    </xdr:from>
    <xdr:to>
      <xdr:col>6</xdr:col>
      <xdr:colOff>1028700</xdr:colOff>
      <xdr:row>16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1E8D39-C164-7F6D-0F08-EFA8E2152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vlal" refreshedDate="46101.035082523151" createdVersion="8" refreshedVersion="8" minRefreshableVersion="3" recordCount="1142" xr:uid="{CB7044F1-1060-4416-A21F-870B10F6DEF5}">
  <cacheSource type="worksheet">
    <worksheetSource ref="A1:S1143" sheet="Risk_Scoring"/>
  </cacheSource>
  <cacheFields count="19">
    <cacheField name="step" numFmtId="0">
      <sharedItems containsSemiMixedTypes="0" containsString="0" containsNumber="1" containsInteger="1" minValue="1" maxValue="95"/>
    </cacheField>
    <cacheField name="type" numFmtId="0">
      <sharedItems count="2">
        <s v="TRANSFER"/>
        <s v="CASH_OUT"/>
      </sharedItems>
    </cacheField>
    <cacheField name="amount" numFmtId="0">
      <sharedItems containsSemiMixedTypes="0" containsString="0" containsNumber="1" minValue="119" maxValue="10000000"/>
    </cacheField>
    <cacheField name="nameOrig" numFmtId="0">
      <sharedItems/>
    </cacheField>
    <cacheField name="oldbalanceOrg" numFmtId="0">
      <sharedItems containsSemiMixedTypes="0" containsString="0" containsNumber="1" minValue="0" maxValue="19900000"/>
    </cacheField>
    <cacheField name="newbalanceOrig" numFmtId="0">
      <sharedItems containsSemiMixedTypes="0" containsString="0" containsNumber="1" minValue="0" maxValue="9887819.0600000005"/>
    </cacheField>
    <cacheField name="nameDest" numFmtId="0">
      <sharedItems/>
    </cacheField>
    <cacheField name="oldbalanceDest" numFmtId="0">
      <sharedItems containsSemiMixedTypes="0" containsString="0" containsNumber="1" minValue="0" maxValue="33000000"/>
    </cacheField>
    <cacheField name="newbalanceDest" numFmtId="0">
      <sharedItems containsSemiMixedTypes="0" containsString="0" containsNumber="1" minValue="0" maxValue="34600000"/>
    </cacheField>
    <cacheField name="isFraud" numFmtId="0">
      <sharedItems containsSemiMixedTypes="0" containsString="0" containsNumber="1" containsInteger="1" minValue="1" maxValue="1"/>
    </cacheField>
    <cacheField name="isFlaggedFraud" numFmtId="0">
      <sharedItems containsSemiMixedTypes="0" containsString="0" containsNumber="1" containsInteger="1" minValue="0" maxValue="0"/>
    </cacheField>
    <cacheField name="hour_of_day" numFmtId="0">
      <sharedItems containsSemiMixedTypes="0" containsString="0" containsNumber="1" containsInteger="1" minValue="0" maxValue="23"/>
    </cacheField>
    <cacheField name="is_round_number" numFmtId="0">
      <sharedItems containsSemiMixedTypes="0" containsString="0" containsNumber="1" containsInteger="1" minValue="0" maxValue="1"/>
    </cacheField>
    <cacheField name="balance_drain" numFmtId="0">
      <sharedItems containsSemiMixedTypes="0" containsString="0" containsNumber="1" containsInteger="1" minValue="0" maxValue="1"/>
    </cacheField>
    <cacheField name="balance_change_orig" numFmtId="0">
      <sharedItems containsSemiMixedTypes="0" containsString="0" containsNumber="1" minValue="0" maxValue="10038991.68"/>
    </cacheField>
    <cacheField name="Amount_Score" numFmtId="0">
      <sharedItems containsSemiMixedTypes="0" containsString="0" containsNumber="1" containsInteger="1" minValue="1" maxValue="5"/>
    </cacheField>
    <cacheField name="Type_Score" numFmtId="0">
      <sharedItems containsSemiMixedTypes="0" containsString="0" containsNumber="1" containsInteger="1" minValue="4" maxValue="5"/>
    </cacheField>
    <cacheField name="Total_Risk" numFmtId="0">
      <sharedItems containsSemiMixedTypes="0" containsString="0" containsNumber="1" minValue="1.8" maxValue="4.0999999999999996"/>
    </cacheField>
    <cacheField name="Risk_Tier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2">
  <r>
    <n v="1"/>
    <x v="0"/>
    <n v="181"/>
    <s v="C1305486145"/>
    <n v="181"/>
    <n v="0"/>
    <s v="C553264065"/>
    <n v="0"/>
    <n v="0"/>
    <n v="1"/>
    <n v="0"/>
    <n v="1"/>
    <n v="0"/>
    <n v="1"/>
    <n v="181"/>
    <n v="1"/>
    <n v="5"/>
    <n v="2.1"/>
    <x v="0"/>
  </r>
  <r>
    <n v="1"/>
    <x v="1"/>
    <n v="181"/>
    <s v="C840083671"/>
    <n v="181"/>
    <n v="0"/>
    <s v="C38997010"/>
    <n v="21182"/>
    <n v="0"/>
    <n v="1"/>
    <n v="0"/>
    <n v="1"/>
    <n v="0"/>
    <n v="1"/>
    <n v="181"/>
    <n v="1"/>
    <n v="4"/>
    <n v="1.8"/>
    <x v="1"/>
  </r>
  <r>
    <n v="1"/>
    <x v="0"/>
    <n v="2806"/>
    <s v="C1420196421"/>
    <n v="2806"/>
    <n v="0"/>
    <s v="C972765878"/>
    <n v="0"/>
    <n v="0"/>
    <n v="1"/>
    <n v="0"/>
    <n v="1"/>
    <n v="0"/>
    <n v="1"/>
    <n v="2806"/>
    <n v="1"/>
    <n v="5"/>
    <n v="2.1"/>
    <x v="0"/>
  </r>
  <r>
    <n v="1"/>
    <x v="1"/>
    <n v="2806"/>
    <s v="C2101527076"/>
    <n v="2806"/>
    <n v="0"/>
    <s v="C1007251739"/>
    <n v="26202"/>
    <n v="0"/>
    <n v="1"/>
    <n v="0"/>
    <n v="1"/>
    <n v="0"/>
    <n v="1"/>
    <n v="2806"/>
    <n v="1"/>
    <n v="4"/>
    <n v="1.8"/>
    <x v="1"/>
  </r>
  <r>
    <n v="1"/>
    <x v="0"/>
    <n v="20128"/>
    <s v="C137533655"/>
    <n v="20128"/>
    <n v="0"/>
    <s v="C1848415041"/>
    <n v="0"/>
    <n v="0"/>
    <n v="1"/>
    <n v="0"/>
    <n v="1"/>
    <n v="0"/>
    <n v="1"/>
    <n v="20128"/>
    <n v="2"/>
    <n v="5"/>
    <n v="2.6"/>
    <x v="0"/>
  </r>
  <r>
    <n v="1"/>
    <x v="1"/>
    <n v="20128"/>
    <s v="C1118430673"/>
    <n v="20128"/>
    <n v="0"/>
    <s v="C339924917"/>
    <n v="6268"/>
    <n v="12145.85"/>
    <n v="1"/>
    <n v="0"/>
    <n v="1"/>
    <n v="0"/>
    <n v="1"/>
    <n v="20128"/>
    <n v="2"/>
    <n v="4"/>
    <n v="2.3000000000000003"/>
    <x v="0"/>
  </r>
  <r>
    <n v="1"/>
    <x v="1"/>
    <n v="416001.33"/>
    <s v="C749981943"/>
    <n v="0"/>
    <n v="0"/>
    <s v="C667346055"/>
    <n v="102"/>
    <n v="9291619.6199999992"/>
    <n v="1"/>
    <n v="0"/>
    <n v="1"/>
    <n v="0"/>
    <n v="0"/>
    <n v="0"/>
    <n v="5"/>
    <n v="4"/>
    <n v="3.7"/>
    <x v="2"/>
  </r>
  <r>
    <n v="1"/>
    <x v="0"/>
    <n v="1277212.77"/>
    <s v="C1334405552"/>
    <n v="1277212.77"/>
    <n v="0"/>
    <s v="C431687661"/>
    <n v="0"/>
    <n v="0"/>
    <n v="1"/>
    <n v="0"/>
    <n v="1"/>
    <n v="0"/>
    <n v="1"/>
    <n v="1277212.77"/>
    <n v="5"/>
    <n v="5"/>
    <n v="4.0999999999999996"/>
    <x v="2"/>
  </r>
  <r>
    <n v="1"/>
    <x v="1"/>
    <n v="1277212.77"/>
    <s v="C467632528"/>
    <n v="1277212.77"/>
    <n v="0"/>
    <s v="C716083600"/>
    <n v="0"/>
    <n v="2444985.19"/>
    <n v="1"/>
    <n v="0"/>
    <n v="1"/>
    <n v="0"/>
    <n v="1"/>
    <n v="1277212.77"/>
    <n v="5"/>
    <n v="4"/>
    <n v="3.8000000000000003"/>
    <x v="2"/>
  </r>
  <r>
    <n v="1"/>
    <x v="0"/>
    <n v="35063.629999999997"/>
    <s v="C1364127192"/>
    <n v="35063.629999999997"/>
    <n v="0"/>
    <s v="C1136419747"/>
    <n v="0"/>
    <n v="0"/>
    <n v="1"/>
    <n v="0"/>
    <n v="1"/>
    <n v="0"/>
    <n v="1"/>
    <n v="35063.629999999997"/>
    <n v="2"/>
    <n v="5"/>
    <n v="2.6"/>
    <x v="0"/>
  </r>
  <r>
    <n v="1"/>
    <x v="1"/>
    <n v="35063.629999999997"/>
    <s v="C1635772897"/>
    <n v="35063.629999999997"/>
    <n v="0"/>
    <s v="C1983025922"/>
    <n v="31140"/>
    <n v="7550.03"/>
    <n v="1"/>
    <n v="0"/>
    <n v="1"/>
    <n v="0"/>
    <n v="1"/>
    <n v="35063.629999999997"/>
    <n v="2"/>
    <n v="4"/>
    <n v="2.3000000000000003"/>
    <x v="0"/>
  </r>
  <r>
    <n v="1"/>
    <x v="0"/>
    <n v="25071.46"/>
    <s v="C669700766"/>
    <n v="25071.46"/>
    <n v="0"/>
    <s v="C1384210339"/>
    <n v="0"/>
    <n v="0"/>
    <n v="1"/>
    <n v="0"/>
    <n v="1"/>
    <n v="0"/>
    <n v="1"/>
    <n v="25071.46"/>
    <n v="2"/>
    <n v="5"/>
    <n v="2.6"/>
    <x v="0"/>
  </r>
  <r>
    <n v="1"/>
    <x v="1"/>
    <n v="25071.46"/>
    <s v="C1275464847"/>
    <n v="25071.46"/>
    <n v="0"/>
    <s v="C1364913072"/>
    <n v="9083.76"/>
    <n v="34155.22"/>
    <n v="1"/>
    <n v="0"/>
    <n v="1"/>
    <n v="0"/>
    <n v="1"/>
    <n v="25071.46"/>
    <n v="2"/>
    <n v="4"/>
    <n v="2.3000000000000003"/>
    <x v="0"/>
  </r>
  <r>
    <n v="1"/>
    <x v="1"/>
    <n v="132842.64000000001"/>
    <s v="C13692003"/>
    <n v="4499.08"/>
    <n v="0"/>
    <s v="C297927961"/>
    <n v="0"/>
    <n v="132842.64000000001"/>
    <n v="1"/>
    <n v="0"/>
    <n v="1"/>
    <n v="0"/>
    <n v="1"/>
    <n v="4499.08"/>
    <n v="4"/>
    <n v="4"/>
    <n v="3.3000000000000003"/>
    <x v="2"/>
  </r>
  <r>
    <n v="1"/>
    <x v="0"/>
    <n v="235238.66"/>
    <s v="C1872047468"/>
    <n v="235238.66"/>
    <n v="0"/>
    <s v="C116289363"/>
    <n v="0"/>
    <n v="0"/>
    <n v="1"/>
    <n v="0"/>
    <n v="1"/>
    <n v="0"/>
    <n v="1"/>
    <n v="235238.66"/>
    <n v="5"/>
    <n v="5"/>
    <n v="4.0999999999999996"/>
    <x v="2"/>
  </r>
  <r>
    <n v="1"/>
    <x v="1"/>
    <n v="235238.66"/>
    <s v="C1499825229"/>
    <n v="235238.66"/>
    <n v="0"/>
    <s v="C2100440237"/>
    <n v="0"/>
    <n v="235238.66"/>
    <n v="1"/>
    <n v="0"/>
    <n v="1"/>
    <n v="0"/>
    <n v="1"/>
    <n v="235238.66"/>
    <n v="5"/>
    <n v="4"/>
    <n v="3.8000000000000003"/>
    <x v="2"/>
  </r>
  <r>
    <n v="2"/>
    <x v="0"/>
    <n v="1096187.24"/>
    <s v="C1093223281"/>
    <n v="1096187.24"/>
    <n v="0"/>
    <s v="C2063275841"/>
    <n v="0"/>
    <n v="0"/>
    <n v="1"/>
    <n v="0"/>
    <n v="2"/>
    <n v="0"/>
    <n v="1"/>
    <n v="1096187.24"/>
    <n v="5"/>
    <n v="5"/>
    <n v="4.0999999999999996"/>
    <x v="2"/>
  </r>
  <r>
    <n v="2"/>
    <x v="1"/>
    <n v="1096187.24"/>
    <s v="C77163673"/>
    <n v="1096187.24"/>
    <n v="0"/>
    <s v="C644345897"/>
    <n v="0"/>
    <n v="1096187.24"/>
    <n v="1"/>
    <n v="0"/>
    <n v="2"/>
    <n v="0"/>
    <n v="1"/>
    <n v="1096187.24"/>
    <n v="5"/>
    <n v="4"/>
    <n v="3.8000000000000003"/>
    <x v="2"/>
  </r>
  <r>
    <n v="2"/>
    <x v="0"/>
    <n v="963532.14"/>
    <s v="C1440057381"/>
    <n v="963532.14"/>
    <n v="0"/>
    <s v="C268086000"/>
    <n v="0"/>
    <n v="0"/>
    <n v="1"/>
    <n v="0"/>
    <n v="2"/>
    <n v="0"/>
    <n v="1"/>
    <n v="963532.14"/>
    <n v="5"/>
    <n v="5"/>
    <n v="4.0999999999999996"/>
    <x v="2"/>
  </r>
  <r>
    <n v="2"/>
    <x v="1"/>
    <n v="963532.14"/>
    <s v="C430329518"/>
    <n v="963532.14"/>
    <n v="0"/>
    <s v="C991505714"/>
    <n v="132382.57"/>
    <n v="1095914.71"/>
    <n v="1"/>
    <n v="0"/>
    <n v="2"/>
    <n v="0"/>
    <n v="1"/>
    <n v="963532.14"/>
    <n v="5"/>
    <n v="4"/>
    <n v="3.8000000000000003"/>
    <x v="2"/>
  </r>
  <r>
    <n v="2"/>
    <x v="0"/>
    <n v="14949.84"/>
    <s v="C140702728"/>
    <n v="14949.84"/>
    <n v="0"/>
    <s v="C634210724"/>
    <n v="0"/>
    <n v="0"/>
    <n v="1"/>
    <n v="0"/>
    <n v="2"/>
    <n v="0"/>
    <n v="1"/>
    <n v="14949.84"/>
    <n v="2"/>
    <n v="5"/>
    <n v="2.6"/>
    <x v="0"/>
  </r>
  <r>
    <n v="2"/>
    <x v="1"/>
    <n v="14949.84"/>
    <s v="C395257482"/>
    <n v="14949.84"/>
    <n v="0"/>
    <s v="C1032986144"/>
    <n v="18161.79"/>
    <n v="33111.629999999997"/>
    <n v="1"/>
    <n v="0"/>
    <n v="2"/>
    <n v="0"/>
    <n v="1"/>
    <n v="14949.84"/>
    <n v="2"/>
    <n v="4"/>
    <n v="2.3000000000000003"/>
    <x v="0"/>
  </r>
  <r>
    <n v="2"/>
    <x v="0"/>
    <n v="18627.02"/>
    <s v="C1375503918"/>
    <n v="18627.02"/>
    <n v="0"/>
    <s v="C234430897"/>
    <n v="0"/>
    <n v="0"/>
    <n v="1"/>
    <n v="0"/>
    <n v="2"/>
    <n v="0"/>
    <n v="1"/>
    <n v="18627.02"/>
    <n v="2"/>
    <n v="5"/>
    <n v="2.6"/>
    <x v="0"/>
  </r>
  <r>
    <n v="2"/>
    <x v="1"/>
    <n v="18627.02"/>
    <s v="C175961135"/>
    <n v="18627.02"/>
    <n v="0"/>
    <s v="C1711105800"/>
    <n v="147251.57999999999"/>
    <n v="165878.6"/>
    <n v="1"/>
    <n v="0"/>
    <n v="2"/>
    <n v="0"/>
    <n v="1"/>
    <n v="18627.02"/>
    <n v="2"/>
    <n v="4"/>
    <n v="2.3000000000000003"/>
    <x v="0"/>
  </r>
  <r>
    <n v="3"/>
    <x v="0"/>
    <n v="10539.37"/>
    <s v="C1134864869"/>
    <n v="10539.37"/>
    <n v="0"/>
    <s v="C118648358"/>
    <n v="0"/>
    <n v="0"/>
    <n v="1"/>
    <n v="0"/>
    <n v="3"/>
    <n v="0"/>
    <n v="1"/>
    <n v="10539.37"/>
    <n v="2"/>
    <n v="5"/>
    <n v="2.6"/>
    <x v="0"/>
  </r>
  <r>
    <n v="3"/>
    <x v="1"/>
    <n v="10539.37"/>
    <s v="C1984954272"/>
    <n v="10539.37"/>
    <n v="0"/>
    <s v="C124540047"/>
    <n v="0"/>
    <n v="10539.37"/>
    <n v="1"/>
    <n v="0"/>
    <n v="3"/>
    <n v="0"/>
    <n v="1"/>
    <n v="10539.37"/>
    <n v="2"/>
    <n v="4"/>
    <n v="2.3000000000000003"/>
    <x v="0"/>
  </r>
  <r>
    <n v="3"/>
    <x v="0"/>
    <n v="22877"/>
    <s v="C1247938090"/>
    <n v="22877"/>
    <n v="0"/>
    <s v="C1002031672"/>
    <n v="0"/>
    <n v="0"/>
    <n v="1"/>
    <n v="0"/>
    <n v="3"/>
    <n v="0"/>
    <n v="1"/>
    <n v="22877"/>
    <n v="2"/>
    <n v="5"/>
    <n v="2.6"/>
    <x v="0"/>
  </r>
  <r>
    <n v="3"/>
    <x v="1"/>
    <n v="22877"/>
    <s v="C2126545173"/>
    <n v="22877"/>
    <n v="0"/>
    <s v="C573200870"/>
    <n v="0"/>
    <n v="22877"/>
    <n v="1"/>
    <n v="0"/>
    <n v="3"/>
    <n v="0"/>
    <n v="1"/>
    <n v="22877"/>
    <n v="2"/>
    <n v="4"/>
    <n v="2.3000000000000003"/>
    <x v="0"/>
  </r>
  <r>
    <n v="4"/>
    <x v="0"/>
    <n v="10000000"/>
    <s v="C7162498"/>
    <n v="12900000"/>
    <n v="2930418.44"/>
    <s v="C945327594"/>
    <n v="0"/>
    <n v="0"/>
    <n v="1"/>
    <n v="0"/>
    <n v="4"/>
    <n v="1"/>
    <n v="0"/>
    <n v="9969581.5600000005"/>
    <n v="5"/>
    <n v="5"/>
    <n v="4.0999999999999996"/>
    <x v="2"/>
  </r>
  <r>
    <n v="4"/>
    <x v="1"/>
    <n v="10000000"/>
    <s v="C351297720"/>
    <n v="10000000"/>
    <n v="0"/>
    <s v="C766681183"/>
    <n v="0"/>
    <n v="9941904.2100000009"/>
    <n v="1"/>
    <n v="0"/>
    <n v="4"/>
    <n v="1"/>
    <n v="1"/>
    <n v="10000000"/>
    <n v="5"/>
    <n v="4"/>
    <n v="3.9000000000000004"/>
    <x v="2"/>
  </r>
  <r>
    <n v="4"/>
    <x v="0"/>
    <n v="2930418.44"/>
    <s v="C2047521920"/>
    <n v="2930418.44"/>
    <n v="0"/>
    <s v="C449261773"/>
    <n v="0"/>
    <n v="0"/>
    <n v="1"/>
    <n v="0"/>
    <n v="4"/>
    <n v="0"/>
    <n v="1"/>
    <n v="2930418.44"/>
    <n v="5"/>
    <n v="5"/>
    <n v="4.0999999999999996"/>
    <x v="2"/>
  </r>
  <r>
    <n v="4"/>
    <x v="1"/>
    <n v="2930418.44"/>
    <s v="C2044690596"/>
    <n v="2930418.44"/>
    <n v="0"/>
    <s v="C932583850"/>
    <n v="3616012.1"/>
    <n v="6963508.8399999999"/>
    <n v="1"/>
    <n v="0"/>
    <n v="4"/>
    <n v="0"/>
    <n v="1"/>
    <n v="2930418.44"/>
    <n v="5"/>
    <n v="4"/>
    <n v="3.8000000000000003"/>
    <x v="2"/>
  </r>
  <r>
    <n v="4"/>
    <x v="0"/>
    <n v="169941.73"/>
    <s v="C540962910"/>
    <n v="169941.73"/>
    <n v="0"/>
    <s v="C2127862399"/>
    <n v="0"/>
    <n v="0"/>
    <n v="1"/>
    <n v="0"/>
    <n v="4"/>
    <n v="0"/>
    <n v="1"/>
    <n v="169941.73"/>
    <n v="4"/>
    <n v="5"/>
    <n v="3.6"/>
    <x v="2"/>
  </r>
  <r>
    <n v="4"/>
    <x v="1"/>
    <n v="169941.73"/>
    <s v="C2026325575"/>
    <n v="169941.73"/>
    <n v="0"/>
    <s v="C1394526584"/>
    <n v="0"/>
    <n v="169941.73"/>
    <n v="1"/>
    <n v="0"/>
    <n v="4"/>
    <n v="0"/>
    <n v="1"/>
    <n v="169941.73"/>
    <n v="4"/>
    <n v="4"/>
    <n v="3.3000000000000003"/>
    <x v="2"/>
  </r>
  <r>
    <n v="4"/>
    <x v="0"/>
    <n v="13707.11"/>
    <s v="C17222024"/>
    <n v="13707.11"/>
    <n v="0"/>
    <s v="C410033330"/>
    <n v="0"/>
    <n v="0"/>
    <n v="1"/>
    <n v="0"/>
    <n v="4"/>
    <n v="0"/>
    <n v="1"/>
    <n v="13707.11"/>
    <n v="2"/>
    <n v="5"/>
    <n v="2.6"/>
    <x v="0"/>
  </r>
  <r>
    <n v="4"/>
    <x v="1"/>
    <n v="13707.11"/>
    <s v="C556223230"/>
    <n v="13707.11"/>
    <n v="0"/>
    <s v="C2094777811"/>
    <n v="0"/>
    <n v="13707.11"/>
    <n v="1"/>
    <n v="0"/>
    <n v="4"/>
    <n v="0"/>
    <n v="1"/>
    <n v="13707.11"/>
    <n v="2"/>
    <n v="4"/>
    <n v="2.3000000000000003"/>
    <x v="0"/>
  </r>
  <r>
    <n v="4"/>
    <x v="0"/>
    <n v="86070.17"/>
    <s v="C1844941220"/>
    <n v="86070.17"/>
    <n v="0"/>
    <s v="C1191544932"/>
    <n v="0"/>
    <n v="0"/>
    <n v="1"/>
    <n v="0"/>
    <n v="4"/>
    <n v="0"/>
    <n v="1"/>
    <n v="86070.17"/>
    <n v="3"/>
    <n v="5"/>
    <n v="3.1"/>
    <x v="2"/>
  </r>
  <r>
    <n v="4"/>
    <x v="1"/>
    <n v="86070.17"/>
    <s v="C1699873763"/>
    <n v="86070.17"/>
    <n v="0"/>
    <s v="C560041895"/>
    <n v="0"/>
    <n v="86070.17"/>
    <n v="1"/>
    <n v="0"/>
    <n v="4"/>
    <n v="0"/>
    <n v="1"/>
    <n v="86070.17"/>
    <n v="3"/>
    <n v="4"/>
    <n v="2.8000000000000003"/>
    <x v="0"/>
  </r>
  <r>
    <n v="5"/>
    <x v="0"/>
    <n v="120074.73"/>
    <s v="C1409933277"/>
    <n v="120074.73"/>
    <n v="0"/>
    <s v="C162114152"/>
    <n v="0"/>
    <n v="0"/>
    <n v="1"/>
    <n v="0"/>
    <n v="5"/>
    <n v="0"/>
    <n v="1"/>
    <n v="120074.73"/>
    <n v="4"/>
    <n v="5"/>
    <n v="3.6"/>
    <x v="2"/>
  </r>
  <r>
    <n v="5"/>
    <x v="1"/>
    <n v="120074.73"/>
    <s v="C1174000532"/>
    <n v="120074.73"/>
    <n v="0"/>
    <s v="C410033330"/>
    <n v="0"/>
    <n v="120074.73"/>
    <n v="1"/>
    <n v="0"/>
    <n v="5"/>
    <n v="0"/>
    <n v="1"/>
    <n v="120074.73"/>
    <n v="4"/>
    <n v="4"/>
    <n v="3.3000000000000003"/>
    <x v="2"/>
  </r>
  <r>
    <n v="5"/>
    <x v="0"/>
    <n v="60726.57"/>
    <s v="C383882703"/>
    <n v="60726.57"/>
    <n v="0"/>
    <s v="C1807010830"/>
    <n v="0"/>
    <n v="0"/>
    <n v="1"/>
    <n v="0"/>
    <n v="5"/>
    <n v="0"/>
    <n v="1"/>
    <n v="60726.57"/>
    <n v="3"/>
    <n v="5"/>
    <n v="3.1"/>
    <x v="2"/>
  </r>
  <r>
    <n v="5"/>
    <x v="1"/>
    <n v="60726.57"/>
    <s v="C840095827"/>
    <n v="60726.57"/>
    <n v="0"/>
    <s v="C803116137"/>
    <n v="13000000"/>
    <n v="13100000"/>
    <n v="1"/>
    <n v="0"/>
    <n v="5"/>
    <n v="0"/>
    <n v="1"/>
    <n v="60726.57"/>
    <n v="3"/>
    <n v="4"/>
    <n v="2.8000000000000003"/>
    <x v="0"/>
  </r>
  <r>
    <n v="5"/>
    <x v="0"/>
    <n v="10119.469999999999"/>
    <s v="C1775746074"/>
    <n v="10119.469999999999"/>
    <n v="0"/>
    <s v="C746009679"/>
    <n v="0"/>
    <n v="0"/>
    <n v="1"/>
    <n v="0"/>
    <n v="5"/>
    <n v="0"/>
    <n v="1"/>
    <n v="10119.469999999999"/>
    <n v="2"/>
    <n v="5"/>
    <n v="2.6"/>
    <x v="0"/>
  </r>
  <r>
    <n v="5"/>
    <x v="1"/>
    <n v="10119.469999999999"/>
    <s v="C213063852"/>
    <n v="10119.469999999999"/>
    <n v="0"/>
    <s v="C922511709"/>
    <n v="0"/>
    <n v="10119.469999999999"/>
    <n v="1"/>
    <n v="0"/>
    <n v="5"/>
    <n v="0"/>
    <n v="1"/>
    <n v="10119.469999999999"/>
    <n v="2"/>
    <n v="4"/>
    <n v="2.3000000000000003"/>
    <x v="0"/>
  </r>
  <r>
    <n v="6"/>
    <x v="0"/>
    <n v="33332.86"/>
    <s v="C2025652936"/>
    <n v="33332.86"/>
    <n v="0"/>
    <s v="C1662235713"/>
    <n v="0"/>
    <n v="0"/>
    <n v="1"/>
    <n v="0"/>
    <n v="6"/>
    <n v="0"/>
    <n v="1"/>
    <n v="33332.86"/>
    <n v="2"/>
    <n v="5"/>
    <n v="2.6"/>
    <x v="0"/>
  </r>
  <r>
    <n v="6"/>
    <x v="1"/>
    <n v="33332.86"/>
    <s v="C685428529"/>
    <n v="33332.86"/>
    <n v="0"/>
    <s v="C1626759869"/>
    <n v="31002"/>
    <n v="0"/>
    <n v="1"/>
    <n v="0"/>
    <n v="6"/>
    <n v="0"/>
    <n v="1"/>
    <n v="33332.86"/>
    <n v="2"/>
    <n v="4"/>
    <n v="2.3000000000000003"/>
    <x v="0"/>
  </r>
  <r>
    <n v="6"/>
    <x v="0"/>
    <n v="25975.86"/>
    <s v="C864622150"/>
    <n v="25975.86"/>
    <n v="0"/>
    <s v="C41792607"/>
    <n v="0"/>
    <n v="0"/>
    <n v="1"/>
    <n v="0"/>
    <n v="6"/>
    <n v="0"/>
    <n v="1"/>
    <n v="25975.86"/>
    <n v="2"/>
    <n v="5"/>
    <n v="2.6"/>
    <x v="0"/>
  </r>
  <r>
    <n v="6"/>
    <x v="1"/>
    <n v="25975.86"/>
    <s v="C1004271827"/>
    <n v="25975.86"/>
    <n v="0"/>
    <s v="C451934410"/>
    <n v="98152"/>
    <n v="28041.27"/>
    <n v="1"/>
    <n v="0"/>
    <n v="6"/>
    <n v="0"/>
    <n v="1"/>
    <n v="25975.86"/>
    <n v="2"/>
    <n v="4"/>
    <n v="2.3000000000000003"/>
    <x v="0"/>
  </r>
  <r>
    <n v="6"/>
    <x v="0"/>
    <n v="26768.5"/>
    <s v="C457596841"/>
    <n v="26768.5"/>
    <n v="0"/>
    <s v="C1956477953"/>
    <n v="0"/>
    <n v="0"/>
    <n v="1"/>
    <n v="0"/>
    <n v="6"/>
    <n v="0"/>
    <n v="1"/>
    <n v="26768.5"/>
    <n v="2"/>
    <n v="5"/>
    <n v="2.6"/>
    <x v="0"/>
  </r>
  <r>
    <n v="6"/>
    <x v="1"/>
    <n v="26768.5"/>
    <s v="C682812632"/>
    <n v="26768.5"/>
    <n v="0"/>
    <s v="C256417920"/>
    <n v="101976"/>
    <n v="128744.5"/>
    <n v="1"/>
    <n v="0"/>
    <n v="6"/>
    <n v="0"/>
    <n v="1"/>
    <n v="26768.5"/>
    <n v="2"/>
    <n v="4"/>
    <n v="2.3000000000000003"/>
    <x v="0"/>
  </r>
  <r>
    <n v="6"/>
    <x v="0"/>
    <n v="30521.02"/>
    <s v="C903383636"/>
    <n v="30521.02"/>
    <n v="0"/>
    <s v="C904300960"/>
    <n v="0"/>
    <n v="0"/>
    <n v="1"/>
    <n v="0"/>
    <n v="6"/>
    <n v="0"/>
    <n v="1"/>
    <n v="30521.02"/>
    <n v="2"/>
    <n v="5"/>
    <n v="2.6"/>
    <x v="0"/>
  </r>
  <r>
    <n v="6"/>
    <x v="1"/>
    <n v="30521.02"/>
    <s v="C1813769162"/>
    <n v="30521.02"/>
    <n v="0"/>
    <s v="C1249547869"/>
    <n v="0"/>
    <n v="30521.02"/>
    <n v="1"/>
    <n v="0"/>
    <n v="6"/>
    <n v="0"/>
    <n v="1"/>
    <n v="30521.02"/>
    <n v="2"/>
    <n v="4"/>
    <n v="2.3000000000000003"/>
    <x v="0"/>
  </r>
  <r>
    <n v="6"/>
    <x v="0"/>
    <n v="216422"/>
    <s v="C666642000"/>
    <n v="216422"/>
    <n v="0"/>
    <s v="C1315078366"/>
    <n v="0"/>
    <n v="0"/>
    <n v="1"/>
    <n v="0"/>
    <n v="6"/>
    <n v="0"/>
    <n v="1"/>
    <n v="216422"/>
    <n v="5"/>
    <n v="5"/>
    <n v="4.0999999999999996"/>
    <x v="2"/>
  </r>
  <r>
    <n v="6"/>
    <x v="1"/>
    <n v="216422"/>
    <s v="C1547714604"/>
    <n v="216422"/>
    <n v="0"/>
    <s v="C7881234"/>
    <n v="10097"/>
    <n v="48630.5"/>
    <n v="1"/>
    <n v="0"/>
    <n v="6"/>
    <n v="0"/>
    <n v="1"/>
    <n v="216422"/>
    <n v="5"/>
    <n v="4"/>
    <n v="3.8000000000000003"/>
    <x v="2"/>
  </r>
  <r>
    <n v="6"/>
    <x v="0"/>
    <n v="17320.91"/>
    <s v="C788790720"/>
    <n v="17320.91"/>
    <n v="0"/>
    <s v="C1589547066"/>
    <n v="0"/>
    <n v="0"/>
    <n v="1"/>
    <n v="0"/>
    <n v="6"/>
    <n v="0"/>
    <n v="1"/>
    <n v="17320.91"/>
    <n v="2"/>
    <n v="5"/>
    <n v="2.6"/>
    <x v="0"/>
  </r>
  <r>
    <n v="6"/>
    <x v="1"/>
    <n v="17320.91"/>
    <s v="C436661284"/>
    <n v="17320.91"/>
    <n v="0"/>
    <s v="C522173599"/>
    <n v="6244.44"/>
    <n v="0"/>
    <n v="1"/>
    <n v="0"/>
    <n v="6"/>
    <n v="0"/>
    <n v="1"/>
    <n v="17320.91"/>
    <n v="2"/>
    <n v="4"/>
    <n v="2.3000000000000003"/>
    <x v="0"/>
  </r>
  <r>
    <n v="6"/>
    <x v="0"/>
    <n v="17246"/>
    <s v="C1034673425"/>
    <n v="17246"/>
    <n v="0"/>
    <s v="C1379589736"/>
    <n v="0"/>
    <n v="101717.84"/>
    <n v="1"/>
    <n v="0"/>
    <n v="6"/>
    <n v="0"/>
    <n v="1"/>
    <n v="17246"/>
    <n v="2"/>
    <n v="5"/>
    <n v="2.6"/>
    <x v="0"/>
  </r>
  <r>
    <n v="6"/>
    <x v="1"/>
    <n v="17246"/>
    <s v="C1484518113"/>
    <n v="17246"/>
    <n v="0"/>
    <s v="C978609035"/>
    <n v="0"/>
    <n v="17246"/>
    <n v="1"/>
    <n v="0"/>
    <n v="6"/>
    <n v="0"/>
    <n v="1"/>
    <n v="17246"/>
    <n v="2"/>
    <n v="4"/>
    <n v="2.3000000000000003"/>
    <x v="0"/>
  </r>
  <r>
    <n v="6"/>
    <x v="0"/>
    <n v="10565"/>
    <s v="C777407608"/>
    <n v="10565"/>
    <n v="0"/>
    <s v="C1790657739"/>
    <n v="0"/>
    <n v="0"/>
    <n v="1"/>
    <n v="0"/>
    <n v="6"/>
    <n v="0"/>
    <n v="1"/>
    <n v="10565"/>
    <n v="2"/>
    <n v="5"/>
    <n v="2.6"/>
    <x v="0"/>
  </r>
  <r>
    <n v="6"/>
    <x v="1"/>
    <n v="10565"/>
    <s v="C1191732945"/>
    <n v="10565"/>
    <n v="0"/>
    <s v="C418964192"/>
    <n v="36275"/>
    <n v="24380.720000000001"/>
    <n v="1"/>
    <n v="0"/>
    <n v="6"/>
    <n v="0"/>
    <n v="1"/>
    <n v="10565"/>
    <n v="2"/>
    <n v="4"/>
    <n v="2.3000000000000003"/>
    <x v="0"/>
  </r>
  <r>
    <n v="6"/>
    <x v="0"/>
    <n v="10224"/>
    <s v="C365589282"/>
    <n v="10224"/>
    <n v="0"/>
    <s v="C908043384"/>
    <n v="0"/>
    <n v="0"/>
    <n v="1"/>
    <n v="0"/>
    <n v="6"/>
    <n v="0"/>
    <n v="1"/>
    <n v="10224"/>
    <n v="2"/>
    <n v="5"/>
    <n v="2.6"/>
    <x v="0"/>
  </r>
  <r>
    <n v="6"/>
    <x v="1"/>
    <n v="10224"/>
    <s v="C1284098442"/>
    <n v="10224"/>
    <n v="0"/>
    <s v="C801412408"/>
    <n v="0"/>
    <n v="10224"/>
    <n v="1"/>
    <n v="0"/>
    <n v="6"/>
    <n v="0"/>
    <n v="1"/>
    <n v="10224"/>
    <n v="2"/>
    <n v="4"/>
    <n v="2.3000000000000003"/>
    <x v="0"/>
  </r>
  <r>
    <n v="6"/>
    <x v="0"/>
    <n v="85354.69"/>
    <s v="C558400671"/>
    <n v="85354.69"/>
    <n v="0"/>
    <s v="C527482085"/>
    <n v="0"/>
    <n v="0"/>
    <n v="1"/>
    <n v="0"/>
    <n v="6"/>
    <n v="0"/>
    <n v="1"/>
    <n v="85354.69"/>
    <n v="3"/>
    <n v="5"/>
    <n v="3.1"/>
    <x v="2"/>
  </r>
  <r>
    <n v="6"/>
    <x v="1"/>
    <n v="85354.69"/>
    <s v="C158801009"/>
    <n v="85354.69"/>
    <n v="0"/>
    <s v="C382431057"/>
    <n v="11170"/>
    <n v="10612.55"/>
    <n v="1"/>
    <n v="0"/>
    <n v="6"/>
    <n v="0"/>
    <n v="1"/>
    <n v="85354.69"/>
    <n v="3"/>
    <n v="4"/>
    <n v="2.8000000000000003"/>
    <x v="0"/>
  </r>
  <r>
    <n v="6"/>
    <x v="0"/>
    <n v="13704"/>
    <s v="C1735554279"/>
    <n v="13704"/>
    <n v="0"/>
    <s v="C12793273"/>
    <n v="0"/>
    <n v="1658746.09"/>
    <n v="1"/>
    <n v="0"/>
    <n v="6"/>
    <n v="0"/>
    <n v="1"/>
    <n v="13704"/>
    <n v="2"/>
    <n v="5"/>
    <n v="2.6"/>
    <x v="0"/>
  </r>
  <r>
    <n v="6"/>
    <x v="1"/>
    <n v="13704"/>
    <s v="C1421965867"/>
    <n v="13704"/>
    <n v="0"/>
    <s v="C1438594533"/>
    <n v="3382.84"/>
    <n v="143675.35"/>
    <n v="1"/>
    <n v="0"/>
    <n v="6"/>
    <n v="0"/>
    <n v="1"/>
    <n v="13704"/>
    <n v="2"/>
    <n v="4"/>
    <n v="2.3000000000000003"/>
    <x v="0"/>
  </r>
  <r>
    <n v="7"/>
    <x v="0"/>
    <n v="262434.53999999998"/>
    <s v="C2101686389"/>
    <n v="262434.53999999998"/>
    <n v="0"/>
    <s v="C612008977"/>
    <n v="0"/>
    <n v="0"/>
    <n v="1"/>
    <n v="0"/>
    <n v="7"/>
    <n v="0"/>
    <n v="1"/>
    <n v="262434.53999999998"/>
    <n v="5"/>
    <n v="5"/>
    <n v="4.0999999999999996"/>
    <x v="2"/>
  </r>
  <r>
    <n v="7"/>
    <x v="1"/>
    <n v="262434.53999999998"/>
    <s v="C383717053"/>
    <n v="262434.53999999998"/>
    <n v="0"/>
    <s v="C380242442"/>
    <n v="19525.79"/>
    <n v="438233.86"/>
    <n v="1"/>
    <n v="0"/>
    <n v="7"/>
    <n v="0"/>
    <n v="1"/>
    <n v="262434.53999999998"/>
    <n v="5"/>
    <n v="4"/>
    <n v="3.8000000000000003"/>
    <x v="2"/>
  </r>
  <r>
    <n v="7"/>
    <x v="0"/>
    <n v="21729"/>
    <s v="C1686905633"/>
    <n v="21729"/>
    <n v="0"/>
    <s v="C824421402"/>
    <n v="0"/>
    <n v="0"/>
    <n v="1"/>
    <n v="0"/>
    <n v="7"/>
    <n v="0"/>
    <n v="1"/>
    <n v="21729"/>
    <n v="2"/>
    <n v="5"/>
    <n v="2.6"/>
    <x v="0"/>
  </r>
  <r>
    <n v="7"/>
    <x v="1"/>
    <n v="21729"/>
    <s v="C693427358"/>
    <n v="21729"/>
    <n v="0"/>
    <s v="C1101441872"/>
    <n v="27335"/>
    <n v="0"/>
    <n v="1"/>
    <n v="0"/>
    <n v="7"/>
    <n v="0"/>
    <n v="1"/>
    <n v="21729"/>
    <n v="2"/>
    <n v="4"/>
    <n v="2.3000000000000003"/>
    <x v="0"/>
  </r>
  <r>
    <n v="7"/>
    <x v="0"/>
    <n v="5460002.9100000001"/>
    <s v="C666654362"/>
    <n v="5460002.9100000001"/>
    <n v="0"/>
    <s v="C1726301214"/>
    <n v="0"/>
    <n v="0"/>
    <n v="1"/>
    <n v="0"/>
    <n v="7"/>
    <n v="0"/>
    <n v="1"/>
    <n v="5460002.9100000001"/>
    <n v="5"/>
    <n v="5"/>
    <n v="4.0999999999999996"/>
    <x v="2"/>
  </r>
  <r>
    <n v="7"/>
    <x v="1"/>
    <n v="5460002.9100000001"/>
    <s v="C1588880909"/>
    <n v="5460002.9100000001"/>
    <n v="0"/>
    <s v="C1570256460"/>
    <n v="0"/>
    <n v="9281535.4399999995"/>
    <n v="1"/>
    <n v="0"/>
    <n v="7"/>
    <n v="0"/>
    <n v="1"/>
    <n v="5460002.9100000001"/>
    <n v="5"/>
    <n v="4"/>
    <n v="3.8000000000000003"/>
    <x v="2"/>
  </r>
  <r>
    <n v="7"/>
    <x v="0"/>
    <n v="164"/>
    <s v="C1455969984"/>
    <n v="164"/>
    <n v="0"/>
    <s v="C2119910556"/>
    <n v="0"/>
    <n v="0"/>
    <n v="1"/>
    <n v="0"/>
    <n v="7"/>
    <n v="0"/>
    <n v="1"/>
    <n v="164"/>
    <n v="1"/>
    <n v="5"/>
    <n v="2.1"/>
    <x v="0"/>
  </r>
  <r>
    <n v="7"/>
    <x v="1"/>
    <n v="164"/>
    <s v="C1173659886"/>
    <n v="164"/>
    <n v="0"/>
    <s v="C1769947269"/>
    <n v="4068"/>
    <n v="0"/>
    <n v="1"/>
    <n v="0"/>
    <n v="7"/>
    <n v="0"/>
    <n v="1"/>
    <n v="164"/>
    <n v="1"/>
    <n v="4"/>
    <n v="1.8"/>
    <x v="1"/>
  </r>
  <r>
    <n v="7"/>
    <x v="0"/>
    <n v="21571"/>
    <s v="C786114805"/>
    <n v="21571"/>
    <n v="0"/>
    <s v="C1666314150"/>
    <n v="0"/>
    <n v="0"/>
    <n v="1"/>
    <n v="0"/>
    <n v="7"/>
    <n v="0"/>
    <n v="1"/>
    <n v="21571"/>
    <n v="2"/>
    <n v="5"/>
    <n v="2.6"/>
    <x v="0"/>
  </r>
  <r>
    <n v="7"/>
    <x v="1"/>
    <n v="21571"/>
    <s v="C452475723"/>
    <n v="21571"/>
    <n v="0"/>
    <s v="C2089016471"/>
    <n v="30797.41"/>
    <n v="71140.3"/>
    <n v="1"/>
    <n v="0"/>
    <n v="7"/>
    <n v="0"/>
    <n v="1"/>
    <n v="21571"/>
    <n v="2"/>
    <n v="4"/>
    <n v="2.3000000000000003"/>
    <x v="0"/>
  </r>
  <r>
    <n v="7"/>
    <x v="0"/>
    <n v="441445.58"/>
    <s v="C1023505879"/>
    <n v="441445.58"/>
    <n v="0"/>
    <s v="C847761155"/>
    <n v="0"/>
    <n v="0"/>
    <n v="1"/>
    <n v="0"/>
    <n v="7"/>
    <n v="0"/>
    <n v="1"/>
    <n v="441445.58"/>
    <n v="5"/>
    <n v="5"/>
    <n v="4.0999999999999996"/>
    <x v="2"/>
  </r>
  <r>
    <n v="7"/>
    <x v="1"/>
    <n v="441445.58"/>
    <s v="C398085606"/>
    <n v="441445.58"/>
    <n v="0"/>
    <s v="C2072030256"/>
    <n v="98993.5"/>
    <n v="0"/>
    <n v="1"/>
    <n v="0"/>
    <n v="7"/>
    <n v="0"/>
    <n v="1"/>
    <n v="441445.58"/>
    <n v="5"/>
    <n v="4"/>
    <n v="3.8000000000000003"/>
    <x v="2"/>
  </r>
  <r>
    <n v="8"/>
    <x v="1"/>
    <n v="181728.11"/>
    <s v="C2102265902"/>
    <n v="0"/>
    <n v="0"/>
    <s v="C789014007"/>
    <n v="11397"/>
    <n v="184477.77"/>
    <n v="1"/>
    <n v="0"/>
    <n v="8"/>
    <n v="0"/>
    <n v="0"/>
    <n v="0"/>
    <n v="4"/>
    <n v="4"/>
    <n v="3.2"/>
    <x v="2"/>
  </r>
  <r>
    <n v="8"/>
    <x v="0"/>
    <n v="222"/>
    <s v="C1961506277"/>
    <n v="222"/>
    <n v="0"/>
    <s v="C378841819"/>
    <n v="0"/>
    <n v="267095.19"/>
    <n v="1"/>
    <n v="0"/>
    <n v="8"/>
    <n v="0"/>
    <n v="1"/>
    <n v="222"/>
    <n v="1"/>
    <n v="5"/>
    <n v="2.1"/>
    <x v="0"/>
  </r>
  <r>
    <n v="8"/>
    <x v="1"/>
    <n v="222"/>
    <s v="C1737727444"/>
    <n v="222"/>
    <n v="0"/>
    <s v="C588779235"/>
    <n v="24708"/>
    <n v="171647.35"/>
    <n v="1"/>
    <n v="0"/>
    <n v="8"/>
    <n v="0"/>
    <n v="1"/>
    <n v="222"/>
    <n v="1"/>
    <n v="4"/>
    <n v="1.8"/>
    <x v="1"/>
  </r>
  <r>
    <n v="8"/>
    <x v="0"/>
    <n v="1996.17"/>
    <s v="C1198040187"/>
    <n v="1996.17"/>
    <n v="0"/>
    <s v="C1828047633"/>
    <n v="0"/>
    <n v="0"/>
    <n v="1"/>
    <n v="0"/>
    <n v="8"/>
    <n v="0"/>
    <n v="1"/>
    <n v="1996.17"/>
    <n v="1"/>
    <n v="5"/>
    <n v="2.1"/>
    <x v="0"/>
  </r>
  <r>
    <n v="8"/>
    <x v="1"/>
    <n v="1996.17"/>
    <s v="C858959216"/>
    <n v="1996.17"/>
    <n v="0"/>
    <s v="C864078397"/>
    <n v="2559.7399999999998"/>
    <n v="4555.92"/>
    <n v="1"/>
    <n v="0"/>
    <n v="8"/>
    <n v="0"/>
    <n v="1"/>
    <n v="1996.17"/>
    <n v="1"/>
    <n v="4"/>
    <n v="1.8"/>
    <x v="1"/>
  </r>
  <r>
    <n v="8"/>
    <x v="0"/>
    <n v="1078013.76"/>
    <s v="C1026280121"/>
    <n v="0"/>
    <n v="0"/>
    <s v="C277510102"/>
    <n v="0"/>
    <n v="970749.68"/>
    <n v="1"/>
    <n v="0"/>
    <n v="8"/>
    <n v="0"/>
    <n v="0"/>
    <n v="0"/>
    <n v="5"/>
    <n v="5"/>
    <n v="4"/>
    <x v="2"/>
  </r>
  <r>
    <n v="8"/>
    <x v="0"/>
    <n v="89631.24"/>
    <s v="C74534388"/>
    <n v="89631.24"/>
    <n v="0"/>
    <s v="C1748042844"/>
    <n v="0"/>
    <n v="0"/>
    <n v="1"/>
    <n v="0"/>
    <n v="8"/>
    <n v="0"/>
    <n v="1"/>
    <n v="89631.24"/>
    <n v="3"/>
    <n v="5"/>
    <n v="3.1"/>
    <x v="2"/>
  </r>
  <r>
    <n v="8"/>
    <x v="1"/>
    <n v="89631.24"/>
    <s v="C1938531779"/>
    <n v="89631.24"/>
    <n v="0"/>
    <s v="C2048578791"/>
    <n v="21175"/>
    <n v="0"/>
    <n v="1"/>
    <n v="0"/>
    <n v="8"/>
    <n v="0"/>
    <n v="1"/>
    <n v="89631.24"/>
    <n v="3"/>
    <n v="4"/>
    <n v="2.8000000000000003"/>
    <x v="0"/>
  </r>
  <r>
    <n v="8"/>
    <x v="0"/>
    <n v="29707.86"/>
    <s v="C1825456600"/>
    <n v="29707.86"/>
    <n v="0"/>
    <s v="C570409417"/>
    <n v="0"/>
    <n v="0"/>
    <n v="1"/>
    <n v="0"/>
    <n v="8"/>
    <n v="0"/>
    <n v="1"/>
    <n v="29707.86"/>
    <n v="2"/>
    <n v="5"/>
    <n v="2.6"/>
    <x v="0"/>
  </r>
  <r>
    <n v="8"/>
    <x v="1"/>
    <n v="29707.86"/>
    <s v="C515973302"/>
    <n v="29707.86"/>
    <n v="0"/>
    <s v="C170071280"/>
    <n v="10935"/>
    <n v="0"/>
    <n v="1"/>
    <n v="0"/>
    <n v="8"/>
    <n v="0"/>
    <n v="1"/>
    <n v="29707.86"/>
    <n v="2"/>
    <n v="4"/>
    <n v="2.3000000000000003"/>
    <x v="0"/>
  </r>
  <r>
    <n v="8"/>
    <x v="0"/>
    <n v="43092"/>
    <s v="C1683174795"/>
    <n v="43092"/>
    <n v="0"/>
    <s v="C427998326"/>
    <n v="0"/>
    <n v="0"/>
    <n v="1"/>
    <n v="0"/>
    <n v="8"/>
    <n v="0"/>
    <n v="1"/>
    <n v="43092"/>
    <n v="2"/>
    <n v="5"/>
    <n v="2.6"/>
    <x v="0"/>
  </r>
  <r>
    <n v="8"/>
    <x v="1"/>
    <n v="43092"/>
    <s v="C1395071924"/>
    <n v="43092"/>
    <n v="0"/>
    <s v="C79685693"/>
    <n v="660641.74"/>
    <n v="1158662.8999999999"/>
    <n v="1"/>
    <n v="0"/>
    <n v="8"/>
    <n v="0"/>
    <n v="1"/>
    <n v="43092"/>
    <n v="2"/>
    <n v="4"/>
    <n v="2.3000000000000003"/>
    <x v="0"/>
  </r>
  <r>
    <n v="9"/>
    <x v="0"/>
    <n v="556218.01"/>
    <s v="C1769581889"/>
    <n v="556218.01"/>
    <n v="0"/>
    <s v="C217441120"/>
    <n v="0"/>
    <n v="0"/>
    <n v="1"/>
    <n v="0"/>
    <n v="9"/>
    <n v="0"/>
    <n v="1"/>
    <n v="556218.01"/>
    <n v="5"/>
    <n v="5"/>
    <n v="4.0999999999999996"/>
    <x v="2"/>
  </r>
  <r>
    <n v="9"/>
    <x v="1"/>
    <n v="556218.01"/>
    <s v="C589143360"/>
    <n v="556218.01"/>
    <n v="0"/>
    <s v="C1992550266"/>
    <n v="0"/>
    <n v="582265.81000000006"/>
    <n v="1"/>
    <n v="0"/>
    <n v="9"/>
    <n v="0"/>
    <n v="1"/>
    <n v="556218.01"/>
    <n v="5"/>
    <n v="4"/>
    <n v="3.8000000000000003"/>
    <x v="2"/>
  </r>
  <r>
    <n v="9"/>
    <x v="0"/>
    <n v="11308"/>
    <s v="C299933576"/>
    <n v="11308"/>
    <n v="0"/>
    <s v="C1060999444"/>
    <n v="0"/>
    <n v="0"/>
    <n v="1"/>
    <n v="0"/>
    <n v="9"/>
    <n v="0"/>
    <n v="1"/>
    <n v="11308"/>
    <n v="2"/>
    <n v="5"/>
    <n v="2.6"/>
    <x v="0"/>
  </r>
  <r>
    <n v="9"/>
    <x v="1"/>
    <n v="11308"/>
    <s v="C921533797"/>
    <n v="11308"/>
    <n v="0"/>
    <s v="C424669538"/>
    <n v="0"/>
    <n v="302550.56"/>
    <n v="1"/>
    <n v="0"/>
    <n v="9"/>
    <n v="0"/>
    <n v="1"/>
    <n v="11308"/>
    <n v="2"/>
    <n v="4"/>
    <n v="2.3000000000000003"/>
    <x v="0"/>
  </r>
  <r>
    <n v="9"/>
    <x v="0"/>
    <n v="350705.74"/>
    <s v="C1452168793"/>
    <n v="350705.74"/>
    <n v="0"/>
    <s v="C399194578"/>
    <n v="0"/>
    <n v="1184633.07"/>
    <n v="1"/>
    <n v="0"/>
    <n v="9"/>
    <n v="0"/>
    <n v="1"/>
    <n v="350705.74"/>
    <n v="5"/>
    <n v="5"/>
    <n v="4.0999999999999996"/>
    <x v="2"/>
  </r>
  <r>
    <n v="9"/>
    <x v="1"/>
    <n v="350705.74"/>
    <s v="C58527359"/>
    <n v="350705.74"/>
    <n v="0"/>
    <s v="C582901057"/>
    <n v="894760.68"/>
    <n v="1794033.65"/>
    <n v="1"/>
    <n v="0"/>
    <n v="9"/>
    <n v="0"/>
    <n v="1"/>
    <n v="350705.74"/>
    <n v="5"/>
    <n v="4"/>
    <n v="3.8000000000000003"/>
    <x v="2"/>
  </r>
  <r>
    <n v="9"/>
    <x v="0"/>
    <n v="2539898.0699999998"/>
    <s v="C394488466"/>
    <n v="2539898.0699999998"/>
    <n v="0"/>
    <s v="C575638324"/>
    <n v="0"/>
    <n v="261290.69"/>
    <n v="1"/>
    <n v="0"/>
    <n v="9"/>
    <n v="0"/>
    <n v="1"/>
    <n v="2539898.0699999998"/>
    <n v="5"/>
    <n v="5"/>
    <n v="4.0999999999999996"/>
    <x v="2"/>
  </r>
  <r>
    <n v="9"/>
    <x v="1"/>
    <n v="2539898.0699999998"/>
    <s v="C728718059"/>
    <n v="2539898.0699999998"/>
    <n v="0"/>
    <s v="C1013511446"/>
    <n v="968"/>
    <n v="1842864.22"/>
    <n v="1"/>
    <n v="0"/>
    <n v="9"/>
    <n v="0"/>
    <n v="1"/>
    <n v="2539898.0699999998"/>
    <n v="5"/>
    <n v="4"/>
    <n v="3.8000000000000003"/>
    <x v="2"/>
  </r>
  <r>
    <n v="9"/>
    <x v="0"/>
    <n v="361559.69"/>
    <s v="C1287719145"/>
    <n v="361559.69"/>
    <n v="0"/>
    <s v="C352239275"/>
    <n v="0"/>
    <n v="141302.12"/>
    <n v="1"/>
    <n v="0"/>
    <n v="9"/>
    <n v="0"/>
    <n v="1"/>
    <n v="361559.69"/>
    <n v="5"/>
    <n v="5"/>
    <n v="4.0999999999999996"/>
    <x v="2"/>
  </r>
  <r>
    <n v="9"/>
    <x v="1"/>
    <n v="361559.69"/>
    <s v="C684758020"/>
    <n v="361559.69"/>
    <n v="0"/>
    <s v="C1769042905"/>
    <n v="504667.31"/>
    <n v="189441.24"/>
    <n v="1"/>
    <n v="0"/>
    <n v="9"/>
    <n v="0"/>
    <n v="1"/>
    <n v="361559.69"/>
    <n v="5"/>
    <n v="4"/>
    <n v="3.8000000000000003"/>
    <x v="2"/>
  </r>
  <r>
    <n v="9"/>
    <x v="0"/>
    <n v="1154353.99"/>
    <s v="C670587931"/>
    <n v="1154353.99"/>
    <n v="0"/>
    <s v="C150406565"/>
    <n v="0"/>
    <n v="10872.9"/>
    <n v="1"/>
    <n v="0"/>
    <n v="9"/>
    <n v="0"/>
    <n v="1"/>
    <n v="1154353.99"/>
    <n v="5"/>
    <n v="5"/>
    <n v="4.0999999999999996"/>
    <x v="2"/>
  </r>
  <r>
    <n v="9"/>
    <x v="1"/>
    <n v="1154353.99"/>
    <s v="C1034219836"/>
    <n v="1154353.99"/>
    <n v="0"/>
    <s v="C1195589213"/>
    <n v="162222"/>
    <n v="1965587.6"/>
    <n v="1"/>
    <n v="0"/>
    <n v="9"/>
    <n v="0"/>
    <n v="1"/>
    <n v="1154353.99"/>
    <n v="5"/>
    <n v="4"/>
    <n v="3.8000000000000003"/>
    <x v="2"/>
  </r>
  <r>
    <n v="9"/>
    <x v="0"/>
    <n v="21922"/>
    <s v="C102617052"/>
    <n v="21922"/>
    <n v="0"/>
    <s v="C760675871"/>
    <n v="0"/>
    <n v="0"/>
    <n v="1"/>
    <n v="0"/>
    <n v="9"/>
    <n v="0"/>
    <n v="1"/>
    <n v="21922"/>
    <n v="2"/>
    <n v="5"/>
    <n v="2.6"/>
    <x v="0"/>
  </r>
  <r>
    <n v="9"/>
    <x v="1"/>
    <n v="21922"/>
    <s v="C1499032143"/>
    <n v="21922"/>
    <n v="0"/>
    <s v="C1508330669"/>
    <n v="1929861.61"/>
    <n v="2046918.8"/>
    <n v="1"/>
    <n v="0"/>
    <n v="9"/>
    <n v="0"/>
    <n v="1"/>
    <n v="21922"/>
    <n v="2"/>
    <n v="4"/>
    <n v="2.3000000000000003"/>
    <x v="0"/>
  </r>
  <r>
    <n v="9"/>
    <x v="0"/>
    <n v="994453.2"/>
    <s v="C1121789613"/>
    <n v="1437370.87"/>
    <n v="442917.67"/>
    <s v="C254839817"/>
    <n v="194812.76"/>
    <n v="665743.67000000004"/>
    <n v="1"/>
    <n v="0"/>
    <n v="9"/>
    <n v="0"/>
    <n v="0"/>
    <n v="994453.20000000019"/>
    <n v="5"/>
    <n v="5"/>
    <n v="4"/>
    <x v="2"/>
  </r>
  <r>
    <n v="9"/>
    <x v="0"/>
    <n v="1055"/>
    <s v="C666486325"/>
    <n v="1055"/>
    <n v="0"/>
    <s v="C279565067"/>
    <n v="0"/>
    <n v="0"/>
    <n v="1"/>
    <n v="0"/>
    <n v="9"/>
    <n v="0"/>
    <n v="1"/>
    <n v="1055"/>
    <n v="1"/>
    <n v="5"/>
    <n v="2.1"/>
    <x v="0"/>
  </r>
  <r>
    <n v="9"/>
    <x v="1"/>
    <n v="1055"/>
    <s v="C1764109750"/>
    <n v="1055"/>
    <n v="0"/>
    <s v="C1522743169"/>
    <n v="75179"/>
    <n v="0"/>
    <n v="1"/>
    <n v="0"/>
    <n v="9"/>
    <n v="0"/>
    <n v="1"/>
    <n v="1055"/>
    <n v="1"/>
    <n v="4"/>
    <n v="1.8"/>
    <x v="1"/>
  </r>
  <r>
    <n v="9"/>
    <x v="0"/>
    <n v="244068.01"/>
    <s v="C1087133093"/>
    <n v="244068.01"/>
    <n v="0"/>
    <s v="C1855553543"/>
    <n v="0"/>
    <n v="0"/>
    <n v="1"/>
    <n v="0"/>
    <n v="9"/>
    <n v="0"/>
    <n v="1"/>
    <n v="244068.01"/>
    <n v="5"/>
    <n v="5"/>
    <n v="4.0999999999999996"/>
    <x v="2"/>
  </r>
  <r>
    <n v="9"/>
    <x v="1"/>
    <n v="244068.01"/>
    <s v="C507466068"/>
    <n v="244068.01"/>
    <n v="0"/>
    <s v="C706331499"/>
    <n v="0"/>
    <n v="338538.16"/>
    <n v="1"/>
    <n v="0"/>
    <n v="9"/>
    <n v="0"/>
    <n v="1"/>
    <n v="244068.01"/>
    <n v="5"/>
    <n v="4"/>
    <n v="3.8000000000000003"/>
    <x v="2"/>
  </r>
  <r>
    <n v="10"/>
    <x v="0"/>
    <n v="59835"/>
    <s v="C1568400442"/>
    <n v="59835"/>
    <n v="0"/>
    <s v="C1262169546"/>
    <n v="0"/>
    <n v="0"/>
    <n v="1"/>
    <n v="0"/>
    <n v="10"/>
    <n v="0"/>
    <n v="1"/>
    <n v="59835"/>
    <n v="3"/>
    <n v="5"/>
    <n v="3.1"/>
    <x v="2"/>
  </r>
  <r>
    <n v="10"/>
    <x v="1"/>
    <n v="59835"/>
    <s v="C1020461364"/>
    <n v="59835"/>
    <n v="0"/>
    <s v="C2144015041"/>
    <n v="255480.76"/>
    <n v="315315.76"/>
    <n v="1"/>
    <n v="0"/>
    <n v="10"/>
    <n v="0"/>
    <n v="1"/>
    <n v="59835"/>
    <n v="3"/>
    <n v="4"/>
    <n v="2.8000000000000003"/>
    <x v="0"/>
  </r>
  <r>
    <n v="10"/>
    <x v="1"/>
    <n v="277970.88"/>
    <s v="C489647033"/>
    <n v="0"/>
    <n v="0"/>
    <s v="C571514738"/>
    <n v="0"/>
    <n v="277970.88"/>
    <n v="1"/>
    <n v="0"/>
    <n v="10"/>
    <n v="0"/>
    <n v="0"/>
    <n v="0"/>
    <n v="5"/>
    <n v="4"/>
    <n v="3.7"/>
    <x v="2"/>
  </r>
  <r>
    <n v="10"/>
    <x v="0"/>
    <n v="93810.76"/>
    <s v="C481501970"/>
    <n v="93810.76"/>
    <n v="0"/>
    <s v="C1262577882"/>
    <n v="0"/>
    <n v="0"/>
    <n v="1"/>
    <n v="0"/>
    <n v="10"/>
    <n v="0"/>
    <n v="1"/>
    <n v="93810.76"/>
    <n v="3"/>
    <n v="5"/>
    <n v="3.1"/>
    <x v="2"/>
  </r>
  <r>
    <n v="10"/>
    <x v="1"/>
    <n v="93810.76"/>
    <s v="C1190429229"/>
    <n v="93810.76"/>
    <n v="0"/>
    <s v="C2104652067"/>
    <n v="4096048.05"/>
    <n v="4189858.81"/>
    <n v="1"/>
    <n v="0"/>
    <n v="10"/>
    <n v="0"/>
    <n v="1"/>
    <n v="93810.76"/>
    <n v="3"/>
    <n v="4"/>
    <n v="2.8000000000000003"/>
    <x v="0"/>
  </r>
  <r>
    <n v="10"/>
    <x v="0"/>
    <n v="503405.88"/>
    <s v="C1446009472"/>
    <n v="503405.88"/>
    <n v="0"/>
    <s v="C2010733400"/>
    <n v="0"/>
    <n v="0"/>
    <n v="1"/>
    <n v="0"/>
    <n v="10"/>
    <n v="0"/>
    <n v="1"/>
    <n v="503405.88"/>
    <n v="5"/>
    <n v="5"/>
    <n v="4.0999999999999996"/>
    <x v="2"/>
  </r>
  <r>
    <n v="10"/>
    <x v="1"/>
    <n v="503405.88"/>
    <s v="C140359285"/>
    <n v="503405.88"/>
    <n v="0"/>
    <s v="C2020337583"/>
    <n v="29669"/>
    <n v="533074.88"/>
    <n v="1"/>
    <n v="0"/>
    <n v="10"/>
    <n v="0"/>
    <n v="1"/>
    <n v="503405.88"/>
    <n v="5"/>
    <n v="4"/>
    <n v="3.8000000000000003"/>
    <x v="2"/>
  </r>
  <r>
    <n v="10"/>
    <x v="0"/>
    <n v="2662734.59"/>
    <s v="C1182702586"/>
    <n v="2662734.59"/>
    <n v="0"/>
    <s v="C2143409210"/>
    <n v="0"/>
    <n v="0"/>
    <n v="1"/>
    <n v="0"/>
    <n v="10"/>
    <n v="0"/>
    <n v="1"/>
    <n v="2662734.59"/>
    <n v="5"/>
    <n v="5"/>
    <n v="4.0999999999999996"/>
    <x v="2"/>
  </r>
  <r>
    <n v="10"/>
    <x v="1"/>
    <n v="2662734.59"/>
    <s v="C813115168"/>
    <n v="2662734.59"/>
    <n v="0"/>
    <s v="C401825929"/>
    <n v="14165.62"/>
    <n v="2930405.33"/>
    <n v="1"/>
    <n v="0"/>
    <n v="10"/>
    <n v="0"/>
    <n v="1"/>
    <n v="2662734.59"/>
    <n v="5"/>
    <n v="4"/>
    <n v="3.8000000000000003"/>
    <x v="2"/>
  </r>
  <r>
    <n v="10"/>
    <x v="0"/>
    <n v="9217.19"/>
    <s v="C184586799"/>
    <n v="9217.19"/>
    <n v="0"/>
    <s v="C812377986"/>
    <n v="0"/>
    <n v="96795.6"/>
    <n v="1"/>
    <n v="0"/>
    <n v="10"/>
    <n v="0"/>
    <n v="1"/>
    <n v="9217.19"/>
    <n v="1"/>
    <n v="5"/>
    <n v="2.1"/>
    <x v="0"/>
  </r>
  <r>
    <n v="10"/>
    <x v="1"/>
    <n v="9217.19"/>
    <s v="C1105700111"/>
    <n v="9217.19"/>
    <n v="0"/>
    <s v="C1767952032"/>
    <n v="0"/>
    <n v="9217.19"/>
    <n v="1"/>
    <n v="0"/>
    <n v="10"/>
    <n v="0"/>
    <n v="1"/>
    <n v="9217.19"/>
    <n v="1"/>
    <n v="4"/>
    <n v="1.8"/>
    <x v="1"/>
  </r>
  <r>
    <n v="11"/>
    <x v="0"/>
    <n v="2100"/>
    <s v="C785601242"/>
    <n v="2100"/>
    <n v="0"/>
    <s v="C1576053316"/>
    <n v="0"/>
    <n v="0"/>
    <n v="1"/>
    <n v="0"/>
    <n v="11"/>
    <n v="0"/>
    <n v="1"/>
    <n v="2100"/>
    <n v="1"/>
    <n v="5"/>
    <n v="2.1"/>
    <x v="0"/>
  </r>
  <r>
    <n v="11"/>
    <x v="1"/>
    <n v="2100"/>
    <s v="C169099320"/>
    <n v="2100"/>
    <n v="0"/>
    <s v="C697156329"/>
    <n v="112512.48"/>
    <n v="114612.48"/>
    <n v="1"/>
    <n v="0"/>
    <n v="11"/>
    <n v="0"/>
    <n v="1"/>
    <n v="2100"/>
    <n v="1"/>
    <n v="4"/>
    <n v="1.8"/>
    <x v="1"/>
  </r>
  <r>
    <n v="11"/>
    <x v="0"/>
    <n v="1933920.8"/>
    <s v="C1706582969"/>
    <n v="0"/>
    <n v="0"/>
    <s v="C461905695"/>
    <n v="1283762.8500000001"/>
    <n v="3217683.65"/>
    <n v="1"/>
    <n v="0"/>
    <n v="11"/>
    <n v="0"/>
    <n v="0"/>
    <n v="0"/>
    <n v="5"/>
    <n v="5"/>
    <n v="4"/>
    <x v="2"/>
  </r>
  <r>
    <n v="11"/>
    <x v="0"/>
    <n v="313418.28000000003"/>
    <s v="C711446907"/>
    <n v="313418.28000000003"/>
    <n v="0"/>
    <s v="C888769567"/>
    <n v="0"/>
    <n v="97980.88"/>
    <n v="1"/>
    <n v="0"/>
    <n v="11"/>
    <n v="0"/>
    <n v="1"/>
    <n v="313418.28000000003"/>
    <n v="5"/>
    <n v="5"/>
    <n v="4.0999999999999996"/>
    <x v="2"/>
  </r>
  <r>
    <n v="11"/>
    <x v="1"/>
    <n v="313418.28000000003"/>
    <s v="C2021456831"/>
    <n v="313418.28000000003"/>
    <n v="0"/>
    <s v="C157591472"/>
    <n v="688164.64"/>
    <n v="1029922.17"/>
    <n v="1"/>
    <n v="0"/>
    <n v="11"/>
    <n v="0"/>
    <n v="1"/>
    <n v="313418.28000000003"/>
    <n v="5"/>
    <n v="4"/>
    <n v="3.8000000000000003"/>
    <x v="2"/>
  </r>
  <r>
    <n v="11"/>
    <x v="0"/>
    <n v="12461"/>
    <s v="C2079232448"/>
    <n v="12461"/>
    <n v="0"/>
    <s v="C585834595"/>
    <n v="0"/>
    <n v="0"/>
    <n v="1"/>
    <n v="0"/>
    <n v="11"/>
    <n v="0"/>
    <n v="1"/>
    <n v="12461"/>
    <n v="2"/>
    <n v="5"/>
    <n v="2.6"/>
    <x v="0"/>
  </r>
  <r>
    <n v="11"/>
    <x v="1"/>
    <n v="12461"/>
    <s v="C938980312"/>
    <n v="12461"/>
    <n v="0"/>
    <s v="C621014131"/>
    <n v="27964.11"/>
    <n v="40425.11"/>
    <n v="1"/>
    <n v="0"/>
    <n v="11"/>
    <n v="0"/>
    <n v="1"/>
    <n v="12461"/>
    <n v="2"/>
    <n v="4"/>
    <n v="2.3000000000000003"/>
    <x v="0"/>
  </r>
  <r>
    <n v="12"/>
    <x v="0"/>
    <n v="19472"/>
    <s v="C1101705841"/>
    <n v="19472"/>
    <n v="0"/>
    <s v="C925285469"/>
    <n v="0"/>
    <n v="0"/>
    <n v="1"/>
    <n v="0"/>
    <n v="12"/>
    <n v="0"/>
    <n v="1"/>
    <n v="19472"/>
    <n v="2"/>
    <n v="5"/>
    <n v="2.6"/>
    <x v="0"/>
  </r>
  <r>
    <n v="12"/>
    <x v="1"/>
    <n v="19472"/>
    <s v="C1205151454"/>
    <n v="19472"/>
    <n v="0"/>
    <s v="C664770316"/>
    <n v="0"/>
    <n v="19472"/>
    <n v="1"/>
    <n v="0"/>
    <n v="12"/>
    <n v="0"/>
    <n v="1"/>
    <n v="19472"/>
    <n v="2"/>
    <n v="4"/>
    <n v="2.3000000000000003"/>
    <x v="0"/>
  </r>
  <r>
    <n v="12"/>
    <x v="0"/>
    <n v="3964129.99"/>
    <s v="C576568419"/>
    <n v="3964129.99"/>
    <n v="0"/>
    <s v="C1571546632"/>
    <n v="0"/>
    <n v="0"/>
    <n v="1"/>
    <n v="0"/>
    <n v="12"/>
    <n v="0"/>
    <n v="1"/>
    <n v="3964129.99"/>
    <n v="5"/>
    <n v="5"/>
    <n v="4.0999999999999996"/>
    <x v="2"/>
  </r>
  <r>
    <n v="12"/>
    <x v="1"/>
    <n v="3964129.99"/>
    <s v="C1098250442"/>
    <n v="3964129.99"/>
    <n v="0"/>
    <s v="C1140712423"/>
    <n v="1912955.54"/>
    <n v="5811064.0700000003"/>
    <n v="1"/>
    <n v="0"/>
    <n v="12"/>
    <n v="0"/>
    <n v="1"/>
    <n v="3964129.99"/>
    <n v="5"/>
    <n v="4"/>
    <n v="3.8000000000000003"/>
    <x v="2"/>
  </r>
  <r>
    <n v="12"/>
    <x v="0"/>
    <n v="1041647.06"/>
    <s v="C345293642"/>
    <n v="1041647.06"/>
    <n v="0"/>
    <s v="C937194908"/>
    <n v="0"/>
    <n v="0"/>
    <n v="1"/>
    <n v="0"/>
    <n v="12"/>
    <n v="0"/>
    <n v="1"/>
    <n v="1041647.06"/>
    <n v="5"/>
    <n v="5"/>
    <n v="4.0999999999999996"/>
    <x v="2"/>
  </r>
  <r>
    <n v="12"/>
    <x v="1"/>
    <n v="1041647.06"/>
    <s v="C169939918"/>
    <n v="1041647.06"/>
    <n v="0"/>
    <s v="C1673501963"/>
    <n v="52730.33"/>
    <n v="1094377.3899999999"/>
    <n v="1"/>
    <n v="0"/>
    <n v="12"/>
    <n v="0"/>
    <n v="1"/>
    <n v="1041647.06"/>
    <n v="5"/>
    <n v="4"/>
    <n v="3.8000000000000003"/>
    <x v="2"/>
  </r>
  <r>
    <n v="12"/>
    <x v="0"/>
    <n v="2066467.64"/>
    <s v="C1223631235"/>
    <n v="2066467.64"/>
    <n v="0"/>
    <s v="C1281019843"/>
    <n v="0"/>
    <n v="81209.81"/>
    <n v="1"/>
    <n v="0"/>
    <n v="12"/>
    <n v="0"/>
    <n v="1"/>
    <n v="2066467.64"/>
    <n v="5"/>
    <n v="5"/>
    <n v="4.0999999999999996"/>
    <x v="2"/>
  </r>
  <r>
    <n v="12"/>
    <x v="1"/>
    <n v="2066467.64"/>
    <s v="C684252268"/>
    <n v="2066467.64"/>
    <n v="0"/>
    <s v="C2027569559"/>
    <n v="194510.24"/>
    <n v="3098566.67"/>
    <n v="1"/>
    <n v="0"/>
    <n v="12"/>
    <n v="0"/>
    <n v="1"/>
    <n v="2066467.64"/>
    <n v="5"/>
    <n v="4"/>
    <n v="3.8000000000000003"/>
    <x v="2"/>
  </r>
  <r>
    <n v="12"/>
    <x v="1"/>
    <n v="149668.66"/>
    <s v="C227115333"/>
    <n v="0"/>
    <n v="0"/>
    <s v="C460735540"/>
    <n v="44170.11"/>
    <n v="193838.76"/>
    <n v="1"/>
    <n v="0"/>
    <n v="12"/>
    <n v="0"/>
    <n v="0"/>
    <n v="0"/>
    <n v="4"/>
    <n v="4"/>
    <n v="3.2"/>
    <x v="2"/>
  </r>
  <r>
    <n v="12"/>
    <x v="0"/>
    <n v="2007"/>
    <s v="C439464764"/>
    <n v="2007"/>
    <n v="0"/>
    <s v="C562360384"/>
    <n v="0"/>
    <n v="0"/>
    <n v="1"/>
    <n v="0"/>
    <n v="12"/>
    <n v="0"/>
    <n v="1"/>
    <n v="2007"/>
    <n v="1"/>
    <n v="5"/>
    <n v="2.1"/>
    <x v="0"/>
  </r>
  <r>
    <n v="12"/>
    <x v="1"/>
    <n v="2007"/>
    <s v="C1331829443"/>
    <n v="2007"/>
    <n v="0"/>
    <s v="C127509847"/>
    <n v="129917.8"/>
    <n v="250910.76"/>
    <n v="1"/>
    <n v="0"/>
    <n v="12"/>
    <n v="0"/>
    <n v="1"/>
    <n v="2007"/>
    <n v="1"/>
    <n v="4"/>
    <n v="1.8"/>
    <x v="1"/>
  </r>
  <r>
    <n v="12"/>
    <x v="1"/>
    <n v="222048.71"/>
    <s v="C265790428"/>
    <n v="0"/>
    <n v="0"/>
    <s v="C1700442291"/>
    <n v="2979"/>
    <n v="225027.71"/>
    <n v="1"/>
    <n v="0"/>
    <n v="12"/>
    <n v="0"/>
    <n v="0"/>
    <n v="0"/>
    <n v="5"/>
    <n v="4"/>
    <n v="3.7"/>
    <x v="2"/>
  </r>
  <r>
    <n v="12"/>
    <x v="0"/>
    <n v="8677"/>
    <s v="C288028999"/>
    <n v="8677"/>
    <n v="0"/>
    <s v="C184294001"/>
    <n v="0"/>
    <n v="0"/>
    <n v="1"/>
    <n v="0"/>
    <n v="12"/>
    <n v="0"/>
    <n v="1"/>
    <n v="8677"/>
    <n v="1"/>
    <n v="5"/>
    <n v="2.1"/>
    <x v="0"/>
  </r>
  <r>
    <n v="12"/>
    <x v="1"/>
    <n v="8677"/>
    <s v="C343345083"/>
    <n v="8677"/>
    <n v="0"/>
    <s v="C200064275"/>
    <n v="225127.62"/>
    <n v="233804.62"/>
    <n v="1"/>
    <n v="0"/>
    <n v="12"/>
    <n v="0"/>
    <n v="1"/>
    <n v="8677"/>
    <n v="1"/>
    <n v="4"/>
    <n v="1.8"/>
    <x v="1"/>
  </r>
  <r>
    <n v="13"/>
    <x v="0"/>
    <n v="408"/>
    <s v="C2021466585"/>
    <n v="408"/>
    <n v="0"/>
    <s v="C1864486913"/>
    <n v="0"/>
    <n v="226013.18"/>
    <n v="1"/>
    <n v="0"/>
    <n v="13"/>
    <n v="0"/>
    <n v="1"/>
    <n v="408"/>
    <n v="1"/>
    <n v="5"/>
    <n v="2.1"/>
    <x v="0"/>
  </r>
  <r>
    <n v="13"/>
    <x v="1"/>
    <n v="408"/>
    <s v="C1894004688"/>
    <n v="408"/>
    <n v="0"/>
    <s v="C1293978242"/>
    <n v="898297.85"/>
    <n v="1075854.1399999999"/>
    <n v="1"/>
    <n v="0"/>
    <n v="13"/>
    <n v="0"/>
    <n v="1"/>
    <n v="408"/>
    <n v="1"/>
    <n v="4"/>
    <n v="1.8"/>
    <x v="1"/>
  </r>
  <r>
    <n v="13"/>
    <x v="0"/>
    <n v="48375.02"/>
    <s v="C920803432"/>
    <n v="48375.02"/>
    <n v="0"/>
    <s v="C1767389067"/>
    <n v="0"/>
    <n v="0"/>
    <n v="1"/>
    <n v="0"/>
    <n v="13"/>
    <n v="0"/>
    <n v="1"/>
    <n v="48375.02"/>
    <n v="2"/>
    <n v="5"/>
    <n v="2.6"/>
    <x v="0"/>
  </r>
  <r>
    <n v="13"/>
    <x v="1"/>
    <n v="48375.02"/>
    <s v="C1894578299"/>
    <n v="48375.02"/>
    <n v="0"/>
    <s v="C590035788"/>
    <n v="374803.26"/>
    <n v="658520.32999999996"/>
    <n v="1"/>
    <n v="0"/>
    <n v="13"/>
    <n v="0"/>
    <n v="1"/>
    <n v="48375.02"/>
    <n v="2"/>
    <n v="4"/>
    <n v="2.3000000000000003"/>
    <x v="0"/>
  </r>
  <r>
    <n v="13"/>
    <x v="0"/>
    <n v="4022667.54"/>
    <s v="C735463888"/>
    <n v="4022667.54"/>
    <n v="0"/>
    <s v="C1548348754"/>
    <n v="0"/>
    <n v="0"/>
    <n v="1"/>
    <n v="0"/>
    <n v="13"/>
    <n v="0"/>
    <n v="1"/>
    <n v="4022667.54"/>
    <n v="5"/>
    <n v="5"/>
    <n v="4.0999999999999996"/>
    <x v="2"/>
  </r>
  <r>
    <n v="13"/>
    <x v="1"/>
    <n v="4022667.54"/>
    <s v="C79951219"/>
    <n v="4022667.54"/>
    <n v="0"/>
    <s v="C1499489682"/>
    <n v="80136.56"/>
    <n v="4057191.21"/>
    <n v="1"/>
    <n v="0"/>
    <n v="13"/>
    <n v="0"/>
    <n v="1"/>
    <n v="4022667.54"/>
    <n v="5"/>
    <n v="4"/>
    <n v="3.8000000000000003"/>
    <x v="2"/>
  </r>
  <r>
    <n v="13"/>
    <x v="1"/>
    <n v="454859.39"/>
    <s v="C1274887619"/>
    <n v="0"/>
    <n v="0"/>
    <s v="C2146670328"/>
    <n v="0"/>
    <n v="454859.39"/>
    <n v="1"/>
    <n v="0"/>
    <n v="13"/>
    <n v="0"/>
    <n v="0"/>
    <n v="0"/>
    <n v="5"/>
    <n v="4"/>
    <n v="3.7"/>
    <x v="2"/>
  </r>
  <r>
    <n v="13"/>
    <x v="0"/>
    <n v="1161495.82"/>
    <s v="C1864459372"/>
    <n v="1161495.82"/>
    <n v="0"/>
    <s v="C537531657"/>
    <n v="0"/>
    <n v="0"/>
    <n v="1"/>
    <n v="0"/>
    <n v="13"/>
    <n v="0"/>
    <n v="1"/>
    <n v="1161495.82"/>
    <n v="5"/>
    <n v="5"/>
    <n v="4.0999999999999996"/>
    <x v="2"/>
  </r>
  <r>
    <n v="13"/>
    <x v="1"/>
    <n v="1161495.82"/>
    <s v="C165094398"/>
    <n v="1161495.82"/>
    <n v="0"/>
    <s v="C1966002811"/>
    <n v="319036.02"/>
    <n v="1565123.81"/>
    <n v="1"/>
    <n v="0"/>
    <n v="13"/>
    <n v="0"/>
    <n v="1"/>
    <n v="1161495.82"/>
    <n v="5"/>
    <n v="4"/>
    <n v="3.8000000000000003"/>
    <x v="2"/>
  </r>
  <r>
    <n v="13"/>
    <x v="0"/>
    <n v="2686564.04"/>
    <s v="C364029634"/>
    <n v="2686564.04"/>
    <n v="0"/>
    <s v="C2041291172"/>
    <n v="0"/>
    <n v="0"/>
    <n v="1"/>
    <n v="0"/>
    <n v="13"/>
    <n v="0"/>
    <n v="1"/>
    <n v="2686564.04"/>
    <n v="5"/>
    <n v="5"/>
    <n v="4.0999999999999996"/>
    <x v="2"/>
  </r>
  <r>
    <n v="13"/>
    <x v="1"/>
    <n v="2686564.04"/>
    <s v="C901331326"/>
    <n v="2686564.04"/>
    <n v="0"/>
    <s v="C1662761228"/>
    <n v="438199.37"/>
    <n v="3124763.41"/>
    <n v="1"/>
    <n v="0"/>
    <n v="13"/>
    <n v="0"/>
    <n v="1"/>
    <n v="2686564.04"/>
    <n v="5"/>
    <n v="4"/>
    <n v="3.8000000000000003"/>
    <x v="2"/>
  </r>
  <r>
    <n v="13"/>
    <x v="0"/>
    <n v="6188514.8099999996"/>
    <s v="C135832352"/>
    <n v="6188514.8099999996"/>
    <n v="0"/>
    <s v="C2009346140"/>
    <n v="0"/>
    <n v="0"/>
    <n v="1"/>
    <n v="0"/>
    <n v="13"/>
    <n v="0"/>
    <n v="1"/>
    <n v="6188514.8099999996"/>
    <n v="5"/>
    <n v="5"/>
    <n v="4.0999999999999996"/>
    <x v="2"/>
  </r>
  <r>
    <n v="13"/>
    <x v="1"/>
    <n v="6188514.8099999996"/>
    <s v="C686187434"/>
    <n v="6188514.8099999996"/>
    <n v="0"/>
    <s v="C1562904239"/>
    <n v="381607.21"/>
    <n v="6424681.5599999996"/>
    <n v="1"/>
    <n v="0"/>
    <n v="13"/>
    <n v="0"/>
    <n v="1"/>
    <n v="6188514.8099999996"/>
    <n v="5"/>
    <n v="4"/>
    <n v="3.8000000000000003"/>
    <x v="2"/>
  </r>
  <r>
    <n v="13"/>
    <x v="0"/>
    <n v="123194.95"/>
    <s v="C2143112877"/>
    <n v="79466.45"/>
    <n v="0"/>
    <s v="C1755380031"/>
    <n v="535933.16"/>
    <n v="263908.84000000003"/>
    <n v="1"/>
    <n v="0"/>
    <n v="13"/>
    <n v="0"/>
    <n v="1"/>
    <n v="79466.45"/>
    <n v="4"/>
    <n v="5"/>
    <n v="3.6"/>
    <x v="2"/>
  </r>
  <r>
    <n v="14"/>
    <x v="0"/>
    <n v="2093951.47"/>
    <s v="C1374377088"/>
    <n v="2093951.47"/>
    <n v="0"/>
    <s v="C207611232"/>
    <n v="0"/>
    <n v="0"/>
    <n v="1"/>
    <n v="0"/>
    <n v="14"/>
    <n v="0"/>
    <n v="1"/>
    <n v="2093951.47"/>
    <n v="5"/>
    <n v="5"/>
    <n v="4.0999999999999996"/>
    <x v="2"/>
  </r>
  <r>
    <n v="14"/>
    <x v="1"/>
    <n v="2093951.47"/>
    <s v="C1440901488"/>
    <n v="2093951.47"/>
    <n v="0"/>
    <s v="C166839225"/>
    <n v="0"/>
    <n v="2093951.47"/>
    <n v="1"/>
    <n v="0"/>
    <n v="14"/>
    <n v="0"/>
    <n v="1"/>
    <n v="2093951.47"/>
    <n v="5"/>
    <n v="4"/>
    <n v="3.8000000000000003"/>
    <x v="2"/>
  </r>
  <r>
    <n v="14"/>
    <x v="0"/>
    <n v="143032"/>
    <s v="C1960144830"/>
    <n v="143032"/>
    <n v="0"/>
    <s v="C801162238"/>
    <n v="0"/>
    <n v="0"/>
    <n v="1"/>
    <n v="0"/>
    <n v="14"/>
    <n v="0"/>
    <n v="1"/>
    <n v="143032"/>
    <n v="4"/>
    <n v="5"/>
    <n v="3.6"/>
    <x v="2"/>
  </r>
  <r>
    <n v="14"/>
    <x v="1"/>
    <n v="143032"/>
    <s v="C465166521"/>
    <n v="143032"/>
    <n v="0"/>
    <s v="C487776685"/>
    <n v="814654.61"/>
    <n v="1020323.73"/>
    <n v="1"/>
    <n v="0"/>
    <n v="14"/>
    <n v="0"/>
    <n v="1"/>
    <n v="143032"/>
    <n v="4"/>
    <n v="4"/>
    <n v="3.3000000000000003"/>
    <x v="2"/>
  </r>
  <r>
    <n v="14"/>
    <x v="0"/>
    <n v="2927005.15"/>
    <s v="C2081788795"/>
    <n v="2927005.15"/>
    <n v="0"/>
    <s v="C2138456206"/>
    <n v="0"/>
    <n v="0"/>
    <n v="1"/>
    <n v="0"/>
    <n v="14"/>
    <n v="0"/>
    <n v="1"/>
    <n v="2927005.15"/>
    <n v="5"/>
    <n v="5"/>
    <n v="4.0999999999999996"/>
    <x v="2"/>
  </r>
  <r>
    <n v="14"/>
    <x v="1"/>
    <n v="2927005.15"/>
    <s v="C2010427735"/>
    <n v="2927005.15"/>
    <n v="0"/>
    <s v="C1887744176"/>
    <n v="0"/>
    <n v="2994420.07"/>
    <n v="1"/>
    <n v="0"/>
    <n v="14"/>
    <n v="0"/>
    <n v="1"/>
    <n v="2927005.15"/>
    <n v="5"/>
    <n v="4"/>
    <n v="3.8000000000000003"/>
    <x v="2"/>
  </r>
  <r>
    <n v="14"/>
    <x v="0"/>
    <n v="1832319.42"/>
    <s v="C439830884"/>
    <n v="1832319.42"/>
    <n v="0"/>
    <s v="C1133002328"/>
    <n v="0"/>
    <n v="0"/>
    <n v="1"/>
    <n v="0"/>
    <n v="14"/>
    <n v="0"/>
    <n v="1"/>
    <n v="1832319.42"/>
    <n v="5"/>
    <n v="5"/>
    <n v="4.0999999999999996"/>
    <x v="2"/>
  </r>
  <r>
    <n v="14"/>
    <x v="1"/>
    <n v="1832319.42"/>
    <s v="C803703656"/>
    <n v="1832319.42"/>
    <n v="0"/>
    <s v="C858007309"/>
    <n v="43962.42"/>
    <n v="2440139.69"/>
    <n v="1"/>
    <n v="0"/>
    <n v="14"/>
    <n v="0"/>
    <n v="1"/>
    <n v="1832319.42"/>
    <n v="5"/>
    <n v="4"/>
    <n v="3.8000000000000003"/>
    <x v="2"/>
  </r>
  <r>
    <n v="14"/>
    <x v="0"/>
    <n v="1561891.66"/>
    <s v="C736093511"/>
    <n v="1561891.66"/>
    <n v="0"/>
    <s v="C1224081716"/>
    <n v="0"/>
    <n v="0"/>
    <n v="1"/>
    <n v="0"/>
    <n v="14"/>
    <n v="0"/>
    <n v="1"/>
    <n v="1561891.66"/>
    <n v="5"/>
    <n v="5"/>
    <n v="4.0999999999999996"/>
    <x v="2"/>
  </r>
  <r>
    <n v="14"/>
    <x v="1"/>
    <n v="1561891.66"/>
    <s v="C15204463"/>
    <n v="1561891.66"/>
    <n v="0"/>
    <s v="C1255502452"/>
    <n v="3471928.95"/>
    <n v="6443177.5599999996"/>
    <n v="1"/>
    <n v="0"/>
    <n v="14"/>
    <n v="0"/>
    <n v="1"/>
    <n v="1561891.66"/>
    <n v="5"/>
    <n v="4"/>
    <n v="3.8000000000000003"/>
    <x v="2"/>
  </r>
  <r>
    <n v="14"/>
    <x v="0"/>
    <n v="65488.05"/>
    <s v="C236875489"/>
    <n v="65488.05"/>
    <n v="0"/>
    <s v="C528705657"/>
    <n v="0"/>
    <n v="0"/>
    <n v="1"/>
    <n v="0"/>
    <n v="14"/>
    <n v="0"/>
    <n v="1"/>
    <n v="65488.05"/>
    <n v="3"/>
    <n v="5"/>
    <n v="3.1"/>
    <x v="2"/>
  </r>
  <r>
    <n v="14"/>
    <x v="1"/>
    <n v="65488.05"/>
    <s v="C1137669976"/>
    <n v="65488.05"/>
    <n v="0"/>
    <s v="C1526507740"/>
    <n v="0"/>
    <n v="65488.05"/>
    <n v="1"/>
    <n v="0"/>
    <n v="14"/>
    <n v="0"/>
    <n v="1"/>
    <n v="65488.05"/>
    <n v="3"/>
    <n v="4"/>
    <n v="2.8000000000000003"/>
    <x v="0"/>
  </r>
  <r>
    <n v="15"/>
    <x v="0"/>
    <n v="696763.08"/>
    <s v="C968403759"/>
    <n v="696763.08"/>
    <n v="0"/>
    <s v="C1524019269"/>
    <n v="0"/>
    <n v="69861.259999999995"/>
    <n v="1"/>
    <n v="0"/>
    <n v="15"/>
    <n v="0"/>
    <n v="1"/>
    <n v="696763.08"/>
    <n v="5"/>
    <n v="5"/>
    <n v="4.0999999999999996"/>
    <x v="2"/>
  </r>
  <r>
    <n v="15"/>
    <x v="1"/>
    <n v="696763.08"/>
    <s v="C725915377"/>
    <n v="696763.08"/>
    <n v="0"/>
    <s v="C1656726101"/>
    <n v="366114.58"/>
    <n v="1347073.81"/>
    <n v="1"/>
    <n v="0"/>
    <n v="15"/>
    <n v="0"/>
    <n v="1"/>
    <n v="696763.08"/>
    <n v="5"/>
    <n v="4"/>
    <n v="3.8000000000000003"/>
    <x v="2"/>
  </r>
  <r>
    <n v="15"/>
    <x v="0"/>
    <n v="119"/>
    <s v="C1995557473"/>
    <n v="119"/>
    <n v="0"/>
    <s v="C1480876722"/>
    <n v="0"/>
    <n v="0"/>
    <n v="1"/>
    <n v="0"/>
    <n v="15"/>
    <n v="0"/>
    <n v="1"/>
    <n v="119"/>
    <n v="1"/>
    <n v="5"/>
    <n v="2.1"/>
    <x v="0"/>
  </r>
  <r>
    <n v="15"/>
    <x v="1"/>
    <n v="119"/>
    <s v="C1584512618"/>
    <n v="119"/>
    <n v="0"/>
    <s v="C2102058838"/>
    <n v="4844060.13"/>
    <n v="4844179.13"/>
    <n v="1"/>
    <n v="0"/>
    <n v="15"/>
    <n v="0"/>
    <n v="1"/>
    <n v="119"/>
    <n v="1"/>
    <n v="4"/>
    <n v="1.8"/>
    <x v="1"/>
  </r>
  <r>
    <n v="15"/>
    <x v="0"/>
    <n v="128473.62"/>
    <s v="C1012580160"/>
    <n v="128473.62"/>
    <n v="0"/>
    <s v="C540657255"/>
    <n v="0"/>
    <n v="0"/>
    <n v="1"/>
    <n v="0"/>
    <n v="15"/>
    <n v="0"/>
    <n v="1"/>
    <n v="128473.62"/>
    <n v="4"/>
    <n v="5"/>
    <n v="3.6"/>
    <x v="2"/>
  </r>
  <r>
    <n v="15"/>
    <x v="1"/>
    <n v="128473.62"/>
    <s v="C905234452"/>
    <n v="128473.62"/>
    <n v="0"/>
    <s v="C786510892"/>
    <n v="0"/>
    <n v="128473.62"/>
    <n v="1"/>
    <n v="0"/>
    <n v="15"/>
    <n v="0"/>
    <n v="1"/>
    <n v="128473.62"/>
    <n v="4"/>
    <n v="4"/>
    <n v="3.3000000000000003"/>
    <x v="2"/>
  </r>
  <r>
    <n v="15"/>
    <x v="0"/>
    <n v="248056.41"/>
    <s v="C1474711983"/>
    <n v="248056.41"/>
    <n v="0"/>
    <s v="C1009564356"/>
    <n v="0"/>
    <n v="0"/>
    <n v="1"/>
    <n v="0"/>
    <n v="15"/>
    <n v="0"/>
    <n v="1"/>
    <n v="248056.41"/>
    <n v="5"/>
    <n v="5"/>
    <n v="4.0999999999999996"/>
    <x v="2"/>
  </r>
  <r>
    <n v="15"/>
    <x v="1"/>
    <n v="248056.41"/>
    <s v="C1055229266"/>
    <n v="248056.41"/>
    <n v="0"/>
    <s v="C1689170857"/>
    <n v="0"/>
    <n v="201427.47"/>
    <n v="1"/>
    <n v="0"/>
    <n v="15"/>
    <n v="0"/>
    <n v="1"/>
    <n v="248056.41"/>
    <n v="5"/>
    <n v="4"/>
    <n v="3.8000000000000003"/>
    <x v="2"/>
  </r>
  <r>
    <n v="15"/>
    <x v="0"/>
    <n v="164500.81"/>
    <s v="C1761347420"/>
    <n v="164500.81"/>
    <n v="0"/>
    <s v="C383804904"/>
    <n v="0"/>
    <n v="0"/>
    <n v="1"/>
    <n v="0"/>
    <n v="15"/>
    <n v="0"/>
    <n v="1"/>
    <n v="164500.81"/>
    <n v="4"/>
    <n v="5"/>
    <n v="3.6"/>
    <x v="2"/>
  </r>
  <r>
    <n v="15"/>
    <x v="1"/>
    <n v="164500.81"/>
    <s v="C1689700172"/>
    <n v="164500.81"/>
    <n v="0"/>
    <s v="C149696600"/>
    <n v="685636.21"/>
    <n v="850137.02"/>
    <n v="1"/>
    <n v="0"/>
    <n v="15"/>
    <n v="0"/>
    <n v="1"/>
    <n v="164500.81"/>
    <n v="4"/>
    <n v="4"/>
    <n v="3.3000000000000003"/>
    <x v="2"/>
  </r>
  <r>
    <n v="15"/>
    <x v="0"/>
    <n v="212089.74"/>
    <s v="C378910639"/>
    <n v="212089.74"/>
    <n v="0"/>
    <s v="C1881567873"/>
    <n v="0"/>
    <n v="0"/>
    <n v="1"/>
    <n v="0"/>
    <n v="15"/>
    <n v="0"/>
    <n v="1"/>
    <n v="212089.74"/>
    <n v="5"/>
    <n v="5"/>
    <n v="4.0999999999999996"/>
    <x v="2"/>
  </r>
  <r>
    <n v="15"/>
    <x v="1"/>
    <n v="212089.74"/>
    <s v="C1970843703"/>
    <n v="212089.74"/>
    <n v="0"/>
    <s v="C597280894"/>
    <n v="257758.48"/>
    <n v="469848.23"/>
    <n v="1"/>
    <n v="0"/>
    <n v="15"/>
    <n v="0"/>
    <n v="1"/>
    <n v="212089.74"/>
    <n v="5"/>
    <n v="4"/>
    <n v="3.8000000000000003"/>
    <x v="2"/>
  </r>
  <r>
    <n v="15"/>
    <x v="1"/>
    <n v="95428.32"/>
    <s v="C947728507"/>
    <n v="0"/>
    <n v="0"/>
    <s v="C1720721903"/>
    <n v="0"/>
    <n v="95428.32"/>
    <n v="1"/>
    <n v="0"/>
    <n v="15"/>
    <n v="0"/>
    <n v="0"/>
    <n v="0"/>
    <n v="3"/>
    <n v="4"/>
    <n v="2.7"/>
    <x v="0"/>
  </r>
  <r>
    <n v="15"/>
    <x v="1"/>
    <n v="39713.279999999999"/>
    <s v="C1404885898"/>
    <n v="0"/>
    <n v="0"/>
    <s v="C1795377601"/>
    <n v="1274866.51"/>
    <n v="1314579.79"/>
    <n v="1"/>
    <n v="0"/>
    <n v="15"/>
    <n v="0"/>
    <n v="0"/>
    <n v="0"/>
    <n v="2"/>
    <n v="4"/>
    <n v="2.2000000000000002"/>
    <x v="0"/>
  </r>
  <r>
    <n v="15"/>
    <x v="0"/>
    <n v="170"/>
    <s v="C553034695"/>
    <n v="170"/>
    <n v="0"/>
    <s v="C26381896"/>
    <n v="0"/>
    <n v="0"/>
    <n v="1"/>
    <n v="0"/>
    <n v="15"/>
    <n v="0"/>
    <n v="1"/>
    <n v="170"/>
    <n v="1"/>
    <n v="5"/>
    <n v="2.1"/>
    <x v="0"/>
  </r>
  <r>
    <n v="15"/>
    <x v="1"/>
    <n v="170"/>
    <s v="C1065370362"/>
    <n v="170"/>
    <n v="0"/>
    <s v="C200064275"/>
    <n v="413421.36"/>
    <n v="345764.15"/>
    <n v="1"/>
    <n v="0"/>
    <n v="15"/>
    <n v="0"/>
    <n v="1"/>
    <n v="170"/>
    <n v="1"/>
    <n v="4"/>
    <n v="1.8"/>
    <x v="1"/>
  </r>
  <r>
    <n v="15"/>
    <x v="0"/>
    <n v="747282.4"/>
    <s v="C1695793096"/>
    <n v="747282.4"/>
    <n v="0"/>
    <s v="C849010584"/>
    <n v="0"/>
    <n v="0"/>
    <n v="1"/>
    <n v="0"/>
    <n v="15"/>
    <n v="0"/>
    <n v="1"/>
    <n v="747282.4"/>
    <n v="5"/>
    <n v="5"/>
    <n v="4.0999999999999996"/>
    <x v="2"/>
  </r>
  <r>
    <n v="15"/>
    <x v="1"/>
    <n v="747282.4"/>
    <s v="C842684426"/>
    <n v="747282.4"/>
    <n v="0"/>
    <s v="C2025644484"/>
    <n v="5340917.82"/>
    <n v="6088200.2199999997"/>
    <n v="1"/>
    <n v="0"/>
    <n v="15"/>
    <n v="0"/>
    <n v="1"/>
    <n v="747282.4"/>
    <n v="5"/>
    <n v="4"/>
    <n v="3.8000000000000003"/>
    <x v="2"/>
  </r>
  <r>
    <n v="15"/>
    <x v="0"/>
    <n v="59385.67"/>
    <s v="C1275373422"/>
    <n v="59385.67"/>
    <n v="0"/>
    <s v="C1704707395"/>
    <n v="0"/>
    <n v="0"/>
    <n v="1"/>
    <n v="0"/>
    <n v="15"/>
    <n v="0"/>
    <n v="1"/>
    <n v="59385.67"/>
    <n v="3"/>
    <n v="5"/>
    <n v="3.1"/>
    <x v="2"/>
  </r>
  <r>
    <n v="15"/>
    <x v="1"/>
    <n v="59385.67"/>
    <s v="C1765315298"/>
    <n v="59385.67"/>
    <n v="0"/>
    <s v="C721356209"/>
    <n v="74371"/>
    <n v="133756.67000000001"/>
    <n v="1"/>
    <n v="0"/>
    <n v="15"/>
    <n v="0"/>
    <n v="1"/>
    <n v="59385.67"/>
    <n v="3"/>
    <n v="4"/>
    <n v="2.8000000000000003"/>
    <x v="0"/>
  </r>
  <r>
    <n v="16"/>
    <x v="0"/>
    <n v="2198224.71"/>
    <s v="C752563135"/>
    <n v="2198224.71"/>
    <n v="0"/>
    <s v="C247007952"/>
    <n v="0"/>
    <n v="0"/>
    <n v="1"/>
    <n v="0"/>
    <n v="16"/>
    <n v="0"/>
    <n v="1"/>
    <n v="2198224.71"/>
    <n v="5"/>
    <n v="5"/>
    <n v="4.0999999999999996"/>
    <x v="2"/>
  </r>
  <r>
    <n v="16"/>
    <x v="1"/>
    <n v="2198224.71"/>
    <s v="C705981026"/>
    <n v="2198224.71"/>
    <n v="0"/>
    <s v="C697783649"/>
    <n v="0"/>
    <n v="2198224.71"/>
    <n v="1"/>
    <n v="0"/>
    <n v="16"/>
    <n v="0"/>
    <n v="1"/>
    <n v="2198224.71"/>
    <n v="5"/>
    <n v="4"/>
    <n v="3.8000000000000003"/>
    <x v="2"/>
  </r>
  <r>
    <n v="16"/>
    <x v="0"/>
    <n v="828720.89"/>
    <s v="C1422357582"/>
    <n v="828720.89"/>
    <n v="0"/>
    <s v="C366986030"/>
    <n v="0"/>
    <n v="0"/>
    <n v="1"/>
    <n v="0"/>
    <n v="16"/>
    <n v="0"/>
    <n v="1"/>
    <n v="828720.89"/>
    <n v="5"/>
    <n v="5"/>
    <n v="4.0999999999999996"/>
    <x v="2"/>
  </r>
  <r>
    <n v="16"/>
    <x v="1"/>
    <n v="828720.89"/>
    <s v="C1002446735"/>
    <n v="828720.89"/>
    <n v="0"/>
    <s v="C185805228"/>
    <n v="9142622.5899999999"/>
    <n v="10200000"/>
    <n v="1"/>
    <n v="0"/>
    <n v="16"/>
    <n v="0"/>
    <n v="1"/>
    <n v="828720.89"/>
    <n v="5"/>
    <n v="4"/>
    <n v="3.8000000000000003"/>
    <x v="2"/>
  </r>
  <r>
    <n v="16"/>
    <x v="0"/>
    <n v="2701905.3"/>
    <s v="C494334546"/>
    <n v="2701905.3"/>
    <n v="0"/>
    <s v="C428725863"/>
    <n v="0"/>
    <n v="0"/>
    <n v="1"/>
    <n v="0"/>
    <n v="16"/>
    <n v="0"/>
    <n v="1"/>
    <n v="2701905.3"/>
    <n v="5"/>
    <n v="5"/>
    <n v="4.0999999999999996"/>
    <x v="2"/>
  </r>
  <r>
    <n v="16"/>
    <x v="1"/>
    <n v="2701905.3"/>
    <s v="C2140905252"/>
    <n v="2701905.3"/>
    <n v="0"/>
    <s v="C970796050"/>
    <n v="57418"/>
    <n v="2759323.3"/>
    <n v="1"/>
    <n v="0"/>
    <n v="16"/>
    <n v="0"/>
    <n v="1"/>
    <n v="2701905.3"/>
    <n v="5"/>
    <n v="4"/>
    <n v="3.8000000000000003"/>
    <x v="2"/>
  </r>
  <r>
    <n v="16"/>
    <x v="0"/>
    <n v="31074"/>
    <s v="C457962127"/>
    <n v="31074"/>
    <n v="0"/>
    <s v="C614104997"/>
    <n v="0"/>
    <n v="0"/>
    <n v="1"/>
    <n v="0"/>
    <n v="16"/>
    <n v="0"/>
    <n v="1"/>
    <n v="31074"/>
    <n v="2"/>
    <n v="5"/>
    <n v="2.6"/>
    <x v="0"/>
  </r>
  <r>
    <n v="16"/>
    <x v="1"/>
    <n v="31074"/>
    <s v="C2073757635"/>
    <n v="31074"/>
    <n v="0"/>
    <s v="C1899325653"/>
    <n v="0"/>
    <n v="31074"/>
    <n v="1"/>
    <n v="0"/>
    <n v="16"/>
    <n v="0"/>
    <n v="1"/>
    <n v="31074"/>
    <n v="2"/>
    <n v="4"/>
    <n v="2.3000000000000003"/>
    <x v="0"/>
  </r>
  <r>
    <n v="16"/>
    <x v="0"/>
    <n v="121626.82"/>
    <s v="C185016231"/>
    <n v="121626.82"/>
    <n v="0"/>
    <s v="C1409959"/>
    <n v="0"/>
    <n v="0"/>
    <n v="1"/>
    <n v="0"/>
    <n v="16"/>
    <n v="0"/>
    <n v="1"/>
    <n v="121626.82"/>
    <n v="4"/>
    <n v="5"/>
    <n v="3.6"/>
    <x v="2"/>
  </r>
  <r>
    <n v="16"/>
    <x v="1"/>
    <n v="121626.82"/>
    <s v="C828364266"/>
    <n v="121626.82"/>
    <n v="0"/>
    <s v="C101179743"/>
    <n v="653744.34"/>
    <n v="775371.16"/>
    <n v="1"/>
    <n v="0"/>
    <n v="16"/>
    <n v="0"/>
    <n v="1"/>
    <n v="121626.82"/>
    <n v="4"/>
    <n v="4"/>
    <n v="3.3000000000000003"/>
    <x v="2"/>
  </r>
  <r>
    <n v="17"/>
    <x v="0"/>
    <n v="1639676.27"/>
    <s v="C15998296"/>
    <n v="1639676.27"/>
    <n v="0"/>
    <s v="C1652158314"/>
    <n v="0"/>
    <n v="0"/>
    <n v="1"/>
    <n v="0"/>
    <n v="17"/>
    <n v="0"/>
    <n v="1"/>
    <n v="1639676.27"/>
    <n v="5"/>
    <n v="5"/>
    <n v="4.0999999999999996"/>
    <x v="2"/>
  </r>
  <r>
    <n v="17"/>
    <x v="1"/>
    <n v="1639676.27"/>
    <s v="C967691562"/>
    <n v="1639676.27"/>
    <n v="0"/>
    <s v="C2093967426"/>
    <n v="448954.92"/>
    <n v="2198318.48"/>
    <n v="1"/>
    <n v="0"/>
    <n v="17"/>
    <n v="0"/>
    <n v="1"/>
    <n v="1639676.27"/>
    <n v="5"/>
    <n v="4"/>
    <n v="3.8000000000000003"/>
    <x v="2"/>
  </r>
  <r>
    <n v="17"/>
    <x v="0"/>
    <n v="305627"/>
    <s v="C1711670940"/>
    <n v="305627"/>
    <n v="0"/>
    <s v="C385061535"/>
    <n v="0"/>
    <n v="0"/>
    <n v="1"/>
    <n v="0"/>
    <n v="17"/>
    <n v="0"/>
    <n v="1"/>
    <n v="305627"/>
    <n v="5"/>
    <n v="5"/>
    <n v="4.0999999999999996"/>
    <x v="2"/>
  </r>
  <r>
    <n v="17"/>
    <x v="1"/>
    <n v="305627"/>
    <s v="C1600031018"/>
    <n v="305627"/>
    <n v="0"/>
    <s v="C1971951800"/>
    <n v="7699847.1600000001"/>
    <n v="8005474.1600000001"/>
    <n v="1"/>
    <n v="0"/>
    <n v="17"/>
    <n v="0"/>
    <n v="1"/>
    <n v="305627"/>
    <n v="5"/>
    <n v="4"/>
    <n v="3.8000000000000003"/>
    <x v="2"/>
  </r>
  <r>
    <n v="17"/>
    <x v="0"/>
    <n v="195351.76"/>
    <s v="C1420261366"/>
    <n v="195351.76"/>
    <n v="0"/>
    <s v="C639808302"/>
    <n v="0"/>
    <n v="0"/>
    <n v="1"/>
    <n v="0"/>
    <n v="17"/>
    <n v="0"/>
    <n v="1"/>
    <n v="195351.76"/>
    <n v="4"/>
    <n v="5"/>
    <n v="3.6"/>
    <x v="2"/>
  </r>
  <r>
    <n v="17"/>
    <x v="1"/>
    <n v="195351.76"/>
    <s v="C268542581"/>
    <n v="195351.76"/>
    <n v="0"/>
    <s v="C504693752"/>
    <n v="156408.25"/>
    <n v="265841"/>
    <n v="1"/>
    <n v="0"/>
    <n v="17"/>
    <n v="0"/>
    <n v="1"/>
    <n v="195351.76"/>
    <n v="4"/>
    <n v="4"/>
    <n v="3.3000000000000003"/>
    <x v="2"/>
  </r>
  <r>
    <n v="17"/>
    <x v="1"/>
    <n v="42062.82"/>
    <s v="C897869440"/>
    <n v="340830.43"/>
    <n v="298767.61"/>
    <s v="C616721459"/>
    <n v="398931.35"/>
    <n v="678419.64"/>
    <n v="1"/>
    <n v="0"/>
    <n v="17"/>
    <n v="0"/>
    <n v="0"/>
    <n v="42062.820000000007"/>
    <n v="2"/>
    <n v="4"/>
    <n v="2.2000000000000002"/>
    <x v="0"/>
  </r>
  <r>
    <n v="18"/>
    <x v="0"/>
    <n v="295664.18"/>
    <s v="C1726326177"/>
    <n v="295664.18"/>
    <n v="0"/>
    <s v="C1540448785"/>
    <n v="0"/>
    <n v="0"/>
    <n v="1"/>
    <n v="0"/>
    <n v="18"/>
    <n v="0"/>
    <n v="1"/>
    <n v="295664.18"/>
    <n v="5"/>
    <n v="5"/>
    <n v="4.0999999999999996"/>
    <x v="2"/>
  </r>
  <r>
    <n v="18"/>
    <x v="1"/>
    <n v="295664.18"/>
    <s v="C1446413189"/>
    <n v="295664.18"/>
    <n v="0"/>
    <s v="C185805228"/>
    <n v="10200000"/>
    <n v="10500000"/>
    <n v="1"/>
    <n v="0"/>
    <n v="18"/>
    <n v="0"/>
    <n v="1"/>
    <n v="295664.18"/>
    <n v="5"/>
    <n v="4"/>
    <n v="3.8000000000000003"/>
    <x v="2"/>
  </r>
  <r>
    <n v="18"/>
    <x v="0"/>
    <n v="307739.18"/>
    <s v="C1066119351"/>
    <n v="307739.18"/>
    <n v="0"/>
    <s v="C702410034"/>
    <n v="0"/>
    <n v="0"/>
    <n v="1"/>
    <n v="0"/>
    <n v="18"/>
    <n v="0"/>
    <n v="1"/>
    <n v="307739.18"/>
    <n v="5"/>
    <n v="5"/>
    <n v="4.0999999999999996"/>
    <x v="2"/>
  </r>
  <r>
    <n v="18"/>
    <x v="1"/>
    <n v="307739.18"/>
    <s v="C281912643"/>
    <n v="307739.18"/>
    <n v="0"/>
    <s v="C1264205758"/>
    <n v="25326"/>
    <n v="838246.41"/>
    <n v="1"/>
    <n v="0"/>
    <n v="18"/>
    <n v="0"/>
    <n v="1"/>
    <n v="307739.18"/>
    <n v="5"/>
    <n v="4"/>
    <n v="3.8000000000000003"/>
    <x v="2"/>
  </r>
  <r>
    <n v="18"/>
    <x v="1"/>
    <n v="314251.58"/>
    <s v="C1462280812"/>
    <n v="75956.47"/>
    <n v="0"/>
    <s v="C90486891"/>
    <n v="7962205.25"/>
    <n v="8276456.8399999999"/>
    <n v="1"/>
    <n v="0"/>
    <n v="18"/>
    <n v="0"/>
    <n v="1"/>
    <n v="75956.47"/>
    <n v="5"/>
    <n v="4"/>
    <n v="3.8000000000000003"/>
    <x v="2"/>
  </r>
  <r>
    <n v="18"/>
    <x v="0"/>
    <n v="1102133.8999999999"/>
    <s v="C590103740"/>
    <n v="1102133.8999999999"/>
    <n v="0"/>
    <s v="C1610372134"/>
    <n v="0"/>
    <n v="746575.95"/>
    <n v="1"/>
    <n v="0"/>
    <n v="18"/>
    <n v="0"/>
    <n v="1"/>
    <n v="1102133.8999999999"/>
    <n v="5"/>
    <n v="5"/>
    <n v="4.0999999999999996"/>
    <x v="2"/>
  </r>
  <r>
    <n v="18"/>
    <x v="1"/>
    <n v="1102133.8999999999"/>
    <s v="C1213142549"/>
    <n v="1102133.8999999999"/>
    <n v="0"/>
    <s v="C1880832297"/>
    <n v="306228.56"/>
    <n v="1408362.45"/>
    <n v="1"/>
    <n v="0"/>
    <n v="18"/>
    <n v="0"/>
    <n v="1"/>
    <n v="1102133.8999999999"/>
    <n v="5"/>
    <n v="4"/>
    <n v="3.8000000000000003"/>
    <x v="2"/>
  </r>
  <r>
    <n v="18"/>
    <x v="0"/>
    <n v="1144089.3700000001"/>
    <s v="C1218322192"/>
    <n v="1144089.3700000001"/>
    <n v="0"/>
    <s v="C1107369132"/>
    <n v="0"/>
    <n v="0"/>
    <n v="1"/>
    <n v="0"/>
    <n v="18"/>
    <n v="0"/>
    <n v="1"/>
    <n v="1144089.3700000001"/>
    <n v="5"/>
    <n v="5"/>
    <n v="4.0999999999999996"/>
    <x v="2"/>
  </r>
  <r>
    <n v="18"/>
    <x v="1"/>
    <n v="1144089.3700000001"/>
    <s v="C1542410200"/>
    <n v="1144089.3700000001"/>
    <n v="0"/>
    <s v="C183389809"/>
    <n v="2502877.2599999998"/>
    <n v="3879210.29"/>
    <n v="1"/>
    <n v="0"/>
    <n v="18"/>
    <n v="0"/>
    <n v="1"/>
    <n v="1144089.3700000001"/>
    <n v="5"/>
    <n v="4"/>
    <n v="3.8000000000000003"/>
    <x v="2"/>
  </r>
  <r>
    <n v="18"/>
    <x v="0"/>
    <n v="1974352.3"/>
    <s v="C745648946"/>
    <n v="1974352.3"/>
    <n v="0"/>
    <s v="C1091334879"/>
    <n v="0"/>
    <n v="0"/>
    <n v="1"/>
    <n v="0"/>
    <n v="18"/>
    <n v="0"/>
    <n v="1"/>
    <n v="1974352.3"/>
    <n v="5"/>
    <n v="5"/>
    <n v="4.0999999999999996"/>
    <x v="2"/>
  </r>
  <r>
    <n v="18"/>
    <x v="1"/>
    <n v="1974352.3"/>
    <s v="C365968372"/>
    <n v="1974352.3"/>
    <n v="0"/>
    <s v="C579837876"/>
    <n v="15531.71"/>
    <n v="1989884.01"/>
    <n v="1"/>
    <n v="0"/>
    <n v="18"/>
    <n v="0"/>
    <n v="1"/>
    <n v="1974352.3"/>
    <n v="5"/>
    <n v="4"/>
    <n v="3.8000000000000003"/>
    <x v="2"/>
  </r>
  <r>
    <n v="18"/>
    <x v="0"/>
    <n v="11481"/>
    <s v="C370107492"/>
    <n v="11481"/>
    <n v="0"/>
    <s v="C1680789799"/>
    <n v="0"/>
    <n v="263492.28000000003"/>
    <n v="1"/>
    <n v="0"/>
    <n v="18"/>
    <n v="0"/>
    <n v="1"/>
    <n v="11481"/>
    <n v="2"/>
    <n v="5"/>
    <n v="2.6"/>
    <x v="0"/>
  </r>
  <r>
    <n v="18"/>
    <x v="1"/>
    <n v="11481"/>
    <s v="C779194867"/>
    <n v="11481"/>
    <n v="0"/>
    <s v="C1475456951"/>
    <n v="761417.61"/>
    <n v="1765080.5"/>
    <n v="1"/>
    <n v="0"/>
    <n v="18"/>
    <n v="0"/>
    <n v="1"/>
    <n v="11481"/>
    <n v="2"/>
    <n v="4"/>
    <n v="2.3000000000000003"/>
    <x v="0"/>
  </r>
  <r>
    <n v="18"/>
    <x v="1"/>
    <n v="508782.2"/>
    <s v="C576782065"/>
    <n v="0"/>
    <n v="0"/>
    <s v="C2090737806"/>
    <n v="1082007.6499999999"/>
    <n v="1590789.85"/>
    <n v="1"/>
    <n v="0"/>
    <n v="18"/>
    <n v="0"/>
    <n v="0"/>
    <n v="0"/>
    <n v="5"/>
    <n v="4"/>
    <n v="3.7"/>
    <x v="2"/>
  </r>
  <r>
    <n v="18"/>
    <x v="0"/>
    <n v="9131"/>
    <s v="C1592623877"/>
    <n v="9131"/>
    <n v="0"/>
    <s v="C87183368"/>
    <n v="0"/>
    <n v="0"/>
    <n v="1"/>
    <n v="0"/>
    <n v="18"/>
    <n v="0"/>
    <n v="1"/>
    <n v="9131"/>
    <n v="1"/>
    <n v="5"/>
    <n v="2.1"/>
    <x v="0"/>
  </r>
  <r>
    <n v="18"/>
    <x v="1"/>
    <n v="9131"/>
    <s v="C895161073"/>
    <n v="9131"/>
    <n v="0"/>
    <s v="C1762082057"/>
    <n v="133084.01999999999"/>
    <n v="142215.01999999999"/>
    <n v="1"/>
    <n v="0"/>
    <n v="18"/>
    <n v="0"/>
    <n v="1"/>
    <n v="9131"/>
    <n v="1"/>
    <n v="4"/>
    <n v="1.8"/>
    <x v="1"/>
  </r>
  <r>
    <n v="19"/>
    <x v="0"/>
    <n v="143660.10999999999"/>
    <s v="C1156611770"/>
    <n v="143660.10999999999"/>
    <n v="0"/>
    <s v="C742977582"/>
    <n v="0"/>
    <n v="0"/>
    <n v="1"/>
    <n v="0"/>
    <n v="19"/>
    <n v="0"/>
    <n v="1"/>
    <n v="143660.10999999999"/>
    <n v="4"/>
    <n v="5"/>
    <n v="3.6"/>
    <x v="2"/>
  </r>
  <r>
    <n v="19"/>
    <x v="1"/>
    <n v="143660.10999999999"/>
    <s v="C681501417"/>
    <n v="143660.10999999999"/>
    <n v="0"/>
    <s v="C447183071"/>
    <n v="0"/>
    <n v="143660.10999999999"/>
    <n v="1"/>
    <n v="0"/>
    <n v="19"/>
    <n v="0"/>
    <n v="1"/>
    <n v="143660.10999999999"/>
    <n v="4"/>
    <n v="4"/>
    <n v="3.3000000000000003"/>
    <x v="2"/>
  </r>
  <r>
    <n v="19"/>
    <x v="0"/>
    <n v="3477438.49"/>
    <s v="C767243506"/>
    <n v="3477438.49"/>
    <n v="0"/>
    <s v="C1532877354"/>
    <n v="0"/>
    <n v="0"/>
    <n v="1"/>
    <n v="0"/>
    <n v="19"/>
    <n v="0"/>
    <n v="1"/>
    <n v="3477438.49"/>
    <n v="5"/>
    <n v="5"/>
    <n v="4.0999999999999996"/>
    <x v="2"/>
  </r>
  <r>
    <n v="19"/>
    <x v="1"/>
    <n v="3477438.49"/>
    <s v="C841995363"/>
    <n v="3477438.49"/>
    <n v="0"/>
    <s v="C1314676285"/>
    <n v="0"/>
    <n v="3477438.49"/>
    <n v="1"/>
    <n v="0"/>
    <n v="19"/>
    <n v="0"/>
    <n v="1"/>
    <n v="3477438.49"/>
    <n v="5"/>
    <n v="4"/>
    <n v="3.8000000000000003"/>
    <x v="2"/>
  </r>
  <r>
    <n v="19"/>
    <x v="1"/>
    <n v="122101.57"/>
    <s v="C149845822"/>
    <n v="0"/>
    <n v="0"/>
    <s v="C1200316948"/>
    <n v="0"/>
    <n v="639940.19999999995"/>
    <n v="1"/>
    <n v="0"/>
    <n v="19"/>
    <n v="0"/>
    <n v="0"/>
    <n v="0"/>
    <n v="4"/>
    <n v="4"/>
    <n v="3.2"/>
    <x v="2"/>
  </r>
  <r>
    <n v="19"/>
    <x v="0"/>
    <n v="161939.35999999999"/>
    <s v="C263177591"/>
    <n v="161939.35999999999"/>
    <n v="0"/>
    <s v="C94435408"/>
    <n v="0"/>
    <n v="0"/>
    <n v="1"/>
    <n v="0"/>
    <n v="19"/>
    <n v="0"/>
    <n v="1"/>
    <n v="161939.35999999999"/>
    <n v="4"/>
    <n v="5"/>
    <n v="3.6"/>
    <x v="2"/>
  </r>
  <r>
    <n v="19"/>
    <x v="1"/>
    <n v="161939.35999999999"/>
    <s v="C1993475473"/>
    <n v="161939.35999999999"/>
    <n v="0"/>
    <s v="C1832323051"/>
    <n v="628935.02"/>
    <n v="851972.34"/>
    <n v="1"/>
    <n v="0"/>
    <n v="19"/>
    <n v="0"/>
    <n v="1"/>
    <n v="161939.35999999999"/>
    <n v="4"/>
    <n v="4"/>
    <n v="3.3000000000000003"/>
    <x v="2"/>
  </r>
  <r>
    <n v="19"/>
    <x v="0"/>
    <n v="10000000"/>
    <s v="C416779475"/>
    <n v="11900000"/>
    <n v="1861008.32"/>
    <s v="C380259496"/>
    <n v="0"/>
    <n v="0"/>
    <n v="1"/>
    <n v="0"/>
    <n v="19"/>
    <n v="1"/>
    <n v="0"/>
    <n v="10038991.68"/>
    <n v="5"/>
    <n v="5"/>
    <n v="4.0999999999999996"/>
    <x v="2"/>
  </r>
  <r>
    <n v="19"/>
    <x v="1"/>
    <n v="10000000"/>
    <s v="C2050703310"/>
    <n v="10000000"/>
    <n v="0"/>
    <s v="C1622860679"/>
    <n v="504326.62"/>
    <n v="10300000"/>
    <n v="1"/>
    <n v="0"/>
    <n v="19"/>
    <n v="1"/>
    <n v="1"/>
    <n v="10000000"/>
    <n v="5"/>
    <n v="4"/>
    <n v="3.9000000000000004"/>
    <x v="2"/>
  </r>
  <r>
    <n v="19"/>
    <x v="0"/>
    <n v="1861008.32"/>
    <s v="C1990303942"/>
    <n v="1861008.32"/>
    <n v="0"/>
    <s v="C1308678191"/>
    <n v="0"/>
    <n v="0"/>
    <n v="1"/>
    <n v="0"/>
    <n v="19"/>
    <n v="0"/>
    <n v="1"/>
    <n v="1861008.32"/>
    <n v="5"/>
    <n v="5"/>
    <n v="4.0999999999999996"/>
    <x v="2"/>
  </r>
  <r>
    <n v="19"/>
    <x v="1"/>
    <n v="1861008.32"/>
    <s v="C1718961034"/>
    <n v="1861008.32"/>
    <n v="0"/>
    <s v="C714051433"/>
    <n v="0"/>
    <n v="1789942.62"/>
    <n v="1"/>
    <n v="0"/>
    <n v="19"/>
    <n v="0"/>
    <n v="1"/>
    <n v="1861008.32"/>
    <n v="5"/>
    <n v="4"/>
    <n v="3.8000000000000003"/>
    <x v="2"/>
  </r>
  <r>
    <n v="20"/>
    <x v="0"/>
    <n v="16614.82"/>
    <s v="C2080146129"/>
    <n v="16614.82"/>
    <n v="0"/>
    <s v="C748889213"/>
    <n v="0"/>
    <n v="0"/>
    <n v="1"/>
    <n v="0"/>
    <n v="20"/>
    <n v="0"/>
    <n v="1"/>
    <n v="16614.82"/>
    <n v="2"/>
    <n v="5"/>
    <n v="2.6"/>
    <x v="0"/>
  </r>
  <r>
    <n v="20"/>
    <x v="1"/>
    <n v="16614.82"/>
    <s v="C530844914"/>
    <n v="16614.82"/>
    <n v="0"/>
    <s v="C1614121155"/>
    <n v="904409.29"/>
    <n v="921024.11"/>
    <n v="1"/>
    <n v="0"/>
    <n v="20"/>
    <n v="0"/>
    <n v="1"/>
    <n v="16614.82"/>
    <n v="2"/>
    <n v="4"/>
    <n v="2.3000000000000003"/>
    <x v="0"/>
  </r>
  <r>
    <n v="20"/>
    <x v="0"/>
    <n v="448025.06"/>
    <s v="C1976637754"/>
    <n v="448025.06"/>
    <n v="0"/>
    <s v="C4020115"/>
    <n v="0"/>
    <n v="0"/>
    <n v="1"/>
    <n v="0"/>
    <n v="20"/>
    <n v="0"/>
    <n v="1"/>
    <n v="448025.06"/>
    <n v="5"/>
    <n v="5"/>
    <n v="4.0999999999999996"/>
    <x v="2"/>
  </r>
  <r>
    <n v="20"/>
    <x v="1"/>
    <n v="448025.06"/>
    <s v="C348303891"/>
    <n v="448025.06"/>
    <n v="0"/>
    <s v="C1432596631"/>
    <n v="71679.929999999993"/>
    <n v="519704.99"/>
    <n v="1"/>
    <n v="0"/>
    <n v="20"/>
    <n v="0"/>
    <n v="1"/>
    <n v="448025.06"/>
    <n v="5"/>
    <n v="4"/>
    <n v="3.8000000000000003"/>
    <x v="2"/>
  </r>
  <r>
    <n v="21"/>
    <x v="0"/>
    <n v="785323"/>
    <s v="C1204079316"/>
    <n v="785323"/>
    <n v="0"/>
    <s v="C637091706"/>
    <n v="0"/>
    <n v="0"/>
    <n v="1"/>
    <n v="0"/>
    <n v="21"/>
    <n v="0"/>
    <n v="1"/>
    <n v="785323"/>
    <n v="5"/>
    <n v="5"/>
    <n v="4.0999999999999996"/>
    <x v="2"/>
  </r>
  <r>
    <n v="21"/>
    <x v="1"/>
    <n v="785323"/>
    <s v="C1794798581"/>
    <n v="785323"/>
    <n v="0"/>
    <s v="C801984124"/>
    <n v="803839.25"/>
    <n v="1720783.92"/>
    <n v="1"/>
    <n v="0"/>
    <n v="21"/>
    <n v="0"/>
    <n v="1"/>
    <n v="785323"/>
    <n v="5"/>
    <n v="4"/>
    <n v="3.8000000000000003"/>
    <x v="2"/>
  </r>
  <r>
    <n v="21"/>
    <x v="0"/>
    <n v="158299.34"/>
    <s v="C278180302"/>
    <n v="158299.34"/>
    <n v="0"/>
    <s v="C1551346623"/>
    <n v="0"/>
    <n v="0"/>
    <n v="1"/>
    <n v="0"/>
    <n v="21"/>
    <n v="0"/>
    <n v="1"/>
    <n v="158299.34"/>
    <n v="4"/>
    <n v="5"/>
    <n v="3.6"/>
    <x v="2"/>
  </r>
  <r>
    <n v="21"/>
    <x v="1"/>
    <n v="158299.34"/>
    <s v="C179332971"/>
    <n v="158299.34"/>
    <n v="0"/>
    <s v="C631110333"/>
    <n v="36152.54"/>
    <n v="271369.74"/>
    <n v="1"/>
    <n v="0"/>
    <n v="21"/>
    <n v="0"/>
    <n v="1"/>
    <n v="158299.34"/>
    <n v="4"/>
    <n v="4"/>
    <n v="3.3000000000000003"/>
    <x v="2"/>
  </r>
  <r>
    <n v="21"/>
    <x v="1"/>
    <n v="23292.3"/>
    <s v="C1861214292"/>
    <n v="0"/>
    <n v="0"/>
    <s v="C1834461593"/>
    <n v="392364.62"/>
    <n v="415656.92"/>
    <n v="1"/>
    <n v="0"/>
    <n v="21"/>
    <n v="0"/>
    <n v="0"/>
    <n v="0"/>
    <n v="2"/>
    <n v="4"/>
    <n v="2.2000000000000002"/>
    <x v="0"/>
  </r>
  <r>
    <n v="22"/>
    <x v="0"/>
    <n v="346704.55"/>
    <s v="C1332180070"/>
    <n v="346704.55"/>
    <n v="0"/>
    <s v="C2027621451"/>
    <n v="0"/>
    <n v="0"/>
    <n v="1"/>
    <n v="0"/>
    <n v="22"/>
    <n v="0"/>
    <n v="1"/>
    <n v="346704.55"/>
    <n v="5"/>
    <n v="5"/>
    <n v="4.0999999999999996"/>
    <x v="2"/>
  </r>
  <r>
    <n v="22"/>
    <x v="1"/>
    <n v="346704.55"/>
    <s v="C54851371"/>
    <n v="346704.55"/>
    <n v="0"/>
    <s v="C943084296"/>
    <n v="513994.79"/>
    <n v="860699.34"/>
    <n v="1"/>
    <n v="0"/>
    <n v="22"/>
    <n v="0"/>
    <n v="1"/>
    <n v="346704.55"/>
    <n v="5"/>
    <n v="4"/>
    <n v="3.8000000000000003"/>
    <x v="2"/>
  </r>
  <r>
    <n v="22"/>
    <x v="0"/>
    <n v="461509.86"/>
    <s v="C1765744035"/>
    <n v="461509.86"/>
    <n v="0"/>
    <s v="C788887602"/>
    <n v="0"/>
    <n v="0"/>
    <n v="1"/>
    <n v="0"/>
    <n v="22"/>
    <n v="0"/>
    <n v="1"/>
    <n v="461509.86"/>
    <n v="5"/>
    <n v="5"/>
    <n v="4.0999999999999996"/>
    <x v="2"/>
  </r>
  <r>
    <n v="22"/>
    <x v="1"/>
    <n v="461509.86"/>
    <s v="C2141057802"/>
    <n v="461509.86"/>
    <n v="0"/>
    <s v="C802885021"/>
    <n v="302583.81"/>
    <n v="764093.67"/>
    <n v="1"/>
    <n v="0"/>
    <n v="22"/>
    <n v="0"/>
    <n v="1"/>
    <n v="461509.86"/>
    <n v="5"/>
    <n v="4"/>
    <n v="3.8000000000000003"/>
    <x v="2"/>
  </r>
  <r>
    <n v="22"/>
    <x v="0"/>
    <n v="37100.29"/>
    <s v="C362085592"/>
    <n v="37100.29"/>
    <n v="0"/>
    <s v="C1652057111"/>
    <n v="0"/>
    <n v="0"/>
    <n v="1"/>
    <n v="0"/>
    <n v="22"/>
    <n v="0"/>
    <n v="1"/>
    <n v="37100.29"/>
    <n v="2"/>
    <n v="5"/>
    <n v="2.6"/>
    <x v="0"/>
  </r>
  <r>
    <n v="22"/>
    <x v="1"/>
    <n v="37100.29"/>
    <s v="C142707413"/>
    <n v="37100.29"/>
    <n v="0"/>
    <s v="C63948986"/>
    <n v="433212.41"/>
    <n v="470312.7"/>
    <n v="1"/>
    <n v="0"/>
    <n v="22"/>
    <n v="0"/>
    <n v="1"/>
    <n v="37100.29"/>
    <n v="2"/>
    <n v="4"/>
    <n v="2.3000000000000003"/>
    <x v="0"/>
  </r>
  <r>
    <n v="22"/>
    <x v="0"/>
    <n v="235512.2"/>
    <s v="C480136801"/>
    <n v="235512.2"/>
    <n v="0"/>
    <s v="C160106315"/>
    <n v="0"/>
    <n v="0"/>
    <n v="1"/>
    <n v="0"/>
    <n v="22"/>
    <n v="0"/>
    <n v="1"/>
    <n v="235512.2"/>
    <n v="5"/>
    <n v="5"/>
    <n v="4.0999999999999996"/>
    <x v="2"/>
  </r>
  <r>
    <n v="22"/>
    <x v="1"/>
    <n v="235512.2"/>
    <s v="C1956707614"/>
    <n v="235512.2"/>
    <n v="0"/>
    <s v="C1481851679"/>
    <n v="8490637.2100000009"/>
    <n v="9272647.0899999999"/>
    <n v="1"/>
    <n v="0"/>
    <n v="22"/>
    <n v="0"/>
    <n v="1"/>
    <n v="235512.2"/>
    <n v="5"/>
    <n v="4"/>
    <n v="3.8000000000000003"/>
    <x v="2"/>
  </r>
  <r>
    <n v="22"/>
    <x v="0"/>
    <n v="2068118.36"/>
    <s v="C1472367087"/>
    <n v="2068118.36"/>
    <n v="0"/>
    <s v="C52390890"/>
    <n v="0"/>
    <n v="0"/>
    <n v="1"/>
    <n v="0"/>
    <n v="22"/>
    <n v="0"/>
    <n v="1"/>
    <n v="2068118.36"/>
    <n v="5"/>
    <n v="5"/>
    <n v="4.0999999999999996"/>
    <x v="2"/>
  </r>
  <r>
    <n v="22"/>
    <x v="1"/>
    <n v="2068118.36"/>
    <s v="C1672125863"/>
    <n v="2068118.36"/>
    <n v="0"/>
    <s v="C559485820"/>
    <n v="3054285.45"/>
    <n v="5122403.8099999996"/>
    <n v="1"/>
    <n v="0"/>
    <n v="22"/>
    <n v="0"/>
    <n v="1"/>
    <n v="2068118.36"/>
    <n v="5"/>
    <n v="4"/>
    <n v="3.8000000000000003"/>
    <x v="2"/>
  </r>
  <r>
    <n v="22"/>
    <x v="0"/>
    <n v="74804.240000000005"/>
    <s v="C1239771149"/>
    <n v="74804.240000000005"/>
    <n v="0"/>
    <s v="C1699565892"/>
    <n v="0"/>
    <n v="0"/>
    <n v="1"/>
    <n v="0"/>
    <n v="22"/>
    <n v="0"/>
    <n v="1"/>
    <n v="74804.240000000005"/>
    <n v="3"/>
    <n v="5"/>
    <n v="3.1"/>
    <x v="2"/>
  </r>
  <r>
    <n v="22"/>
    <x v="1"/>
    <n v="74804.240000000005"/>
    <s v="C1683055902"/>
    <n v="74804.240000000005"/>
    <n v="0"/>
    <s v="C313857348"/>
    <n v="0"/>
    <n v="74804.240000000005"/>
    <n v="1"/>
    <n v="0"/>
    <n v="22"/>
    <n v="0"/>
    <n v="1"/>
    <n v="74804.240000000005"/>
    <n v="3"/>
    <n v="4"/>
    <n v="2.8000000000000003"/>
    <x v="0"/>
  </r>
  <r>
    <n v="22"/>
    <x v="0"/>
    <n v="489767.32"/>
    <s v="C869780206"/>
    <n v="489767.32"/>
    <n v="0"/>
    <s v="C926230389"/>
    <n v="0"/>
    <n v="0"/>
    <n v="1"/>
    <n v="0"/>
    <n v="22"/>
    <n v="0"/>
    <n v="1"/>
    <n v="489767.32"/>
    <n v="5"/>
    <n v="5"/>
    <n v="4.0999999999999996"/>
    <x v="2"/>
  </r>
  <r>
    <n v="22"/>
    <x v="1"/>
    <n v="489767.32"/>
    <s v="C480109552"/>
    <n v="489767.32"/>
    <n v="0"/>
    <s v="C720599914"/>
    <n v="0"/>
    <n v="489767.32"/>
    <n v="1"/>
    <n v="0"/>
    <n v="22"/>
    <n v="0"/>
    <n v="1"/>
    <n v="489767.32"/>
    <n v="5"/>
    <n v="4"/>
    <n v="3.8000000000000003"/>
    <x v="2"/>
  </r>
  <r>
    <n v="22"/>
    <x v="0"/>
    <n v="379878"/>
    <s v="C336424141"/>
    <n v="379878"/>
    <n v="0"/>
    <s v="C404961694"/>
    <n v="0"/>
    <n v="0"/>
    <n v="1"/>
    <n v="0"/>
    <n v="22"/>
    <n v="0"/>
    <n v="1"/>
    <n v="379878"/>
    <n v="5"/>
    <n v="5"/>
    <n v="4.0999999999999996"/>
    <x v="2"/>
  </r>
  <r>
    <n v="22"/>
    <x v="1"/>
    <n v="379878"/>
    <s v="C1495269307"/>
    <n v="379878"/>
    <n v="0"/>
    <s v="C475345362"/>
    <n v="1301414.19"/>
    <n v="1681292.19"/>
    <n v="1"/>
    <n v="0"/>
    <n v="22"/>
    <n v="0"/>
    <n v="1"/>
    <n v="379878"/>
    <n v="5"/>
    <n v="4"/>
    <n v="3.8000000000000003"/>
    <x v="2"/>
  </r>
  <r>
    <n v="22"/>
    <x v="1"/>
    <n v="89571.46"/>
    <s v="C1022920965"/>
    <n v="4505.6000000000004"/>
    <n v="0"/>
    <s v="C1460548505"/>
    <n v="1929428.01"/>
    <n v="2018999.47"/>
    <n v="1"/>
    <n v="0"/>
    <n v="22"/>
    <n v="0"/>
    <n v="1"/>
    <n v="4505.6000000000004"/>
    <n v="3"/>
    <n v="4"/>
    <n v="2.8000000000000003"/>
    <x v="0"/>
  </r>
  <r>
    <n v="22"/>
    <x v="0"/>
    <n v="1258956.71"/>
    <s v="C1209224134"/>
    <n v="1258956.71"/>
    <n v="0"/>
    <s v="C314012937"/>
    <n v="0"/>
    <n v="0"/>
    <n v="1"/>
    <n v="0"/>
    <n v="22"/>
    <n v="0"/>
    <n v="1"/>
    <n v="1258956.71"/>
    <n v="5"/>
    <n v="5"/>
    <n v="4.0999999999999996"/>
    <x v="2"/>
  </r>
  <r>
    <n v="22"/>
    <x v="1"/>
    <n v="1258956.71"/>
    <s v="C673988903"/>
    <n v="1258956.71"/>
    <n v="0"/>
    <s v="C833477645"/>
    <n v="4736010.72"/>
    <n v="5994967.4299999997"/>
    <n v="1"/>
    <n v="0"/>
    <n v="22"/>
    <n v="0"/>
    <n v="1"/>
    <n v="1258956.71"/>
    <n v="5"/>
    <n v="4"/>
    <n v="3.8000000000000003"/>
    <x v="2"/>
  </r>
  <r>
    <n v="22"/>
    <x v="0"/>
    <n v="77773.14"/>
    <s v="C834571675"/>
    <n v="77773.14"/>
    <n v="0"/>
    <s v="C312865842"/>
    <n v="0"/>
    <n v="0"/>
    <n v="1"/>
    <n v="0"/>
    <n v="22"/>
    <n v="0"/>
    <n v="1"/>
    <n v="77773.14"/>
    <n v="3"/>
    <n v="5"/>
    <n v="3.1"/>
    <x v="2"/>
  </r>
  <r>
    <n v="22"/>
    <x v="1"/>
    <n v="77773.14"/>
    <s v="C598573300"/>
    <n v="77773.14"/>
    <n v="0"/>
    <s v="C2060664104"/>
    <n v="1853403.61"/>
    <n v="1931176.75"/>
    <n v="1"/>
    <n v="0"/>
    <n v="22"/>
    <n v="0"/>
    <n v="1"/>
    <n v="77773.14"/>
    <n v="3"/>
    <n v="4"/>
    <n v="2.8000000000000003"/>
    <x v="0"/>
  </r>
  <r>
    <n v="22"/>
    <x v="0"/>
    <n v="239646.72"/>
    <s v="C1977304181"/>
    <n v="239646.72"/>
    <n v="0"/>
    <s v="C1053513851"/>
    <n v="0"/>
    <n v="0"/>
    <n v="1"/>
    <n v="0"/>
    <n v="22"/>
    <n v="0"/>
    <n v="1"/>
    <n v="239646.72"/>
    <n v="5"/>
    <n v="5"/>
    <n v="4.0999999999999996"/>
    <x v="2"/>
  </r>
  <r>
    <n v="22"/>
    <x v="1"/>
    <n v="239646.72"/>
    <s v="C663158205"/>
    <n v="239646.72"/>
    <n v="0"/>
    <s v="C1104558647"/>
    <n v="2208970.2599999998"/>
    <n v="2448616.98"/>
    <n v="1"/>
    <n v="0"/>
    <n v="22"/>
    <n v="0"/>
    <n v="1"/>
    <n v="239646.72"/>
    <n v="5"/>
    <n v="4"/>
    <n v="3.8000000000000003"/>
    <x v="2"/>
  </r>
  <r>
    <n v="23"/>
    <x v="0"/>
    <n v="146127.1"/>
    <s v="C1866778945"/>
    <n v="146127.1"/>
    <n v="0"/>
    <s v="C225469649"/>
    <n v="0"/>
    <n v="0"/>
    <n v="1"/>
    <n v="0"/>
    <n v="23"/>
    <n v="0"/>
    <n v="1"/>
    <n v="146127.1"/>
    <n v="4"/>
    <n v="5"/>
    <n v="3.6"/>
    <x v="2"/>
  </r>
  <r>
    <n v="23"/>
    <x v="1"/>
    <n v="146127.1"/>
    <s v="C785373587"/>
    <n v="146127.1"/>
    <n v="0"/>
    <s v="C1824914593"/>
    <n v="177874.39"/>
    <n v="324001.49"/>
    <n v="1"/>
    <n v="0"/>
    <n v="23"/>
    <n v="0"/>
    <n v="1"/>
    <n v="146127.1"/>
    <n v="4"/>
    <n v="4"/>
    <n v="3.3000000000000003"/>
    <x v="2"/>
  </r>
  <r>
    <n v="24"/>
    <x v="0"/>
    <n v="291305.98"/>
    <s v="C71665357"/>
    <n v="291305.98"/>
    <n v="0"/>
    <s v="C1607901570"/>
    <n v="0"/>
    <n v="0"/>
    <n v="1"/>
    <n v="0"/>
    <n v="0"/>
    <n v="0"/>
    <n v="1"/>
    <n v="291305.98"/>
    <n v="5"/>
    <n v="5"/>
    <n v="4.0999999999999996"/>
    <x v="2"/>
  </r>
  <r>
    <n v="24"/>
    <x v="1"/>
    <n v="291305.98"/>
    <s v="C1962370851"/>
    <n v="291305.98"/>
    <n v="0"/>
    <s v="C1560190757"/>
    <n v="954554.82"/>
    <n v="1247963.68"/>
    <n v="1"/>
    <n v="0"/>
    <n v="0"/>
    <n v="0"/>
    <n v="1"/>
    <n v="291305.98"/>
    <n v="5"/>
    <n v="4"/>
    <n v="3.8000000000000003"/>
    <x v="2"/>
  </r>
  <r>
    <n v="24"/>
    <x v="0"/>
    <n v="986876.27"/>
    <s v="C1702714599"/>
    <n v="986876.27"/>
    <n v="0"/>
    <s v="C83459379"/>
    <n v="0"/>
    <n v="0"/>
    <n v="1"/>
    <n v="0"/>
    <n v="0"/>
    <n v="0"/>
    <n v="1"/>
    <n v="986876.27"/>
    <n v="5"/>
    <n v="5"/>
    <n v="4.0999999999999996"/>
    <x v="2"/>
  </r>
  <r>
    <n v="24"/>
    <x v="1"/>
    <n v="986876.27"/>
    <s v="C1896884992"/>
    <n v="986876.27"/>
    <n v="0"/>
    <s v="C309078889"/>
    <n v="57853.96"/>
    <n v="1044730.24"/>
    <n v="1"/>
    <n v="0"/>
    <n v="0"/>
    <n v="0"/>
    <n v="1"/>
    <n v="986876.27"/>
    <n v="5"/>
    <n v="4"/>
    <n v="3.8000000000000003"/>
    <x v="2"/>
  </r>
  <r>
    <n v="24"/>
    <x v="0"/>
    <n v="6844.73"/>
    <s v="C997222163"/>
    <n v="6844.73"/>
    <n v="0"/>
    <s v="C761549792"/>
    <n v="0"/>
    <n v="0"/>
    <n v="1"/>
    <n v="0"/>
    <n v="0"/>
    <n v="0"/>
    <n v="1"/>
    <n v="6844.73"/>
    <n v="1"/>
    <n v="5"/>
    <n v="2.1"/>
    <x v="0"/>
  </r>
  <r>
    <n v="24"/>
    <x v="1"/>
    <n v="6844.73"/>
    <s v="C2006451816"/>
    <n v="6844.73"/>
    <n v="0"/>
    <s v="C1380348902"/>
    <n v="264100.7"/>
    <n v="270945.42"/>
    <n v="1"/>
    <n v="0"/>
    <n v="0"/>
    <n v="0"/>
    <n v="1"/>
    <n v="6844.73"/>
    <n v="1"/>
    <n v="4"/>
    <n v="1.8"/>
    <x v="1"/>
  </r>
  <r>
    <n v="25"/>
    <x v="0"/>
    <n v="8383.17"/>
    <s v="C282822245"/>
    <n v="8383.17"/>
    <n v="0"/>
    <s v="C1731493383"/>
    <n v="0"/>
    <n v="0"/>
    <n v="1"/>
    <n v="0"/>
    <n v="1"/>
    <n v="0"/>
    <n v="1"/>
    <n v="8383.17"/>
    <n v="1"/>
    <n v="5"/>
    <n v="2.1"/>
    <x v="0"/>
  </r>
  <r>
    <n v="25"/>
    <x v="1"/>
    <n v="8383.17"/>
    <s v="C644686763"/>
    <n v="8383.17"/>
    <n v="0"/>
    <s v="C980380973"/>
    <n v="6577262.6399999997"/>
    <n v="6585645.8099999996"/>
    <n v="1"/>
    <n v="0"/>
    <n v="1"/>
    <n v="0"/>
    <n v="1"/>
    <n v="8383.17"/>
    <n v="1"/>
    <n v="4"/>
    <n v="1.8"/>
    <x v="1"/>
  </r>
  <r>
    <n v="25"/>
    <x v="0"/>
    <n v="781953.11"/>
    <s v="C763225876"/>
    <n v="781953.11"/>
    <n v="0"/>
    <s v="C1927695058"/>
    <n v="0"/>
    <n v="0"/>
    <n v="1"/>
    <n v="0"/>
    <n v="1"/>
    <n v="0"/>
    <n v="1"/>
    <n v="781953.11"/>
    <n v="5"/>
    <n v="5"/>
    <n v="4.0999999999999996"/>
    <x v="2"/>
  </r>
  <r>
    <n v="25"/>
    <x v="1"/>
    <n v="781953.11"/>
    <s v="C1665079678"/>
    <n v="781953.11"/>
    <n v="0"/>
    <s v="C1566512642"/>
    <n v="0"/>
    <n v="781953.11"/>
    <n v="1"/>
    <n v="0"/>
    <n v="1"/>
    <n v="0"/>
    <n v="1"/>
    <n v="781953.11"/>
    <n v="5"/>
    <n v="4"/>
    <n v="3.8000000000000003"/>
    <x v="2"/>
  </r>
  <r>
    <n v="25"/>
    <x v="0"/>
    <n v="217231"/>
    <s v="C1527375688"/>
    <n v="217231"/>
    <n v="0"/>
    <s v="C658289217"/>
    <n v="0"/>
    <n v="0"/>
    <n v="1"/>
    <n v="0"/>
    <n v="1"/>
    <n v="0"/>
    <n v="1"/>
    <n v="217231"/>
    <n v="5"/>
    <n v="5"/>
    <n v="4.0999999999999996"/>
    <x v="2"/>
  </r>
  <r>
    <n v="25"/>
    <x v="1"/>
    <n v="217231"/>
    <s v="C1847744332"/>
    <n v="217231"/>
    <n v="0"/>
    <s v="C1181708889"/>
    <n v="7236671.0999999996"/>
    <n v="7453902.0999999996"/>
    <n v="1"/>
    <n v="0"/>
    <n v="1"/>
    <n v="0"/>
    <n v="1"/>
    <n v="217231"/>
    <n v="5"/>
    <n v="4"/>
    <n v="3.8000000000000003"/>
    <x v="2"/>
  </r>
  <r>
    <n v="25"/>
    <x v="0"/>
    <n v="44829.81"/>
    <s v="C589374615"/>
    <n v="44829.81"/>
    <n v="0"/>
    <s v="C1612426642"/>
    <n v="0"/>
    <n v="0"/>
    <n v="1"/>
    <n v="0"/>
    <n v="1"/>
    <n v="0"/>
    <n v="1"/>
    <n v="44829.81"/>
    <n v="2"/>
    <n v="5"/>
    <n v="2.6"/>
    <x v="0"/>
  </r>
  <r>
    <n v="25"/>
    <x v="1"/>
    <n v="44829.81"/>
    <s v="C1812532920"/>
    <n v="44829.81"/>
    <n v="0"/>
    <s v="C1135869087"/>
    <n v="301552.31"/>
    <n v="346382.12"/>
    <n v="1"/>
    <n v="0"/>
    <n v="1"/>
    <n v="0"/>
    <n v="1"/>
    <n v="44829.81"/>
    <n v="2"/>
    <n v="4"/>
    <n v="2.3000000000000003"/>
    <x v="0"/>
  </r>
  <r>
    <n v="25"/>
    <x v="0"/>
    <n v="296333.53999999998"/>
    <s v="C1473328942"/>
    <n v="296333.53999999998"/>
    <n v="0"/>
    <s v="C1650053869"/>
    <n v="0"/>
    <n v="0"/>
    <n v="1"/>
    <n v="0"/>
    <n v="1"/>
    <n v="0"/>
    <n v="1"/>
    <n v="296333.53999999998"/>
    <n v="5"/>
    <n v="5"/>
    <n v="4.0999999999999996"/>
    <x v="2"/>
  </r>
  <r>
    <n v="25"/>
    <x v="1"/>
    <n v="296333.53999999998"/>
    <s v="C1938399138"/>
    <n v="296333.53999999998"/>
    <n v="0"/>
    <s v="C257884050"/>
    <n v="3355664.68"/>
    <n v="3651998.22"/>
    <n v="1"/>
    <n v="0"/>
    <n v="1"/>
    <n v="0"/>
    <n v="1"/>
    <n v="296333.53999999998"/>
    <n v="5"/>
    <n v="4"/>
    <n v="3.8000000000000003"/>
    <x v="2"/>
  </r>
  <r>
    <n v="25"/>
    <x v="0"/>
    <n v="18126.95"/>
    <s v="C556483673"/>
    <n v="18126.95"/>
    <n v="0"/>
    <s v="C946378506"/>
    <n v="0"/>
    <n v="0"/>
    <n v="1"/>
    <n v="0"/>
    <n v="1"/>
    <n v="0"/>
    <n v="1"/>
    <n v="18126.95"/>
    <n v="2"/>
    <n v="5"/>
    <n v="2.6"/>
    <x v="0"/>
  </r>
  <r>
    <n v="25"/>
    <x v="1"/>
    <n v="18126.95"/>
    <s v="C57087263"/>
    <n v="18126.95"/>
    <n v="0"/>
    <s v="C1574807586"/>
    <n v="0"/>
    <n v="18126.95"/>
    <n v="1"/>
    <n v="0"/>
    <n v="1"/>
    <n v="0"/>
    <n v="1"/>
    <n v="18126.95"/>
    <n v="2"/>
    <n v="4"/>
    <n v="2.3000000000000003"/>
    <x v="0"/>
  </r>
  <r>
    <n v="25"/>
    <x v="0"/>
    <n v="249159.26"/>
    <s v="C862942009"/>
    <n v="249159.26"/>
    <n v="0"/>
    <s v="C1488413166"/>
    <n v="0"/>
    <n v="0"/>
    <n v="1"/>
    <n v="0"/>
    <n v="1"/>
    <n v="0"/>
    <n v="1"/>
    <n v="249159.26"/>
    <n v="5"/>
    <n v="5"/>
    <n v="4.0999999999999996"/>
    <x v="2"/>
  </r>
  <r>
    <n v="25"/>
    <x v="1"/>
    <n v="249159.26"/>
    <s v="C1962232117"/>
    <n v="249159.26"/>
    <n v="0"/>
    <s v="C750661006"/>
    <n v="285997.40999999997"/>
    <n v="535156.67000000004"/>
    <n v="1"/>
    <n v="0"/>
    <n v="1"/>
    <n v="0"/>
    <n v="1"/>
    <n v="249159.26"/>
    <n v="5"/>
    <n v="4"/>
    <n v="3.8000000000000003"/>
    <x v="2"/>
  </r>
  <r>
    <n v="25"/>
    <x v="0"/>
    <n v="1698263.69"/>
    <s v="C1865185181"/>
    <n v="1698263.69"/>
    <n v="0"/>
    <s v="C388097316"/>
    <n v="0"/>
    <n v="0"/>
    <n v="1"/>
    <n v="0"/>
    <n v="1"/>
    <n v="0"/>
    <n v="1"/>
    <n v="1698263.69"/>
    <n v="5"/>
    <n v="5"/>
    <n v="4.0999999999999996"/>
    <x v="2"/>
  </r>
  <r>
    <n v="25"/>
    <x v="1"/>
    <n v="1698263.69"/>
    <s v="C902520408"/>
    <n v="1698263.69"/>
    <n v="0"/>
    <s v="C1047966944"/>
    <n v="0"/>
    <n v="1698263.69"/>
    <n v="1"/>
    <n v="0"/>
    <n v="1"/>
    <n v="0"/>
    <n v="1"/>
    <n v="1698263.69"/>
    <n v="5"/>
    <n v="4"/>
    <n v="3.8000000000000003"/>
    <x v="2"/>
  </r>
  <r>
    <n v="25"/>
    <x v="0"/>
    <n v="802382.45"/>
    <s v="C127098115"/>
    <n v="802382.45"/>
    <n v="0"/>
    <s v="C1570699013"/>
    <n v="0"/>
    <n v="0"/>
    <n v="1"/>
    <n v="0"/>
    <n v="1"/>
    <n v="0"/>
    <n v="1"/>
    <n v="802382.45"/>
    <n v="5"/>
    <n v="5"/>
    <n v="4.0999999999999996"/>
    <x v="2"/>
  </r>
  <r>
    <n v="25"/>
    <x v="1"/>
    <n v="802382.45"/>
    <s v="C1343455954"/>
    <n v="802382.45"/>
    <n v="0"/>
    <s v="C1045004287"/>
    <n v="0"/>
    <n v="802382.45"/>
    <n v="1"/>
    <n v="0"/>
    <n v="1"/>
    <n v="0"/>
    <n v="1"/>
    <n v="802382.45"/>
    <n v="5"/>
    <n v="4"/>
    <n v="3.8000000000000003"/>
    <x v="2"/>
  </r>
  <r>
    <n v="26"/>
    <x v="0"/>
    <n v="37065.550000000003"/>
    <s v="C1952239554"/>
    <n v="37065.550000000003"/>
    <n v="0"/>
    <s v="C399460584"/>
    <n v="0"/>
    <n v="0"/>
    <n v="1"/>
    <n v="0"/>
    <n v="2"/>
    <n v="0"/>
    <n v="1"/>
    <n v="37065.550000000003"/>
    <n v="2"/>
    <n v="5"/>
    <n v="2.6"/>
    <x v="0"/>
  </r>
  <r>
    <n v="26"/>
    <x v="1"/>
    <n v="37065.550000000003"/>
    <s v="C281192595"/>
    <n v="37065.550000000003"/>
    <n v="0"/>
    <s v="C514736179"/>
    <n v="1396327.66"/>
    <n v="1433393.21"/>
    <n v="1"/>
    <n v="0"/>
    <n v="2"/>
    <n v="0"/>
    <n v="1"/>
    <n v="37065.550000000003"/>
    <n v="2"/>
    <n v="4"/>
    <n v="2.3000000000000003"/>
    <x v="0"/>
  </r>
  <r>
    <n v="26"/>
    <x v="0"/>
    <n v="369186.87"/>
    <s v="C1879175902"/>
    <n v="369186.87"/>
    <n v="0"/>
    <s v="C900709443"/>
    <n v="0"/>
    <n v="0"/>
    <n v="1"/>
    <n v="0"/>
    <n v="2"/>
    <n v="0"/>
    <n v="1"/>
    <n v="369186.87"/>
    <n v="5"/>
    <n v="5"/>
    <n v="4.0999999999999996"/>
    <x v="2"/>
  </r>
  <r>
    <n v="26"/>
    <x v="1"/>
    <n v="369186.87"/>
    <s v="C1121219802"/>
    <n v="369186.87"/>
    <n v="0"/>
    <s v="C418751321"/>
    <n v="36224.11"/>
    <n v="405410.97"/>
    <n v="1"/>
    <n v="0"/>
    <n v="2"/>
    <n v="0"/>
    <n v="1"/>
    <n v="369186.87"/>
    <n v="5"/>
    <n v="4"/>
    <n v="3.8000000000000003"/>
    <x v="2"/>
  </r>
  <r>
    <n v="26"/>
    <x v="0"/>
    <n v="78741.64"/>
    <s v="C1482114822"/>
    <n v="78741.64"/>
    <n v="0"/>
    <s v="C2123466960"/>
    <n v="0"/>
    <n v="0"/>
    <n v="1"/>
    <n v="0"/>
    <n v="2"/>
    <n v="0"/>
    <n v="1"/>
    <n v="78741.64"/>
    <n v="3"/>
    <n v="5"/>
    <n v="3.1"/>
    <x v="2"/>
  </r>
  <r>
    <n v="26"/>
    <x v="1"/>
    <n v="78741.64"/>
    <s v="C1993214834"/>
    <n v="78741.64"/>
    <n v="0"/>
    <s v="C1402138462"/>
    <n v="48628.52"/>
    <n v="127370.16"/>
    <n v="1"/>
    <n v="0"/>
    <n v="2"/>
    <n v="0"/>
    <n v="1"/>
    <n v="78741.64"/>
    <n v="3"/>
    <n v="4"/>
    <n v="2.8000000000000003"/>
    <x v="0"/>
  </r>
  <r>
    <n v="26"/>
    <x v="0"/>
    <n v="1646181.09"/>
    <s v="C700083141"/>
    <n v="1646181.09"/>
    <n v="0"/>
    <s v="C1359428492"/>
    <n v="0"/>
    <n v="0"/>
    <n v="1"/>
    <n v="0"/>
    <n v="2"/>
    <n v="0"/>
    <n v="1"/>
    <n v="1646181.09"/>
    <n v="5"/>
    <n v="5"/>
    <n v="4.0999999999999996"/>
    <x v="2"/>
  </r>
  <r>
    <n v="26"/>
    <x v="1"/>
    <n v="1646181.09"/>
    <s v="C441238852"/>
    <n v="1646181.09"/>
    <n v="0"/>
    <s v="C2059240998"/>
    <n v="220025.2"/>
    <n v="1866206.29"/>
    <n v="1"/>
    <n v="0"/>
    <n v="2"/>
    <n v="0"/>
    <n v="1"/>
    <n v="1646181.09"/>
    <n v="5"/>
    <n v="4"/>
    <n v="3.8000000000000003"/>
    <x v="2"/>
  </r>
  <r>
    <n v="26"/>
    <x v="0"/>
    <n v="331829.94"/>
    <s v="C1549516546"/>
    <n v="331829.94"/>
    <n v="0"/>
    <s v="C1908627867"/>
    <n v="0"/>
    <n v="0"/>
    <n v="1"/>
    <n v="0"/>
    <n v="2"/>
    <n v="0"/>
    <n v="1"/>
    <n v="331829.94"/>
    <n v="5"/>
    <n v="5"/>
    <n v="4.0999999999999996"/>
    <x v="2"/>
  </r>
  <r>
    <n v="26"/>
    <x v="1"/>
    <n v="331829.94"/>
    <s v="C1357985676"/>
    <n v="331829.94"/>
    <n v="0"/>
    <s v="C255246845"/>
    <n v="792855.99"/>
    <n v="1124685.94"/>
    <n v="1"/>
    <n v="0"/>
    <n v="2"/>
    <n v="0"/>
    <n v="1"/>
    <n v="331829.94"/>
    <n v="5"/>
    <n v="4"/>
    <n v="3.8000000000000003"/>
    <x v="2"/>
  </r>
  <r>
    <n v="26"/>
    <x v="0"/>
    <n v="1027152.36"/>
    <s v="C414159853"/>
    <n v="1027152.36"/>
    <n v="0"/>
    <s v="C1087566727"/>
    <n v="0"/>
    <n v="0"/>
    <n v="1"/>
    <n v="0"/>
    <n v="2"/>
    <n v="0"/>
    <n v="1"/>
    <n v="1027152.36"/>
    <n v="5"/>
    <n v="5"/>
    <n v="4.0999999999999996"/>
    <x v="2"/>
  </r>
  <r>
    <n v="26"/>
    <x v="1"/>
    <n v="1027152.36"/>
    <s v="C1016323653"/>
    <n v="1027152.36"/>
    <n v="0"/>
    <s v="C409414944"/>
    <n v="519428.56"/>
    <n v="1546580.92"/>
    <n v="1"/>
    <n v="0"/>
    <n v="2"/>
    <n v="0"/>
    <n v="1"/>
    <n v="1027152.36"/>
    <n v="5"/>
    <n v="4"/>
    <n v="3.8000000000000003"/>
    <x v="2"/>
  </r>
  <r>
    <n v="27"/>
    <x v="0"/>
    <n v="494244.61"/>
    <s v="C1529468267"/>
    <n v="494244.61"/>
    <n v="0"/>
    <s v="C1924171481"/>
    <n v="0"/>
    <n v="0"/>
    <n v="1"/>
    <n v="0"/>
    <n v="3"/>
    <n v="0"/>
    <n v="1"/>
    <n v="494244.61"/>
    <n v="5"/>
    <n v="5"/>
    <n v="4.0999999999999996"/>
    <x v="2"/>
  </r>
  <r>
    <n v="27"/>
    <x v="1"/>
    <n v="494244.61"/>
    <s v="C1544211314"/>
    <n v="494244.61"/>
    <n v="0"/>
    <s v="C1751768780"/>
    <n v="653451.43000000005"/>
    <n v="1147696.03"/>
    <n v="1"/>
    <n v="0"/>
    <n v="3"/>
    <n v="0"/>
    <n v="1"/>
    <n v="494244.61"/>
    <n v="5"/>
    <n v="4"/>
    <n v="3.8000000000000003"/>
    <x v="2"/>
  </r>
  <r>
    <n v="27"/>
    <x v="0"/>
    <n v="329937.88"/>
    <s v="C699198167"/>
    <n v="329937.88"/>
    <n v="0"/>
    <s v="C2064246111"/>
    <n v="0"/>
    <n v="0"/>
    <n v="1"/>
    <n v="0"/>
    <n v="3"/>
    <n v="0"/>
    <n v="1"/>
    <n v="329937.88"/>
    <n v="5"/>
    <n v="5"/>
    <n v="4.0999999999999996"/>
    <x v="2"/>
  </r>
  <r>
    <n v="27"/>
    <x v="1"/>
    <n v="329937.88"/>
    <s v="C148278282"/>
    <n v="329937.88"/>
    <n v="0"/>
    <s v="C1783581377"/>
    <n v="349407.23"/>
    <n v="679345.1"/>
    <n v="1"/>
    <n v="0"/>
    <n v="3"/>
    <n v="0"/>
    <n v="1"/>
    <n v="329937.88"/>
    <n v="5"/>
    <n v="4"/>
    <n v="3.8000000000000003"/>
    <x v="2"/>
  </r>
  <r>
    <n v="27"/>
    <x v="0"/>
    <n v="496128.26"/>
    <s v="C842027258"/>
    <n v="496128.26"/>
    <n v="0"/>
    <s v="C136618845"/>
    <n v="0"/>
    <n v="0"/>
    <n v="1"/>
    <n v="0"/>
    <n v="3"/>
    <n v="0"/>
    <n v="1"/>
    <n v="496128.26"/>
    <n v="5"/>
    <n v="5"/>
    <n v="4.0999999999999996"/>
    <x v="2"/>
  </r>
  <r>
    <n v="27"/>
    <x v="1"/>
    <n v="496128.26"/>
    <s v="C705152518"/>
    <n v="496128.26"/>
    <n v="0"/>
    <s v="C741210093"/>
    <n v="465770.07"/>
    <n v="961898.33"/>
    <n v="1"/>
    <n v="0"/>
    <n v="3"/>
    <n v="0"/>
    <n v="1"/>
    <n v="496128.26"/>
    <n v="5"/>
    <n v="4"/>
    <n v="3.8000000000000003"/>
    <x v="2"/>
  </r>
  <r>
    <n v="27"/>
    <x v="0"/>
    <n v="1218165.8799999999"/>
    <s v="C361429301"/>
    <n v="1218165.8799999999"/>
    <n v="0"/>
    <s v="C550179566"/>
    <n v="0"/>
    <n v="0"/>
    <n v="1"/>
    <n v="0"/>
    <n v="3"/>
    <n v="0"/>
    <n v="1"/>
    <n v="1218165.8799999999"/>
    <n v="5"/>
    <n v="5"/>
    <n v="4.0999999999999996"/>
    <x v="2"/>
  </r>
  <r>
    <n v="27"/>
    <x v="1"/>
    <n v="1218165.8799999999"/>
    <s v="C807604201"/>
    <n v="1218165.8799999999"/>
    <n v="0"/>
    <s v="C849028719"/>
    <n v="742564.27"/>
    <n v="1960730.15"/>
    <n v="1"/>
    <n v="0"/>
    <n v="3"/>
    <n v="0"/>
    <n v="1"/>
    <n v="1218165.8799999999"/>
    <n v="5"/>
    <n v="4"/>
    <n v="3.8000000000000003"/>
    <x v="2"/>
  </r>
  <r>
    <n v="28"/>
    <x v="0"/>
    <n v="3832058.34"/>
    <s v="C1279307827"/>
    <n v="3832058.34"/>
    <n v="0"/>
    <s v="C1124913173"/>
    <n v="0"/>
    <n v="0"/>
    <n v="1"/>
    <n v="0"/>
    <n v="4"/>
    <n v="0"/>
    <n v="1"/>
    <n v="3832058.34"/>
    <n v="5"/>
    <n v="5"/>
    <n v="4.0999999999999996"/>
    <x v="2"/>
  </r>
  <r>
    <n v="28"/>
    <x v="1"/>
    <n v="3832058.34"/>
    <s v="C426880249"/>
    <n v="3832058.34"/>
    <n v="0"/>
    <s v="C1566081912"/>
    <n v="531662.14"/>
    <n v="4363720.4800000004"/>
    <n v="1"/>
    <n v="0"/>
    <n v="4"/>
    <n v="0"/>
    <n v="1"/>
    <n v="3832058.34"/>
    <n v="5"/>
    <n v="4"/>
    <n v="3.8000000000000003"/>
    <x v="2"/>
  </r>
  <r>
    <n v="28"/>
    <x v="0"/>
    <n v="491517.77"/>
    <s v="C1029198062"/>
    <n v="491517.77"/>
    <n v="0"/>
    <s v="C1534111155"/>
    <n v="0"/>
    <n v="0"/>
    <n v="1"/>
    <n v="0"/>
    <n v="4"/>
    <n v="0"/>
    <n v="1"/>
    <n v="491517.77"/>
    <n v="5"/>
    <n v="5"/>
    <n v="4.0999999999999996"/>
    <x v="2"/>
  </r>
  <r>
    <n v="28"/>
    <x v="1"/>
    <n v="491517.77"/>
    <s v="C1198658385"/>
    <n v="491517.77"/>
    <n v="0"/>
    <s v="C523126423"/>
    <n v="518777.34"/>
    <n v="1010295.11"/>
    <n v="1"/>
    <n v="0"/>
    <n v="4"/>
    <n v="0"/>
    <n v="1"/>
    <n v="491517.77"/>
    <n v="5"/>
    <n v="4"/>
    <n v="3.8000000000000003"/>
    <x v="2"/>
  </r>
  <r>
    <n v="29"/>
    <x v="0"/>
    <n v="340198.41"/>
    <s v="C491994230"/>
    <n v="340198.41"/>
    <n v="0"/>
    <s v="C772681684"/>
    <n v="0"/>
    <n v="0"/>
    <n v="1"/>
    <n v="0"/>
    <n v="5"/>
    <n v="0"/>
    <n v="1"/>
    <n v="340198.41"/>
    <n v="5"/>
    <n v="5"/>
    <n v="4.0999999999999996"/>
    <x v="2"/>
  </r>
  <r>
    <n v="29"/>
    <x v="1"/>
    <n v="340198.41"/>
    <s v="C1369188336"/>
    <n v="340198.41"/>
    <n v="0"/>
    <s v="C1627551181"/>
    <n v="1614043.79"/>
    <n v="1954242.21"/>
    <n v="1"/>
    <n v="0"/>
    <n v="5"/>
    <n v="0"/>
    <n v="1"/>
    <n v="340198.41"/>
    <n v="5"/>
    <n v="4"/>
    <n v="3.8000000000000003"/>
    <x v="2"/>
  </r>
  <r>
    <n v="29"/>
    <x v="0"/>
    <n v="268641.82"/>
    <s v="C775733773"/>
    <n v="268641.82"/>
    <n v="0"/>
    <s v="C2121303056"/>
    <n v="0"/>
    <n v="0"/>
    <n v="1"/>
    <n v="0"/>
    <n v="5"/>
    <n v="0"/>
    <n v="1"/>
    <n v="268641.82"/>
    <n v="5"/>
    <n v="5"/>
    <n v="4.0999999999999996"/>
    <x v="2"/>
  </r>
  <r>
    <n v="29"/>
    <x v="1"/>
    <n v="268641.82"/>
    <s v="C2038670336"/>
    <n v="268641.82"/>
    <n v="0"/>
    <s v="C1068543577"/>
    <n v="197163.95"/>
    <n v="465805.77"/>
    <n v="1"/>
    <n v="0"/>
    <n v="5"/>
    <n v="0"/>
    <n v="1"/>
    <n v="268641.82"/>
    <n v="5"/>
    <n v="4"/>
    <n v="3.8000000000000003"/>
    <x v="2"/>
  </r>
  <r>
    <n v="30"/>
    <x v="0"/>
    <n v="122235.11"/>
    <s v="C1279213624"/>
    <n v="122235.11"/>
    <n v="0"/>
    <s v="C2100791242"/>
    <n v="0"/>
    <n v="0"/>
    <n v="1"/>
    <n v="0"/>
    <n v="6"/>
    <n v="0"/>
    <n v="1"/>
    <n v="122235.11"/>
    <n v="4"/>
    <n v="5"/>
    <n v="3.6"/>
    <x v="2"/>
  </r>
  <r>
    <n v="30"/>
    <x v="1"/>
    <n v="122235.11"/>
    <s v="C356571967"/>
    <n v="122235.11"/>
    <n v="0"/>
    <s v="C1905066109"/>
    <n v="0"/>
    <n v="122235.11"/>
    <n v="1"/>
    <n v="0"/>
    <n v="6"/>
    <n v="0"/>
    <n v="1"/>
    <n v="122235.11"/>
    <n v="4"/>
    <n v="4"/>
    <n v="3.3000000000000003"/>
    <x v="2"/>
  </r>
  <r>
    <n v="30"/>
    <x v="0"/>
    <n v="236947.25"/>
    <s v="C1273047168"/>
    <n v="236947.25"/>
    <n v="0"/>
    <s v="C1636242484"/>
    <n v="0"/>
    <n v="0"/>
    <n v="1"/>
    <n v="0"/>
    <n v="6"/>
    <n v="0"/>
    <n v="1"/>
    <n v="236947.25"/>
    <n v="5"/>
    <n v="5"/>
    <n v="4.0999999999999996"/>
    <x v="2"/>
  </r>
  <r>
    <n v="30"/>
    <x v="1"/>
    <n v="236947.25"/>
    <s v="C474899128"/>
    <n v="236947.25"/>
    <n v="0"/>
    <s v="C116505755"/>
    <n v="70084.28"/>
    <n v="307031.53000000003"/>
    <n v="1"/>
    <n v="0"/>
    <n v="6"/>
    <n v="0"/>
    <n v="1"/>
    <n v="236947.25"/>
    <n v="5"/>
    <n v="4"/>
    <n v="3.8000000000000003"/>
    <x v="2"/>
  </r>
  <r>
    <n v="30"/>
    <x v="0"/>
    <n v="19016.22"/>
    <s v="C182136548"/>
    <n v="19016.22"/>
    <n v="0"/>
    <s v="C717672329"/>
    <n v="0"/>
    <n v="0"/>
    <n v="1"/>
    <n v="0"/>
    <n v="6"/>
    <n v="0"/>
    <n v="1"/>
    <n v="19016.22"/>
    <n v="2"/>
    <n v="5"/>
    <n v="2.6"/>
    <x v="0"/>
  </r>
  <r>
    <n v="30"/>
    <x v="1"/>
    <n v="19016.22"/>
    <s v="C1257554854"/>
    <n v="19016.22"/>
    <n v="0"/>
    <s v="C1044117371"/>
    <n v="9347999.5199999996"/>
    <n v="9367015.7400000002"/>
    <n v="1"/>
    <n v="0"/>
    <n v="6"/>
    <n v="0"/>
    <n v="1"/>
    <n v="19016.22"/>
    <n v="2"/>
    <n v="4"/>
    <n v="2.3000000000000003"/>
    <x v="0"/>
  </r>
  <r>
    <n v="30"/>
    <x v="0"/>
    <n v="109401.88"/>
    <s v="C2037269206"/>
    <n v="109401.88"/>
    <n v="0"/>
    <s v="C337579043"/>
    <n v="0"/>
    <n v="0"/>
    <n v="1"/>
    <n v="0"/>
    <n v="6"/>
    <n v="0"/>
    <n v="1"/>
    <n v="109401.88"/>
    <n v="4"/>
    <n v="5"/>
    <n v="3.6"/>
    <x v="2"/>
  </r>
  <r>
    <n v="30"/>
    <x v="1"/>
    <n v="109401.88"/>
    <s v="C984153855"/>
    <n v="109401.88"/>
    <n v="0"/>
    <s v="C1806203979"/>
    <n v="245588.62"/>
    <n v="354990.5"/>
    <n v="1"/>
    <n v="0"/>
    <n v="6"/>
    <n v="0"/>
    <n v="1"/>
    <n v="109401.88"/>
    <n v="4"/>
    <n v="4"/>
    <n v="3.3000000000000003"/>
    <x v="2"/>
  </r>
  <r>
    <n v="31"/>
    <x v="0"/>
    <n v="335219.49"/>
    <s v="C1775717184"/>
    <n v="335219.49"/>
    <n v="0"/>
    <s v="C1987320319"/>
    <n v="0"/>
    <n v="0"/>
    <n v="1"/>
    <n v="0"/>
    <n v="7"/>
    <n v="0"/>
    <n v="1"/>
    <n v="335219.49"/>
    <n v="5"/>
    <n v="5"/>
    <n v="4.0999999999999996"/>
    <x v="2"/>
  </r>
  <r>
    <n v="31"/>
    <x v="1"/>
    <n v="335219.49"/>
    <s v="C89283631"/>
    <n v="335219.49"/>
    <n v="0"/>
    <s v="C1228650470"/>
    <n v="111675.56"/>
    <n v="446895.05"/>
    <n v="1"/>
    <n v="0"/>
    <n v="7"/>
    <n v="0"/>
    <n v="1"/>
    <n v="335219.49"/>
    <n v="5"/>
    <n v="4"/>
    <n v="3.8000000000000003"/>
    <x v="2"/>
  </r>
  <r>
    <n v="31"/>
    <x v="0"/>
    <n v="120406.39"/>
    <s v="C237098657"/>
    <n v="120406.39"/>
    <n v="0"/>
    <s v="C1177827371"/>
    <n v="0"/>
    <n v="0"/>
    <n v="1"/>
    <n v="0"/>
    <n v="7"/>
    <n v="0"/>
    <n v="1"/>
    <n v="120406.39"/>
    <n v="4"/>
    <n v="5"/>
    <n v="3.6"/>
    <x v="2"/>
  </r>
  <r>
    <n v="31"/>
    <x v="1"/>
    <n v="120406.39"/>
    <s v="C1938001564"/>
    <n v="120406.39"/>
    <n v="0"/>
    <s v="C878440089"/>
    <n v="0"/>
    <n v="120406.39"/>
    <n v="1"/>
    <n v="0"/>
    <n v="7"/>
    <n v="0"/>
    <n v="1"/>
    <n v="120406.39"/>
    <n v="4"/>
    <n v="4"/>
    <n v="3.3000000000000003"/>
    <x v="2"/>
  </r>
  <r>
    <n v="31"/>
    <x v="0"/>
    <n v="21516.38"/>
    <s v="C551376615"/>
    <n v="21516.38"/>
    <n v="0"/>
    <s v="C2121782042"/>
    <n v="0"/>
    <n v="0"/>
    <n v="1"/>
    <n v="0"/>
    <n v="7"/>
    <n v="0"/>
    <n v="1"/>
    <n v="21516.38"/>
    <n v="2"/>
    <n v="5"/>
    <n v="2.6"/>
    <x v="0"/>
  </r>
  <r>
    <n v="31"/>
    <x v="1"/>
    <n v="21516.38"/>
    <s v="C939116023"/>
    <n v="21516.38"/>
    <n v="0"/>
    <s v="C1335084969"/>
    <n v="900122.84"/>
    <n v="921639.22"/>
    <n v="1"/>
    <n v="0"/>
    <n v="7"/>
    <n v="0"/>
    <n v="1"/>
    <n v="21516.38"/>
    <n v="2"/>
    <n v="4"/>
    <n v="2.3000000000000003"/>
    <x v="0"/>
  </r>
  <r>
    <n v="31"/>
    <x v="0"/>
    <n v="378204.02"/>
    <s v="C620879020"/>
    <n v="378204.02"/>
    <n v="0"/>
    <s v="C929929591"/>
    <n v="0"/>
    <n v="0"/>
    <n v="1"/>
    <n v="0"/>
    <n v="7"/>
    <n v="0"/>
    <n v="1"/>
    <n v="378204.02"/>
    <n v="5"/>
    <n v="5"/>
    <n v="4.0999999999999996"/>
    <x v="2"/>
  </r>
  <r>
    <n v="31"/>
    <x v="1"/>
    <n v="378204.02"/>
    <s v="C1309442409"/>
    <n v="378204.02"/>
    <n v="0"/>
    <s v="C1009459055"/>
    <n v="0"/>
    <n v="378204.02"/>
    <n v="1"/>
    <n v="0"/>
    <n v="7"/>
    <n v="0"/>
    <n v="1"/>
    <n v="378204.02"/>
    <n v="5"/>
    <n v="4"/>
    <n v="3.8000000000000003"/>
    <x v="2"/>
  </r>
  <r>
    <n v="31"/>
    <x v="0"/>
    <n v="5021186.54"/>
    <s v="C1848562108"/>
    <n v="5021186.54"/>
    <n v="0"/>
    <s v="C1803198527"/>
    <n v="0"/>
    <n v="0"/>
    <n v="1"/>
    <n v="0"/>
    <n v="7"/>
    <n v="0"/>
    <n v="1"/>
    <n v="5021186.54"/>
    <n v="5"/>
    <n v="5"/>
    <n v="4.0999999999999996"/>
    <x v="2"/>
  </r>
  <r>
    <n v="31"/>
    <x v="1"/>
    <n v="5021186.54"/>
    <s v="C1520365660"/>
    <n v="5021186.54"/>
    <n v="0"/>
    <s v="C1308026520"/>
    <n v="880859.14"/>
    <n v="5902045.6799999997"/>
    <n v="1"/>
    <n v="0"/>
    <n v="7"/>
    <n v="0"/>
    <n v="1"/>
    <n v="5021186.54"/>
    <n v="5"/>
    <n v="4"/>
    <n v="3.8000000000000003"/>
    <x v="2"/>
  </r>
  <r>
    <n v="31"/>
    <x v="0"/>
    <n v="587031.19999999995"/>
    <s v="C1909564191"/>
    <n v="587031.19999999995"/>
    <n v="0"/>
    <s v="C2047987632"/>
    <n v="0"/>
    <n v="0"/>
    <n v="1"/>
    <n v="0"/>
    <n v="7"/>
    <n v="0"/>
    <n v="1"/>
    <n v="587031.19999999995"/>
    <n v="5"/>
    <n v="5"/>
    <n v="4.0999999999999996"/>
    <x v="2"/>
  </r>
  <r>
    <n v="31"/>
    <x v="1"/>
    <n v="587031.19999999995"/>
    <s v="C1534882693"/>
    <n v="587031.19999999995"/>
    <n v="0"/>
    <s v="C534658891"/>
    <n v="338247.75"/>
    <n v="925278.94"/>
    <n v="1"/>
    <n v="0"/>
    <n v="7"/>
    <n v="0"/>
    <n v="1"/>
    <n v="587031.19999999995"/>
    <n v="5"/>
    <n v="4"/>
    <n v="3.8000000000000003"/>
    <x v="2"/>
  </r>
  <r>
    <n v="32"/>
    <x v="0"/>
    <n v="81867.070000000007"/>
    <s v="C1128786535"/>
    <n v="81867.070000000007"/>
    <n v="0"/>
    <s v="C9901046"/>
    <n v="0"/>
    <n v="0"/>
    <n v="1"/>
    <n v="0"/>
    <n v="8"/>
    <n v="0"/>
    <n v="1"/>
    <n v="81867.070000000007"/>
    <n v="3"/>
    <n v="5"/>
    <n v="3.1"/>
    <x v="2"/>
  </r>
  <r>
    <n v="32"/>
    <x v="1"/>
    <n v="81867.070000000007"/>
    <s v="C1861680707"/>
    <n v="81867.070000000007"/>
    <n v="0"/>
    <s v="C2064372710"/>
    <n v="135117.98000000001"/>
    <n v="216985.05"/>
    <n v="1"/>
    <n v="0"/>
    <n v="8"/>
    <n v="0"/>
    <n v="1"/>
    <n v="81867.070000000007"/>
    <n v="3"/>
    <n v="4"/>
    <n v="2.8000000000000003"/>
    <x v="0"/>
  </r>
  <r>
    <n v="32"/>
    <x v="0"/>
    <n v="2023920.09"/>
    <s v="C306405849"/>
    <n v="2023920.09"/>
    <n v="0"/>
    <s v="C193080093"/>
    <n v="0"/>
    <n v="0"/>
    <n v="1"/>
    <n v="0"/>
    <n v="8"/>
    <n v="0"/>
    <n v="1"/>
    <n v="2023920.09"/>
    <n v="5"/>
    <n v="5"/>
    <n v="4.0999999999999996"/>
    <x v="2"/>
  </r>
  <r>
    <n v="32"/>
    <x v="1"/>
    <n v="2023920.09"/>
    <s v="C706467919"/>
    <n v="2023920.09"/>
    <n v="0"/>
    <s v="C338077337"/>
    <n v="1530400.88"/>
    <n v="3554320.97"/>
    <n v="1"/>
    <n v="0"/>
    <n v="8"/>
    <n v="0"/>
    <n v="1"/>
    <n v="2023920.09"/>
    <n v="5"/>
    <n v="4"/>
    <n v="3.8000000000000003"/>
    <x v="2"/>
  </r>
  <r>
    <n v="32"/>
    <x v="0"/>
    <n v="404165.06"/>
    <s v="C1458768825"/>
    <n v="404165.06"/>
    <n v="0"/>
    <s v="C206316722"/>
    <n v="0"/>
    <n v="0"/>
    <n v="1"/>
    <n v="0"/>
    <n v="8"/>
    <n v="0"/>
    <n v="1"/>
    <n v="404165.06"/>
    <n v="5"/>
    <n v="5"/>
    <n v="4.0999999999999996"/>
    <x v="2"/>
  </r>
  <r>
    <n v="32"/>
    <x v="1"/>
    <n v="404165.06"/>
    <s v="C254731202"/>
    <n v="404165.06"/>
    <n v="0"/>
    <s v="C1749677978"/>
    <n v="0"/>
    <n v="404165.06"/>
    <n v="1"/>
    <n v="0"/>
    <n v="8"/>
    <n v="0"/>
    <n v="1"/>
    <n v="404165.06"/>
    <n v="5"/>
    <n v="4"/>
    <n v="3.8000000000000003"/>
    <x v="2"/>
  </r>
  <r>
    <n v="32"/>
    <x v="0"/>
    <n v="1164448.96"/>
    <s v="C107615831"/>
    <n v="1164448.96"/>
    <n v="0"/>
    <s v="C144473930"/>
    <n v="0"/>
    <n v="0"/>
    <n v="1"/>
    <n v="0"/>
    <n v="8"/>
    <n v="0"/>
    <n v="1"/>
    <n v="1164448.96"/>
    <n v="5"/>
    <n v="5"/>
    <n v="4.0999999999999996"/>
    <x v="2"/>
  </r>
  <r>
    <n v="32"/>
    <x v="1"/>
    <n v="1164448.96"/>
    <s v="C1925676917"/>
    <n v="1164448.96"/>
    <n v="0"/>
    <s v="C2040690699"/>
    <n v="1080246.3400000001"/>
    <n v="2244695.29"/>
    <n v="1"/>
    <n v="0"/>
    <n v="8"/>
    <n v="0"/>
    <n v="1"/>
    <n v="1164448.96"/>
    <n v="5"/>
    <n v="4"/>
    <n v="3.8000000000000003"/>
    <x v="2"/>
  </r>
  <r>
    <n v="32"/>
    <x v="0"/>
    <n v="401575.19"/>
    <s v="C2084058641"/>
    <n v="401575.19"/>
    <n v="0"/>
    <s v="C1017580631"/>
    <n v="0"/>
    <n v="0"/>
    <n v="1"/>
    <n v="0"/>
    <n v="8"/>
    <n v="0"/>
    <n v="1"/>
    <n v="401575.19"/>
    <n v="5"/>
    <n v="5"/>
    <n v="4.0999999999999996"/>
    <x v="2"/>
  </r>
  <r>
    <n v="32"/>
    <x v="1"/>
    <n v="401575.19"/>
    <s v="C1684571589"/>
    <n v="401575.19"/>
    <n v="0"/>
    <s v="C1619036760"/>
    <n v="0"/>
    <n v="401575.19"/>
    <n v="1"/>
    <n v="0"/>
    <n v="8"/>
    <n v="0"/>
    <n v="1"/>
    <n v="401575.19"/>
    <n v="5"/>
    <n v="4"/>
    <n v="3.8000000000000003"/>
    <x v="2"/>
  </r>
  <r>
    <n v="32"/>
    <x v="0"/>
    <n v="604933.67000000004"/>
    <s v="C1769820937"/>
    <n v="604933.67000000004"/>
    <n v="0"/>
    <s v="C1536446312"/>
    <n v="0"/>
    <n v="0"/>
    <n v="1"/>
    <n v="0"/>
    <n v="8"/>
    <n v="0"/>
    <n v="1"/>
    <n v="604933.67000000004"/>
    <n v="5"/>
    <n v="5"/>
    <n v="4.0999999999999996"/>
    <x v="2"/>
  </r>
  <r>
    <n v="32"/>
    <x v="1"/>
    <n v="604933.67000000004"/>
    <s v="C1085892947"/>
    <n v="604933.67000000004"/>
    <n v="0"/>
    <s v="C1138178950"/>
    <n v="35839.699999999997"/>
    <n v="640773.38"/>
    <n v="1"/>
    <n v="0"/>
    <n v="8"/>
    <n v="0"/>
    <n v="1"/>
    <n v="604933.67000000004"/>
    <n v="5"/>
    <n v="4"/>
    <n v="3.8000000000000003"/>
    <x v="2"/>
  </r>
  <r>
    <n v="33"/>
    <x v="0"/>
    <n v="3295227.84"/>
    <s v="C1152596026"/>
    <n v="3295227.84"/>
    <n v="0"/>
    <s v="C1976114093"/>
    <n v="0"/>
    <n v="0"/>
    <n v="1"/>
    <n v="0"/>
    <n v="9"/>
    <n v="0"/>
    <n v="1"/>
    <n v="3295227.84"/>
    <n v="5"/>
    <n v="5"/>
    <n v="4.0999999999999996"/>
    <x v="2"/>
  </r>
  <r>
    <n v="33"/>
    <x v="1"/>
    <n v="3295227.84"/>
    <s v="C1587398978"/>
    <n v="3295227.84"/>
    <n v="0"/>
    <s v="C1560573396"/>
    <n v="0"/>
    <n v="4002861.53"/>
    <n v="1"/>
    <n v="0"/>
    <n v="9"/>
    <n v="0"/>
    <n v="1"/>
    <n v="3295227.84"/>
    <n v="5"/>
    <n v="4"/>
    <n v="3.8000000000000003"/>
    <x v="2"/>
  </r>
  <r>
    <n v="33"/>
    <x v="0"/>
    <n v="214975.9"/>
    <s v="C304547800"/>
    <n v="214975.9"/>
    <n v="0"/>
    <s v="C155793474"/>
    <n v="0"/>
    <n v="0"/>
    <n v="1"/>
    <n v="0"/>
    <n v="9"/>
    <n v="0"/>
    <n v="1"/>
    <n v="214975.9"/>
    <n v="5"/>
    <n v="5"/>
    <n v="4.0999999999999996"/>
    <x v="2"/>
  </r>
  <r>
    <n v="33"/>
    <x v="1"/>
    <n v="214975.9"/>
    <s v="C6796051"/>
    <n v="214975.9"/>
    <n v="0"/>
    <s v="C677541710"/>
    <n v="152331.28"/>
    <n v="374513.69"/>
    <n v="1"/>
    <n v="0"/>
    <n v="9"/>
    <n v="0"/>
    <n v="1"/>
    <n v="214975.9"/>
    <n v="5"/>
    <n v="4"/>
    <n v="3.8000000000000003"/>
    <x v="2"/>
  </r>
  <r>
    <n v="33"/>
    <x v="0"/>
    <n v="10000000"/>
    <s v="C1439740840"/>
    <n v="19900000"/>
    <n v="9887819.0600000005"/>
    <s v="C875288652"/>
    <n v="0"/>
    <n v="0"/>
    <n v="1"/>
    <n v="0"/>
    <n v="9"/>
    <n v="1"/>
    <n v="0"/>
    <n v="10012180.939999999"/>
    <n v="5"/>
    <n v="5"/>
    <n v="4.0999999999999996"/>
    <x v="2"/>
  </r>
  <r>
    <n v="33"/>
    <x v="1"/>
    <n v="10000000"/>
    <s v="C29118015"/>
    <n v="10000000"/>
    <n v="0"/>
    <s v="C1379703840"/>
    <n v="0"/>
    <n v="10000000"/>
    <n v="1"/>
    <n v="0"/>
    <n v="9"/>
    <n v="1"/>
    <n v="1"/>
    <n v="10000000"/>
    <n v="5"/>
    <n v="4"/>
    <n v="3.9000000000000004"/>
    <x v="2"/>
  </r>
  <r>
    <n v="33"/>
    <x v="0"/>
    <n v="9887819.0600000005"/>
    <s v="C1548903046"/>
    <n v="9887819.0600000005"/>
    <n v="0"/>
    <s v="C2065423383"/>
    <n v="0"/>
    <n v="0"/>
    <n v="1"/>
    <n v="0"/>
    <n v="9"/>
    <n v="0"/>
    <n v="1"/>
    <n v="9887819.0600000005"/>
    <n v="5"/>
    <n v="5"/>
    <n v="4.0999999999999996"/>
    <x v="2"/>
  </r>
  <r>
    <n v="33"/>
    <x v="1"/>
    <n v="9887819.0600000005"/>
    <s v="C1071702423"/>
    <n v="9887819.0600000005"/>
    <n v="0"/>
    <s v="C28783325"/>
    <n v="801913.95"/>
    <n v="10200000"/>
    <n v="1"/>
    <n v="0"/>
    <n v="9"/>
    <n v="0"/>
    <n v="1"/>
    <n v="9887819.0600000005"/>
    <n v="5"/>
    <n v="4"/>
    <n v="3.8000000000000003"/>
    <x v="2"/>
  </r>
  <r>
    <n v="33"/>
    <x v="0"/>
    <n v="1448630.38"/>
    <s v="C101899927"/>
    <n v="1448630.38"/>
    <n v="0"/>
    <s v="C679483948"/>
    <n v="0"/>
    <n v="0"/>
    <n v="1"/>
    <n v="0"/>
    <n v="9"/>
    <n v="0"/>
    <n v="1"/>
    <n v="1448630.38"/>
    <n v="5"/>
    <n v="5"/>
    <n v="4.0999999999999996"/>
    <x v="2"/>
  </r>
  <r>
    <n v="33"/>
    <x v="1"/>
    <n v="1448630.38"/>
    <s v="C942063884"/>
    <n v="1448630.38"/>
    <n v="0"/>
    <s v="C1317594509"/>
    <n v="1294571.45"/>
    <n v="2743201.82"/>
    <n v="1"/>
    <n v="0"/>
    <n v="9"/>
    <n v="0"/>
    <n v="1"/>
    <n v="1448630.38"/>
    <n v="5"/>
    <n v="4"/>
    <n v="3.8000000000000003"/>
    <x v="2"/>
  </r>
  <r>
    <n v="33"/>
    <x v="0"/>
    <n v="6648389.9000000004"/>
    <s v="C67311634"/>
    <n v="6648389.9000000004"/>
    <n v="0"/>
    <s v="C674603923"/>
    <n v="0"/>
    <n v="0"/>
    <n v="1"/>
    <n v="0"/>
    <n v="9"/>
    <n v="0"/>
    <n v="1"/>
    <n v="6648389.9000000004"/>
    <n v="5"/>
    <n v="5"/>
    <n v="4.0999999999999996"/>
    <x v="2"/>
  </r>
  <r>
    <n v="33"/>
    <x v="1"/>
    <n v="6648389.9000000004"/>
    <s v="C1612816859"/>
    <n v="6648389.9000000004"/>
    <n v="0"/>
    <s v="C836514715"/>
    <n v="2609209.5499999998"/>
    <n v="9257599.4499999993"/>
    <n v="1"/>
    <n v="0"/>
    <n v="9"/>
    <n v="0"/>
    <n v="1"/>
    <n v="6648389.9000000004"/>
    <n v="5"/>
    <n v="4"/>
    <n v="3.8000000000000003"/>
    <x v="2"/>
  </r>
  <r>
    <n v="34"/>
    <x v="0"/>
    <n v="51424.22"/>
    <s v="C1887135298"/>
    <n v="51424.22"/>
    <n v="0"/>
    <s v="C1119742908"/>
    <n v="0"/>
    <n v="0"/>
    <n v="1"/>
    <n v="0"/>
    <n v="10"/>
    <n v="0"/>
    <n v="1"/>
    <n v="51424.22"/>
    <n v="3"/>
    <n v="5"/>
    <n v="3.1"/>
    <x v="2"/>
  </r>
  <r>
    <n v="34"/>
    <x v="1"/>
    <n v="51424.22"/>
    <s v="C1977213426"/>
    <n v="51424.22"/>
    <n v="0"/>
    <s v="C1445058573"/>
    <n v="87252.78"/>
    <n v="138677"/>
    <n v="1"/>
    <n v="0"/>
    <n v="10"/>
    <n v="0"/>
    <n v="1"/>
    <n v="51424.22"/>
    <n v="3"/>
    <n v="4"/>
    <n v="2.8000000000000003"/>
    <x v="0"/>
  </r>
  <r>
    <n v="34"/>
    <x v="0"/>
    <n v="428239.03"/>
    <s v="C711340026"/>
    <n v="428239.03"/>
    <n v="0"/>
    <s v="C674486348"/>
    <n v="0"/>
    <n v="0"/>
    <n v="1"/>
    <n v="0"/>
    <n v="10"/>
    <n v="0"/>
    <n v="1"/>
    <n v="428239.03"/>
    <n v="5"/>
    <n v="5"/>
    <n v="4.0999999999999996"/>
    <x v="2"/>
  </r>
  <r>
    <n v="34"/>
    <x v="1"/>
    <n v="428239.03"/>
    <s v="C1057589740"/>
    <n v="428239.03"/>
    <n v="0"/>
    <s v="C511164301"/>
    <n v="293130.02"/>
    <n v="1456009.92"/>
    <n v="1"/>
    <n v="0"/>
    <n v="10"/>
    <n v="0"/>
    <n v="1"/>
    <n v="428239.03"/>
    <n v="5"/>
    <n v="4"/>
    <n v="3.8000000000000003"/>
    <x v="2"/>
  </r>
  <r>
    <n v="34"/>
    <x v="0"/>
    <n v="52557.21"/>
    <s v="C437611850"/>
    <n v="52557.21"/>
    <n v="0"/>
    <s v="C830293590"/>
    <n v="0"/>
    <n v="0"/>
    <n v="1"/>
    <n v="0"/>
    <n v="10"/>
    <n v="0"/>
    <n v="1"/>
    <n v="52557.21"/>
    <n v="3"/>
    <n v="5"/>
    <n v="3.1"/>
    <x v="2"/>
  </r>
  <r>
    <n v="34"/>
    <x v="1"/>
    <n v="52557.21"/>
    <s v="C483094763"/>
    <n v="52557.21"/>
    <n v="0"/>
    <s v="C1009901500"/>
    <n v="0"/>
    <n v="52557.21"/>
    <n v="1"/>
    <n v="0"/>
    <n v="10"/>
    <n v="0"/>
    <n v="1"/>
    <n v="52557.21"/>
    <n v="3"/>
    <n v="4"/>
    <n v="2.8000000000000003"/>
    <x v="0"/>
  </r>
  <r>
    <n v="34"/>
    <x v="0"/>
    <n v="1462355.44"/>
    <s v="C2112073607"/>
    <n v="1462355.44"/>
    <n v="0"/>
    <s v="C399994587"/>
    <n v="0"/>
    <n v="0"/>
    <n v="1"/>
    <n v="0"/>
    <n v="10"/>
    <n v="0"/>
    <n v="1"/>
    <n v="1462355.44"/>
    <n v="5"/>
    <n v="5"/>
    <n v="4.0999999999999996"/>
    <x v="2"/>
  </r>
  <r>
    <n v="34"/>
    <x v="1"/>
    <n v="1462355.44"/>
    <s v="C1049482889"/>
    <n v="1462355.44"/>
    <n v="0"/>
    <s v="C373339841"/>
    <n v="1544724.84"/>
    <n v="3007080.29"/>
    <n v="1"/>
    <n v="0"/>
    <n v="10"/>
    <n v="0"/>
    <n v="1"/>
    <n v="1462355.44"/>
    <n v="5"/>
    <n v="4"/>
    <n v="3.8000000000000003"/>
    <x v="2"/>
  </r>
  <r>
    <n v="34"/>
    <x v="0"/>
    <n v="27951.26"/>
    <s v="C722855847"/>
    <n v="27951.26"/>
    <n v="0"/>
    <s v="C866867675"/>
    <n v="0"/>
    <n v="0"/>
    <n v="1"/>
    <n v="0"/>
    <n v="10"/>
    <n v="0"/>
    <n v="1"/>
    <n v="27951.26"/>
    <n v="2"/>
    <n v="5"/>
    <n v="2.6"/>
    <x v="0"/>
  </r>
  <r>
    <n v="34"/>
    <x v="1"/>
    <n v="27951.26"/>
    <s v="C476695686"/>
    <n v="27951.26"/>
    <n v="0"/>
    <s v="C90854025"/>
    <n v="10439"/>
    <n v="698752.71"/>
    <n v="1"/>
    <n v="0"/>
    <n v="10"/>
    <n v="0"/>
    <n v="1"/>
    <n v="27951.26"/>
    <n v="2"/>
    <n v="4"/>
    <n v="2.3000000000000003"/>
    <x v="0"/>
  </r>
  <r>
    <n v="34"/>
    <x v="0"/>
    <n v="989311.12"/>
    <s v="C2035691205"/>
    <n v="989311.12"/>
    <n v="0"/>
    <s v="C2145664965"/>
    <n v="0"/>
    <n v="0"/>
    <n v="1"/>
    <n v="0"/>
    <n v="10"/>
    <n v="0"/>
    <n v="1"/>
    <n v="989311.12"/>
    <n v="5"/>
    <n v="5"/>
    <n v="4.0999999999999996"/>
    <x v="2"/>
  </r>
  <r>
    <n v="34"/>
    <x v="1"/>
    <n v="989311.12"/>
    <s v="C1177633466"/>
    <n v="989311.12"/>
    <n v="0"/>
    <s v="C1609979141"/>
    <n v="1009370.24"/>
    <n v="1998681.36"/>
    <n v="1"/>
    <n v="0"/>
    <n v="10"/>
    <n v="0"/>
    <n v="1"/>
    <n v="989311.12"/>
    <n v="5"/>
    <n v="4"/>
    <n v="3.8000000000000003"/>
    <x v="2"/>
  </r>
  <r>
    <n v="34"/>
    <x v="0"/>
    <n v="865948.49"/>
    <s v="C321662798"/>
    <n v="865948.49"/>
    <n v="0"/>
    <s v="C1466511502"/>
    <n v="0"/>
    <n v="0"/>
    <n v="1"/>
    <n v="0"/>
    <n v="10"/>
    <n v="0"/>
    <n v="1"/>
    <n v="865948.49"/>
    <n v="5"/>
    <n v="5"/>
    <n v="4.0999999999999996"/>
    <x v="2"/>
  </r>
  <r>
    <n v="34"/>
    <x v="1"/>
    <n v="865948.49"/>
    <s v="C2109818783"/>
    <n v="865948.49"/>
    <n v="0"/>
    <s v="C197117096"/>
    <n v="0"/>
    <n v="865948.49"/>
    <n v="1"/>
    <n v="0"/>
    <n v="10"/>
    <n v="0"/>
    <n v="1"/>
    <n v="865948.49"/>
    <n v="5"/>
    <n v="4"/>
    <n v="3.8000000000000003"/>
    <x v="2"/>
  </r>
  <r>
    <n v="34"/>
    <x v="0"/>
    <n v="30917.39"/>
    <s v="C1302461032"/>
    <n v="30917.39"/>
    <n v="0"/>
    <s v="C1058590682"/>
    <n v="0"/>
    <n v="0"/>
    <n v="1"/>
    <n v="0"/>
    <n v="10"/>
    <n v="0"/>
    <n v="1"/>
    <n v="30917.39"/>
    <n v="2"/>
    <n v="5"/>
    <n v="2.6"/>
    <x v="0"/>
  </r>
  <r>
    <n v="34"/>
    <x v="1"/>
    <n v="30917.39"/>
    <s v="C1257352420"/>
    <n v="30917.39"/>
    <n v="0"/>
    <s v="C984948607"/>
    <n v="339926.42"/>
    <n v="370843.82"/>
    <n v="1"/>
    <n v="0"/>
    <n v="10"/>
    <n v="0"/>
    <n v="1"/>
    <n v="30917.39"/>
    <n v="2"/>
    <n v="4"/>
    <n v="2.3000000000000003"/>
    <x v="0"/>
  </r>
  <r>
    <n v="34"/>
    <x v="0"/>
    <n v="40458"/>
    <s v="C262165422"/>
    <n v="40458"/>
    <n v="0"/>
    <s v="C847172802"/>
    <n v="0"/>
    <n v="0"/>
    <n v="1"/>
    <n v="0"/>
    <n v="10"/>
    <n v="0"/>
    <n v="1"/>
    <n v="40458"/>
    <n v="2"/>
    <n v="5"/>
    <n v="2.6"/>
    <x v="0"/>
  </r>
  <r>
    <n v="34"/>
    <x v="1"/>
    <n v="40458"/>
    <s v="C1657291163"/>
    <n v="40458"/>
    <n v="0"/>
    <s v="C684399107"/>
    <n v="561393.36"/>
    <n v="331179.02"/>
    <n v="1"/>
    <n v="0"/>
    <n v="10"/>
    <n v="0"/>
    <n v="1"/>
    <n v="40458"/>
    <n v="2"/>
    <n v="4"/>
    <n v="2.3000000000000003"/>
    <x v="0"/>
  </r>
  <r>
    <n v="34"/>
    <x v="0"/>
    <n v="1016540.35"/>
    <s v="C638438531"/>
    <n v="1016540.35"/>
    <n v="0"/>
    <s v="C2146216948"/>
    <n v="0"/>
    <n v="0"/>
    <n v="1"/>
    <n v="0"/>
    <n v="10"/>
    <n v="0"/>
    <n v="1"/>
    <n v="1016540.35"/>
    <n v="5"/>
    <n v="5"/>
    <n v="4.0999999999999996"/>
    <x v="2"/>
  </r>
  <r>
    <n v="34"/>
    <x v="1"/>
    <n v="1016540.35"/>
    <s v="C1455982049"/>
    <n v="1016540.35"/>
    <n v="0"/>
    <s v="C1613524189"/>
    <n v="4463851.6399999997"/>
    <n v="5700161.7400000002"/>
    <n v="1"/>
    <n v="0"/>
    <n v="10"/>
    <n v="0"/>
    <n v="1"/>
    <n v="1016540.35"/>
    <n v="5"/>
    <n v="4"/>
    <n v="3.8000000000000003"/>
    <x v="2"/>
  </r>
  <r>
    <n v="34"/>
    <x v="0"/>
    <n v="71693.42"/>
    <s v="C1103482150"/>
    <n v="71693.42"/>
    <n v="0"/>
    <s v="C2145121206"/>
    <n v="0"/>
    <n v="0"/>
    <n v="1"/>
    <n v="0"/>
    <n v="10"/>
    <n v="0"/>
    <n v="1"/>
    <n v="71693.42"/>
    <n v="3"/>
    <n v="5"/>
    <n v="3.1"/>
    <x v="2"/>
  </r>
  <r>
    <n v="34"/>
    <x v="1"/>
    <n v="71693.42"/>
    <s v="C1845753498"/>
    <n v="71693.42"/>
    <n v="0"/>
    <s v="C967051629"/>
    <n v="0"/>
    <n v="71693.42"/>
    <n v="1"/>
    <n v="0"/>
    <n v="10"/>
    <n v="0"/>
    <n v="1"/>
    <n v="71693.42"/>
    <n v="3"/>
    <n v="4"/>
    <n v="2.8000000000000003"/>
    <x v="0"/>
  </r>
  <r>
    <n v="35"/>
    <x v="0"/>
    <n v="472692.51"/>
    <s v="C892010542"/>
    <n v="472692.51"/>
    <n v="0"/>
    <s v="C935310781"/>
    <n v="0"/>
    <n v="0"/>
    <n v="1"/>
    <n v="0"/>
    <n v="11"/>
    <n v="0"/>
    <n v="1"/>
    <n v="472692.51"/>
    <n v="5"/>
    <n v="5"/>
    <n v="4.0999999999999996"/>
    <x v="2"/>
  </r>
  <r>
    <n v="35"/>
    <x v="1"/>
    <n v="472692.51"/>
    <s v="C145594916"/>
    <n v="472692.51"/>
    <n v="0"/>
    <s v="C1718370785"/>
    <n v="193065.83"/>
    <n v="665758.34"/>
    <n v="1"/>
    <n v="0"/>
    <n v="11"/>
    <n v="0"/>
    <n v="1"/>
    <n v="472692.51"/>
    <n v="5"/>
    <n v="4"/>
    <n v="3.8000000000000003"/>
    <x v="2"/>
  </r>
  <r>
    <n v="35"/>
    <x v="0"/>
    <n v="122032.62"/>
    <s v="C133342319"/>
    <n v="122032.62"/>
    <n v="0"/>
    <s v="C1919617921"/>
    <n v="0"/>
    <n v="0"/>
    <n v="1"/>
    <n v="0"/>
    <n v="11"/>
    <n v="0"/>
    <n v="1"/>
    <n v="122032.62"/>
    <n v="4"/>
    <n v="5"/>
    <n v="3.6"/>
    <x v="2"/>
  </r>
  <r>
    <n v="35"/>
    <x v="1"/>
    <n v="122032.62"/>
    <s v="C1167817015"/>
    <n v="122032.62"/>
    <n v="0"/>
    <s v="C1628037417"/>
    <n v="0"/>
    <n v="122032.62"/>
    <n v="1"/>
    <n v="0"/>
    <n v="11"/>
    <n v="0"/>
    <n v="1"/>
    <n v="122032.62"/>
    <n v="4"/>
    <n v="4"/>
    <n v="3.3000000000000003"/>
    <x v="2"/>
  </r>
  <r>
    <n v="35"/>
    <x v="0"/>
    <n v="3606943.31"/>
    <s v="C1054903406"/>
    <n v="3606943.31"/>
    <n v="0"/>
    <s v="C755069790"/>
    <n v="0"/>
    <n v="0"/>
    <n v="1"/>
    <n v="0"/>
    <n v="11"/>
    <n v="0"/>
    <n v="1"/>
    <n v="3606943.31"/>
    <n v="5"/>
    <n v="5"/>
    <n v="4.0999999999999996"/>
    <x v="2"/>
  </r>
  <r>
    <n v="35"/>
    <x v="1"/>
    <n v="3606943.31"/>
    <s v="C1011490419"/>
    <n v="3606943.31"/>
    <n v="0"/>
    <s v="C1919783086"/>
    <n v="0"/>
    <n v="3606943.31"/>
    <n v="1"/>
    <n v="0"/>
    <n v="11"/>
    <n v="0"/>
    <n v="1"/>
    <n v="3606943.31"/>
    <n v="5"/>
    <n v="4"/>
    <n v="3.8000000000000003"/>
    <x v="2"/>
  </r>
  <r>
    <n v="35"/>
    <x v="1"/>
    <n v="112280.88"/>
    <s v="C609821524"/>
    <n v="0"/>
    <n v="0"/>
    <s v="C708118422"/>
    <n v="40512.49"/>
    <n v="152793.35999999999"/>
    <n v="1"/>
    <n v="0"/>
    <n v="11"/>
    <n v="0"/>
    <n v="0"/>
    <n v="0"/>
    <n v="4"/>
    <n v="4"/>
    <n v="3.2"/>
    <x v="2"/>
  </r>
  <r>
    <n v="35"/>
    <x v="0"/>
    <n v="171788.82"/>
    <s v="C392119936"/>
    <n v="171788.82"/>
    <n v="0"/>
    <s v="C1283539626"/>
    <n v="0"/>
    <n v="0"/>
    <n v="1"/>
    <n v="0"/>
    <n v="11"/>
    <n v="0"/>
    <n v="1"/>
    <n v="171788.82"/>
    <n v="4"/>
    <n v="5"/>
    <n v="3.6"/>
    <x v="2"/>
  </r>
  <r>
    <n v="35"/>
    <x v="1"/>
    <n v="171788.82"/>
    <s v="C432562518"/>
    <n v="171788.82"/>
    <n v="0"/>
    <s v="C1529736160"/>
    <n v="19962"/>
    <n v="0"/>
    <n v="1"/>
    <n v="0"/>
    <n v="11"/>
    <n v="0"/>
    <n v="1"/>
    <n v="171788.82"/>
    <n v="4"/>
    <n v="4"/>
    <n v="3.3000000000000003"/>
    <x v="2"/>
  </r>
  <r>
    <n v="35"/>
    <x v="0"/>
    <n v="9465988.8200000003"/>
    <s v="C851016578"/>
    <n v="9465988.8200000003"/>
    <n v="0"/>
    <s v="C1650562969"/>
    <n v="0"/>
    <n v="0"/>
    <n v="1"/>
    <n v="0"/>
    <n v="11"/>
    <n v="0"/>
    <n v="1"/>
    <n v="9465988.8200000003"/>
    <n v="5"/>
    <n v="5"/>
    <n v="4.0999999999999996"/>
    <x v="2"/>
  </r>
  <r>
    <n v="35"/>
    <x v="1"/>
    <n v="9465988.8200000003"/>
    <s v="C91276418"/>
    <n v="9465988.8200000003"/>
    <n v="0"/>
    <s v="C1220805115"/>
    <n v="0"/>
    <n v="9465988.8200000003"/>
    <n v="1"/>
    <n v="0"/>
    <n v="11"/>
    <n v="0"/>
    <n v="1"/>
    <n v="9465988.8200000003"/>
    <n v="5"/>
    <n v="4"/>
    <n v="3.8000000000000003"/>
    <x v="2"/>
  </r>
  <r>
    <n v="35"/>
    <x v="0"/>
    <n v="454511.73"/>
    <s v="C1322100754"/>
    <n v="454511.73"/>
    <n v="0"/>
    <s v="C580058151"/>
    <n v="0"/>
    <n v="0"/>
    <n v="1"/>
    <n v="0"/>
    <n v="11"/>
    <n v="0"/>
    <n v="1"/>
    <n v="454511.73"/>
    <n v="5"/>
    <n v="5"/>
    <n v="4.0999999999999996"/>
    <x v="2"/>
  </r>
  <r>
    <n v="35"/>
    <x v="1"/>
    <n v="454511.73"/>
    <s v="C1482588472"/>
    <n v="454511.73"/>
    <n v="0"/>
    <s v="C1751888979"/>
    <n v="140892.24"/>
    <n v="595403.98"/>
    <n v="1"/>
    <n v="0"/>
    <n v="11"/>
    <n v="0"/>
    <n v="1"/>
    <n v="454511.73"/>
    <n v="5"/>
    <n v="4"/>
    <n v="3.8000000000000003"/>
    <x v="2"/>
  </r>
  <r>
    <n v="35"/>
    <x v="0"/>
    <n v="136983.26"/>
    <s v="C828966021"/>
    <n v="136983.26"/>
    <n v="0"/>
    <s v="C253711141"/>
    <n v="0"/>
    <n v="0"/>
    <n v="1"/>
    <n v="0"/>
    <n v="11"/>
    <n v="0"/>
    <n v="1"/>
    <n v="136983.26"/>
    <n v="4"/>
    <n v="5"/>
    <n v="3.6"/>
    <x v="2"/>
  </r>
  <r>
    <n v="35"/>
    <x v="1"/>
    <n v="136983.26"/>
    <s v="C1036592129"/>
    <n v="136983.26"/>
    <n v="0"/>
    <s v="C133256042"/>
    <n v="0"/>
    <n v="136983.26"/>
    <n v="1"/>
    <n v="0"/>
    <n v="11"/>
    <n v="0"/>
    <n v="1"/>
    <n v="136983.26"/>
    <n v="4"/>
    <n v="4"/>
    <n v="3.3000000000000003"/>
    <x v="2"/>
  </r>
  <r>
    <n v="36"/>
    <x v="0"/>
    <n v="326884.31"/>
    <s v="C237051726"/>
    <n v="326884.31"/>
    <n v="0"/>
    <s v="C1684081981"/>
    <n v="0"/>
    <n v="0"/>
    <n v="1"/>
    <n v="0"/>
    <n v="12"/>
    <n v="0"/>
    <n v="1"/>
    <n v="326884.31"/>
    <n v="5"/>
    <n v="5"/>
    <n v="4.0999999999999996"/>
    <x v="2"/>
  </r>
  <r>
    <n v="36"/>
    <x v="1"/>
    <n v="326884.31"/>
    <s v="C1259393771"/>
    <n v="326884.31"/>
    <n v="0"/>
    <s v="C275053310"/>
    <n v="337428.2"/>
    <n v="664312.51"/>
    <n v="1"/>
    <n v="0"/>
    <n v="12"/>
    <n v="0"/>
    <n v="1"/>
    <n v="326884.31"/>
    <n v="5"/>
    <n v="4"/>
    <n v="3.8000000000000003"/>
    <x v="2"/>
  </r>
  <r>
    <n v="36"/>
    <x v="0"/>
    <n v="2352524.1800000002"/>
    <s v="C1498028072"/>
    <n v="2352524.1800000002"/>
    <n v="0"/>
    <s v="C70360442"/>
    <n v="0"/>
    <n v="0"/>
    <n v="1"/>
    <n v="0"/>
    <n v="12"/>
    <n v="0"/>
    <n v="1"/>
    <n v="2352524.1800000002"/>
    <n v="5"/>
    <n v="5"/>
    <n v="4.0999999999999996"/>
    <x v="2"/>
  </r>
  <r>
    <n v="36"/>
    <x v="1"/>
    <n v="2352524.1800000002"/>
    <s v="C914179351"/>
    <n v="2352524.1800000002"/>
    <n v="0"/>
    <s v="C413966770"/>
    <n v="1227902.1200000001"/>
    <n v="3580426.31"/>
    <n v="1"/>
    <n v="0"/>
    <n v="12"/>
    <n v="0"/>
    <n v="1"/>
    <n v="2352524.1800000002"/>
    <n v="5"/>
    <n v="4"/>
    <n v="3.8000000000000003"/>
    <x v="2"/>
  </r>
  <r>
    <n v="36"/>
    <x v="0"/>
    <n v="113338.99"/>
    <s v="C226697568"/>
    <n v="113338.99"/>
    <n v="0"/>
    <s v="C1045024523"/>
    <n v="0"/>
    <n v="0"/>
    <n v="1"/>
    <n v="0"/>
    <n v="12"/>
    <n v="0"/>
    <n v="1"/>
    <n v="113338.99"/>
    <n v="4"/>
    <n v="5"/>
    <n v="3.6"/>
    <x v="2"/>
  </r>
  <r>
    <n v="36"/>
    <x v="1"/>
    <n v="113338.99"/>
    <s v="C371645181"/>
    <n v="113338.99"/>
    <n v="0"/>
    <s v="C895376277"/>
    <n v="3290608.15"/>
    <n v="3403947.14"/>
    <n v="1"/>
    <n v="0"/>
    <n v="12"/>
    <n v="0"/>
    <n v="1"/>
    <n v="113338.99"/>
    <n v="4"/>
    <n v="4"/>
    <n v="3.3000000000000003"/>
    <x v="2"/>
  </r>
  <r>
    <n v="36"/>
    <x v="0"/>
    <n v="886592.76"/>
    <s v="C1027885522"/>
    <n v="886592.76"/>
    <n v="0"/>
    <s v="C201404620"/>
    <n v="0"/>
    <n v="0"/>
    <n v="1"/>
    <n v="0"/>
    <n v="12"/>
    <n v="0"/>
    <n v="1"/>
    <n v="886592.76"/>
    <n v="5"/>
    <n v="5"/>
    <n v="4.0999999999999996"/>
    <x v="2"/>
  </r>
  <r>
    <n v="36"/>
    <x v="1"/>
    <n v="886592.76"/>
    <s v="C1385592810"/>
    <n v="886592.76"/>
    <n v="0"/>
    <s v="C1755092826"/>
    <n v="112531.06"/>
    <n v="999123.82"/>
    <n v="1"/>
    <n v="0"/>
    <n v="12"/>
    <n v="0"/>
    <n v="1"/>
    <n v="886592.76"/>
    <n v="5"/>
    <n v="4"/>
    <n v="3.8000000000000003"/>
    <x v="2"/>
  </r>
  <r>
    <n v="36"/>
    <x v="0"/>
    <n v="819503.92"/>
    <s v="C2020161235"/>
    <n v="819503.92"/>
    <n v="0"/>
    <s v="C1827219533"/>
    <n v="0"/>
    <n v="0"/>
    <n v="1"/>
    <n v="0"/>
    <n v="12"/>
    <n v="0"/>
    <n v="1"/>
    <n v="819503.92"/>
    <n v="5"/>
    <n v="5"/>
    <n v="4.0999999999999996"/>
    <x v="2"/>
  </r>
  <r>
    <n v="36"/>
    <x v="1"/>
    <n v="819503.92"/>
    <s v="C510717698"/>
    <n v="819503.92"/>
    <n v="0"/>
    <s v="C1469248112"/>
    <n v="255585.23"/>
    <n v="1470226.48"/>
    <n v="1"/>
    <n v="0"/>
    <n v="12"/>
    <n v="0"/>
    <n v="1"/>
    <n v="819503.92"/>
    <n v="5"/>
    <n v="4"/>
    <n v="3.8000000000000003"/>
    <x v="2"/>
  </r>
  <r>
    <n v="36"/>
    <x v="0"/>
    <n v="636"/>
    <s v="C1819371332"/>
    <n v="636"/>
    <n v="0"/>
    <s v="C59681246"/>
    <n v="0"/>
    <n v="0"/>
    <n v="1"/>
    <n v="0"/>
    <n v="12"/>
    <n v="0"/>
    <n v="1"/>
    <n v="636"/>
    <n v="1"/>
    <n v="5"/>
    <n v="2.1"/>
    <x v="0"/>
  </r>
  <r>
    <n v="36"/>
    <x v="1"/>
    <n v="636"/>
    <s v="C1789723757"/>
    <n v="636"/>
    <n v="0"/>
    <s v="C236701409"/>
    <n v="0"/>
    <n v="636"/>
    <n v="1"/>
    <n v="0"/>
    <n v="12"/>
    <n v="0"/>
    <n v="1"/>
    <n v="636"/>
    <n v="1"/>
    <n v="4"/>
    <n v="1.8"/>
    <x v="1"/>
  </r>
  <r>
    <n v="36"/>
    <x v="0"/>
    <n v="32382.959999999999"/>
    <s v="C1291212648"/>
    <n v="32382.959999999999"/>
    <n v="0"/>
    <s v="C301302016"/>
    <n v="0"/>
    <n v="0"/>
    <n v="1"/>
    <n v="0"/>
    <n v="12"/>
    <n v="0"/>
    <n v="1"/>
    <n v="32382.959999999999"/>
    <n v="2"/>
    <n v="5"/>
    <n v="2.6"/>
    <x v="0"/>
  </r>
  <r>
    <n v="36"/>
    <x v="1"/>
    <n v="32382.959999999999"/>
    <s v="C1507237385"/>
    <n v="32382.959999999999"/>
    <n v="0"/>
    <s v="C53062849"/>
    <n v="0"/>
    <n v="32382.959999999999"/>
    <n v="1"/>
    <n v="0"/>
    <n v="12"/>
    <n v="0"/>
    <n v="1"/>
    <n v="32382.959999999999"/>
    <n v="2"/>
    <n v="4"/>
    <n v="2.3000000000000003"/>
    <x v="0"/>
  </r>
  <r>
    <n v="36"/>
    <x v="0"/>
    <n v="103056"/>
    <s v="C383698470"/>
    <n v="103056"/>
    <n v="0"/>
    <s v="C761769299"/>
    <n v="0"/>
    <n v="0"/>
    <n v="1"/>
    <n v="0"/>
    <n v="12"/>
    <n v="0"/>
    <n v="1"/>
    <n v="103056"/>
    <n v="4"/>
    <n v="5"/>
    <n v="3.6"/>
    <x v="2"/>
  </r>
  <r>
    <n v="36"/>
    <x v="1"/>
    <n v="103056"/>
    <s v="C1859440956"/>
    <n v="103056"/>
    <n v="0"/>
    <s v="C1389963224"/>
    <n v="444182.13"/>
    <n v="547238.13"/>
    <n v="1"/>
    <n v="0"/>
    <n v="12"/>
    <n v="0"/>
    <n v="1"/>
    <n v="103056"/>
    <n v="4"/>
    <n v="4"/>
    <n v="3.3000000000000003"/>
    <x v="2"/>
  </r>
  <r>
    <n v="36"/>
    <x v="1"/>
    <n v="234377.29"/>
    <s v="C1737133410"/>
    <n v="0"/>
    <n v="0"/>
    <s v="C877378703"/>
    <n v="34937.86"/>
    <n v="269315.15000000002"/>
    <n v="1"/>
    <n v="0"/>
    <n v="12"/>
    <n v="0"/>
    <n v="0"/>
    <n v="0"/>
    <n v="5"/>
    <n v="4"/>
    <n v="3.7"/>
    <x v="2"/>
  </r>
  <r>
    <n v="36"/>
    <x v="0"/>
    <n v="1684039.12"/>
    <s v="C397247453"/>
    <n v="1684039.12"/>
    <n v="0"/>
    <s v="C227472046"/>
    <n v="0"/>
    <n v="0"/>
    <n v="1"/>
    <n v="0"/>
    <n v="12"/>
    <n v="0"/>
    <n v="1"/>
    <n v="1684039.12"/>
    <n v="5"/>
    <n v="5"/>
    <n v="4.0999999999999996"/>
    <x v="2"/>
  </r>
  <r>
    <n v="36"/>
    <x v="1"/>
    <n v="1684039.12"/>
    <s v="C168686866"/>
    <n v="1684039.12"/>
    <n v="0"/>
    <s v="C803116137"/>
    <n v="33000000"/>
    <n v="34600000"/>
    <n v="1"/>
    <n v="0"/>
    <n v="12"/>
    <n v="0"/>
    <n v="1"/>
    <n v="1684039.12"/>
    <n v="5"/>
    <n v="4"/>
    <n v="3.8000000000000003"/>
    <x v="2"/>
  </r>
  <r>
    <n v="37"/>
    <x v="0"/>
    <n v="1842"/>
    <s v="C1032918138"/>
    <n v="1842"/>
    <n v="0"/>
    <s v="C34257403"/>
    <n v="0"/>
    <n v="0"/>
    <n v="1"/>
    <n v="0"/>
    <n v="13"/>
    <n v="0"/>
    <n v="1"/>
    <n v="1842"/>
    <n v="1"/>
    <n v="5"/>
    <n v="2.1"/>
    <x v="0"/>
  </r>
  <r>
    <n v="37"/>
    <x v="1"/>
    <n v="1842"/>
    <s v="C323132484"/>
    <n v="1842"/>
    <n v="0"/>
    <s v="C1737682079"/>
    <n v="0"/>
    <n v="1842"/>
    <n v="1"/>
    <n v="0"/>
    <n v="13"/>
    <n v="0"/>
    <n v="1"/>
    <n v="1842"/>
    <n v="1"/>
    <n v="4"/>
    <n v="1.8"/>
    <x v="1"/>
  </r>
  <r>
    <n v="37"/>
    <x v="0"/>
    <n v="180967.56"/>
    <s v="C1482673200"/>
    <n v="180967.56"/>
    <n v="0"/>
    <s v="C1127207923"/>
    <n v="0"/>
    <n v="0"/>
    <n v="1"/>
    <n v="0"/>
    <n v="13"/>
    <n v="0"/>
    <n v="1"/>
    <n v="180967.56"/>
    <n v="4"/>
    <n v="5"/>
    <n v="3.6"/>
    <x v="2"/>
  </r>
  <r>
    <n v="37"/>
    <x v="1"/>
    <n v="180967.56"/>
    <s v="C1196784232"/>
    <n v="180967.56"/>
    <n v="0"/>
    <s v="C165922010"/>
    <n v="95280.53"/>
    <n v="276248.09999999998"/>
    <n v="1"/>
    <n v="0"/>
    <n v="13"/>
    <n v="0"/>
    <n v="1"/>
    <n v="180967.56"/>
    <n v="4"/>
    <n v="4"/>
    <n v="3.3000000000000003"/>
    <x v="2"/>
  </r>
  <r>
    <n v="37"/>
    <x v="0"/>
    <n v="93083.27"/>
    <s v="C1904979167"/>
    <n v="93083.27"/>
    <n v="0"/>
    <s v="C2067685892"/>
    <n v="0"/>
    <n v="0"/>
    <n v="1"/>
    <n v="0"/>
    <n v="13"/>
    <n v="0"/>
    <n v="1"/>
    <n v="93083.27"/>
    <n v="3"/>
    <n v="5"/>
    <n v="3.1"/>
    <x v="2"/>
  </r>
  <r>
    <n v="37"/>
    <x v="1"/>
    <n v="93083.27"/>
    <s v="C517122648"/>
    <n v="93083.27"/>
    <n v="0"/>
    <s v="C839403720"/>
    <n v="2466124.85"/>
    <n v="2559208.13"/>
    <n v="1"/>
    <n v="0"/>
    <n v="13"/>
    <n v="0"/>
    <n v="1"/>
    <n v="93083.27"/>
    <n v="3"/>
    <n v="4"/>
    <n v="2.8000000000000003"/>
    <x v="0"/>
  </r>
  <r>
    <n v="37"/>
    <x v="0"/>
    <n v="5979556.0599999996"/>
    <s v="C899260948"/>
    <n v="5979556.0599999996"/>
    <n v="0"/>
    <s v="C1414206737"/>
    <n v="0"/>
    <n v="0"/>
    <n v="1"/>
    <n v="0"/>
    <n v="13"/>
    <n v="0"/>
    <n v="1"/>
    <n v="5979556.0599999996"/>
    <n v="5"/>
    <n v="5"/>
    <n v="4.0999999999999996"/>
    <x v="2"/>
  </r>
  <r>
    <n v="37"/>
    <x v="1"/>
    <n v="5979556.0599999996"/>
    <s v="C1240594546"/>
    <n v="5979556.0599999996"/>
    <n v="0"/>
    <s v="C579897687"/>
    <n v="0"/>
    <n v="5979556.0599999996"/>
    <n v="1"/>
    <n v="0"/>
    <n v="13"/>
    <n v="0"/>
    <n v="1"/>
    <n v="5979556.0599999996"/>
    <n v="5"/>
    <n v="4"/>
    <n v="3.8000000000000003"/>
    <x v="2"/>
  </r>
  <r>
    <n v="37"/>
    <x v="0"/>
    <n v="128133"/>
    <s v="C1300586295"/>
    <n v="128133"/>
    <n v="0"/>
    <s v="C786580223"/>
    <n v="0"/>
    <n v="0"/>
    <n v="1"/>
    <n v="0"/>
    <n v="13"/>
    <n v="0"/>
    <n v="1"/>
    <n v="128133"/>
    <n v="4"/>
    <n v="5"/>
    <n v="3.6"/>
    <x v="2"/>
  </r>
  <r>
    <n v="37"/>
    <x v="1"/>
    <n v="128133"/>
    <s v="C921148283"/>
    <n v="128133"/>
    <n v="0"/>
    <s v="C129500962"/>
    <n v="160395.62"/>
    <n v="288528.62"/>
    <n v="1"/>
    <n v="0"/>
    <n v="13"/>
    <n v="0"/>
    <n v="1"/>
    <n v="128133"/>
    <n v="4"/>
    <n v="4"/>
    <n v="3.3000000000000003"/>
    <x v="2"/>
  </r>
  <r>
    <n v="37"/>
    <x v="0"/>
    <n v="503793.25"/>
    <s v="C140477383"/>
    <n v="503793.25"/>
    <n v="0"/>
    <s v="C1169138113"/>
    <n v="0"/>
    <n v="95709.62"/>
    <n v="1"/>
    <n v="0"/>
    <n v="13"/>
    <n v="0"/>
    <n v="1"/>
    <n v="503793.25"/>
    <n v="5"/>
    <n v="5"/>
    <n v="4.0999999999999996"/>
    <x v="2"/>
  </r>
  <r>
    <n v="37"/>
    <x v="1"/>
    <n v="503793.25"/>
    <s v="C1260832016"/>
    <n v="503793.25"/>
    <n v="0"/>
    <s v="C930580526"/>
    <n v="10100000"/>
    <n v="10600000"/>
    <n v="1"/>
    <n v="0"/>
    <n v="13"/>
    <n v="0"/>
    <n v="1"/>
    <n v="503793.25"/>
    <n v="5"/>
    <n v="4"/>
    <n v="3.8000000000000003"/>
    <x v="2"/>
  </r>
  <r>
    <n v="37"/>
    <x v="1"/>
    <n v="112486.46"/>
    <s v="C124687089"/>
    <n v="0"/>
    <n v="0"/>
    <s v="C179706450"/>
    <n v="257274.47"/>
    <n v="369760.93"/>
    <n v="1"/>
    <n v="0"/>
    <n v="13"/>
    <n v="0"/>
    <n v="0"/>
    <n v="0"/>
    <n v="4"/>
    <n v="4"/>
    <n v="3.2"/>
    <x v="2"/>
  </r>
  <r>
    <n v="38"/>
    <x v="0"/>
    <n v="448004.86"/>
    <s v="C2088582248"/>
    <n v="448004.86"/>
    <n v="0"/>
    <s v="C534171533"/>
    <n v="0"/>
    <n v="0"/>
    <n v="1"/>
    <n v="0"/>
    <n v="14"/>
    <n v="0"/>
    <n v="1"/>
    <n v="448004.86"/>
    <n v="5"/>
    <n v="5"/>
    <n v="4.0999999999999996"/>
    <x v="2"/>
  </r>
  <r>
    <n v="38"/>
    <x v="1"/>
    <n v="448004.86"/>
    <s v="C949792674"/>
    <n v="448004.86"/>
    <n v="0"/>
    <s v="C1152369407"/>
    <n v="147828.66"/>
    <n v="595833.52"/>
    <n v="1"/>
    <n v="0"/>
    <n v="14"/>
    <n v="0"/>
    <n v="1"/>
    <n v="448004.86"/>
    <n v="5"/>
    <n v="4"/>
    <n v="3.8000000000000003"/>
    <x v="2"/>
  </r>
  <r>
    <n v="38"/>
    <x v="0"/>
    <n v="90204.54"/>
    <s v="C151033820"/>
    <n v="90204.54"/>
    <n v="0"/>
    <s v="C1303889891"/>
    <n v="0"/>
    <n v="0"/>
    <n v="1"/>
    <n v="0"/>
    <n v="14"/>
    <n v="0"/>
    <n v="1"/>
    <n v="90204.54"/>
    <n v="3"/>
    <n v="5"/>
    <n v="3.1"/>
    <x v="2"/>
  </r>
  <r>
    <n v="38"/>
    <x v="1"/>
    <n v="90204.54"/>
    <s v="C1295812229"/>
    <n v="90204.54"/>
    <n v="0"/>
    <s v="C1254182177"/>
    <n v="0"/>
    <n v="90204.54"/>
    <n v="1"/>
    <n v="0"/>
    <n v="14"/>
    <n v="0"/>
    <n v="1"/>
    <n v="90204.54"/>
    <n v="3"/>
    <n v="4"/>
    <n v="2.8000000000000003"/>
    <x v="0"/>
  </r>
  <r>
    <n v="38"/>
    <x v="1"/>
    <n v="577418.98"/>
    <s v="C1907944035"/>
    <n v="0"/>
    <n v="0"/>
    <s v="C541373010"/>
    <n v="0"/>
    <n v="577418.98"/>
    <n v="1"/>
    <n v="0"/>
    <n v="14"/>
    <n v="0"/>
    <n v="0"/>
    <n v="0"/>
    <n v="5"/>
    <n v="4"/>
    <n v="3.7"/>
    <x v="2"/>
  </r>
  <r>
    <n v="38"/>
    <x v="0"/>
    <n v="21367"/>
    <s v="C1884262933"/>
    <n v="21367"/>
    <n v="0"/>
    <s v="C69223691"/>
    <n v="0"/>
    <n v="0"/>
    <n v="1"/>
    <n v="0"/>
    <n v="14"/>
    <n v="0"/>
    <n v="1"/>
    <n v="21367"/>
    <n v="2"/>
    <n v="5"/>
    <n v="2.6"/>
    <x v="0"/>
  </r>
  <r>
    <n v="38"/>
    <x v="1"/>
    <n v="21367"/>
    <s v="C1032400193"/>
    <n v="21367"/>
    <n v="0"/>
    <s v="C760883565"/>
    <n v="898934.02"/>
    <n v="920301.02"/>
    <n v="1"/>
    <n v="0"/>
    <n v="14"/>
    <n v="0"/>
    <n v="1"/>
    <n v="21367"/>
    <n v="2"/>
    <n v="4"/>
    <n v="2.3000000000000003"/>
    <x v="0"/>
  </r>
  <r>
    <n v="38"/>
    <x v="0"/>
    <n v="2395.29"/>
    <s v="C1015615322"/>
    <n v="2395.29"/>
    <n v="0"/>
    <s v="C503986394"/>
    <n v="0"/>
    <n v="0"/>
    <n v="1"/>
    <n v="0"/>
    <n v="14"/>
    <n v="0"/>
    <n v="1"/>
    <n v="2395.29"/>
    <n v="1"/>
    <n v="5"/>
    <n v="2.1"/>
    <x v="0"/>
  </r>
  <r>
    <n v="38"/>
    <x v="1"/>
    <n v="2395.29"/>
    <s v="C50436894"/>
    <n v="2395.29"/>
    <n v="0"/>
    <s v="C1124184322"/>
    <n v="276538.59000000003"/>
    <n v="470937.03"/>
    <n v="1"/>
    <n v="0"/>
    <n v="14"/>
    <n v="0"/>
    <n v="1"/>
    <n v="2395.29"/>
    <n v="1"/>
    <n v="4"/>
    <n v="1.8"/>
    <x v="1"/>
  </r>
  <r>
    <n v="38"/>
    <x v="0"/>
    <n v="7567170.3600000003"/>
    <s v="C1215509660"/>
    <n v="7567170.3600000003"/>
    <n v="0"/>
    <s v="C96222488"/>
    <n v="0"/>
    <n v="0"/>
    <n v="1"/>
    <n v="0"/>
    <n v="14"/>
    <n v="0"/>
    <n v="1"/>
    <n v="7567170.3600000003"/>
    <n v="5"/>
    <n v="5"/>
    <n v="4.0999999999999996"/>
    <x v="2"/>
  </r>
  <r>
    <n v="38"/>
    <x v="1"/>
    <n v="7567170.3600000003"/>
    <s v="C1891733615"/>
    <n v="7567170.3600000003"/>
    <n v="0"/>
    <s v="C1599314459"/>
    <n v="345425.4"/>
    <n v="7912595.75"/>
    <n v="1"/>
    <n v="0"/>
    <n v="14"/>
    <n v="0"/>
    <n v="1"/>
    <n v="7567170.3600000003"/>
    <n v="5"/>
    <n v="4"/>
    <n v="3.8000000000000003"/>
    <x v="2"/>
  </r>
  <r>
    <n v="38"/>
    <x v="0"/>
    <n v="3372"/>
    <s v="C2049498532"/>
    <n v="3372"/>
    <n v="0"/>
    <s v="C1540407960"/>
    <n v="0"/>
    <n v="0"/>
    <n v="1"/>
    <n v="0"/>
    <n v="14"/>
    <n v="0"/>
    <n v="1"/>
    <n v="3372"/>
    <n v="1"/>
    <n v="5"/>
    <n v="2.1"/>
    <x v="0"/>
  </r>
  <r>
    <n v="38"/>
    <x v="1"/>
    <n v="3372"/>
    <s v="C2002603307"/>
    <n v="3372"/>
    <n v="0"/>
    <s v="C1685866985"/>
    <n v="456659.44"/>
    <n v="460031.44"/>
    <n v="1"/>
    <n v="0"/>
    <n v="14"/>
    <n v="0"/>
    <n v="1"/>
    <n v="3372"/>
    <n v="1"/>
    <n v="4"/>
    <n v="1.8"/>
    <x v="1"/>
  </r>
  <r>
    <n v="38"/>
    <x v="1"/>
    <n v="407005.78"/>
    <s v="C1948189565"/>
    <n v="0"/>
    <n v="0"/>
    <s v="C1059308371"/>
    <n v="0"/>
    <n v="407005.78"/>
    <n v="1"/>
    <n v="0"/>
    <n v="14"/>
    <n v="0"/>
    <n v="0"/>
    <n v="0"/>
    <n v="5"/>
    <n v="4"/>
    <n v="3.7"/>
    <x v="2"/>
  </r>
  <r>
    <n v="38"/>
    <x v="0"/>
    <n v="360688.3"/>
    <s v="C739289668"/>
    <n v="360688.3"/>
    <n v="0"/>
    <s v="C432663857"/>
    <n v="0"/>
    <n v="0"/>
    <n v="1"/>
    <n v="0"/>
    <n v="14"/>
    <n v="0"/>
    <n v="1"/>
    <n v="360688.3"/>
    <n v="5"/>
    <n v="5"/>
    <n v="4.0999999999999996"/>
    <x v="2"/>
  </r>
  <r>
    <n v="38"/>
    <x v="1"/>
    <n v="360688.3"/>
    <s v="C62190783"/>
    <n v="360688.3"/>
    <n v="0"/>
    <s v="C1187610031"/>
    <n v="0"/>
    <n v="360688.3"/>
    <n v="1"/>
    <n v="0"/>
    <n v="14"/>
    <n v="0"/>
    <n v="1"/>
    <n v="360688.3"/>
    <n v="5"/>
    <n v="4"/>
    <n v="3.8000000000000003"/>
    <x v="2"/>
  </r>
  <r>
    <n v="39"/>
    <x v="0"/>
    <n v="2070814.27"/>
    <s v="C511306069"/>
    <n v="2070814.27"/>
    <n v="0"/>
    <s v="C1776402146"/>
    <n v="0"/>
    <n v="0"/>
    <n v="1"/>
    <n v="0"/>
    <n v="15"/>
    <n v="0"/>
    <n v="1"/>
    <n v="2070814.27"/>
    <n v="5"/>
    <n v="5"/>
    <n v="4.0999999999999996"/>
    <x v="2"/>
  </r>
  <r>
    <n v="39"/>
    <x v="1"/>
    <n v="2070814.27"/>
    <s v="C1115361466"/>
    <n v="2070814.27"/>
    <n v="0"/>
    <s v="C521252518"/>
    <n v="0"/>
    <n v="2070814.27"/>
    <n v="1"/>
    <n v="0"/>
    <n v="15"/>
    <n v="0"/>
    <n v="1"/>
    <n v="2070814.27"/>
    <n v="5"/>
    <n v="4"/>
    <n v="3.8000000000000003"/>
    <x v="2"/>
  </r>
  <r>
    <n v="39"/>
    <x v="0"/>
    <n v="238717.5"/>
    <s v="C492613437"/>
    <n v="238717.5"/>
    <n v="0"/>
    <s v="C74971191"/>
    <n v="0"/>
    <n v="0"/>
    <n v="1"/>
    <n v="0"/>
    <n v="15"/>
    <n v="0"/>
    <n v="1"/>
    <n v="238717.5"/>
    <n v="5"/>
    <n v="5"/>
    <n v="4.0999999999999996"/>
    <x v="2"/>
  </r>
  <r>
    <n v="39"/>
    <x v="1"/>
    <n v="238717.5"/>
    <s v="C1658110693"/>
    <n v="238717.5"/>
    <n v="0"/>
    <s v="C222052738"/>
    <n v="601511.4"/>
    <n v="671690.05"/>
    <n v="1"/>
    <n v="0"/>
    <n v="15"/>
    <n v="0"/>
    <n v="1"/>
    <n v="238717.5"/>
    <n v="5"/>
    <n v="4"/>
    <n v="3.8000000000000003"/>
    <x v="2"/>
  </r>
  <r>
    <n v="39"/>
    <x v="0"/>
    <n v="18887"/>
    <s v="C725825783"/>
    <n v="18887"/>
    <n v="0"/>
    <s v="C236787500"/>
    <n v="0"/>
    <n v="0"/>
    <n v="1"/>
    <n v="0"/>
    <n v="15"/>
    <n v="0"/>
    <n v="1"/>
    <n v="18887"/>
    <n v="2"/>
    <n v="5"/>
    <n v="2.6"/>
    <x v="0"/>
  </r>
  <r>
    <n v="39"/>
    <x v="1"/>
    <n v="18887"/>
    <s v="C1507825825"/>
    <n v="18887"/>
    <n v="0"/>
    <s v="C1603586973"/>
    <n v="131489.74"/>
    <n v="150376.74"/>
    <n v="1"/>
    <n v="0"/>
    <n v="15"/>
    <n v="0"/>
    <n v="1"/>
    <n v="18887"/>
    <n v="2"/>
    <n v="4"/>
    <n v="2.3000000000000003"/>
    <x v="0"/>
  </r>
  <r>
    <n v="39"/>
    <x v="0"/>
    <n v="7937954.2000000002"/>
    <s v="C2057200986"/>
    <n v="7937954.2000000002"/>
    <n v="0"/>
    <s v="C1124319645"/>
    <n v="0"/>
    <n v="0"/>
    <n v="1"/>
    <n v="0"/>
    <n v="15"/>
    <n v="0"/>
    <n v="1"/>
    <n v="7937954.2000000002"/>
    <n v="5"/>
    <n v="5"/>
    <n v="4.0999999999999996"/>
    <x v="2"/>
  </r>
  <r>
    <n v="39"/>
    <x v="1"/>
    <n v="7937954.2000000002"/>
    <s v="C1581001485"/>
    <n v="7937954.2000000002"/>
    <n v="0"/>
    <s v="C2012612648"/>
    <n v="2716480.56"/>
    <n v="10700000"/>
    <n v="1"/>
    <n v="0"/>
    <n v="15"/>
    <n v="0"/>
    <n v="1"/>
    <n v="7937954.2000000002"/>
    <n v="5"/>
    <n v="4"/>
    <n v="3.8000000000000003"/>
    <x v="2"/>
  </r>
  <r>
    <n v="39"/>
    <x v="0"/>
    <n v="39013.300000000003"/>
    <s v="C1092667126"/>
    <n v="39013.300000000003"/>
    <n v="0"/>
    <s v="C1482119856"/>
    <n v="0"/>
    <n v="0"/>
    <n v="1"/>
    <n v="0"/>
    <n v="15"/>
    <n v="0"/>
    <n v="1"/>
    <n v="39013.300000000003"/>
    <n v="2"/>
    <n v="5"/>
    <n v="2.6"/>
    <x v="0"/>
  </r>
  <r>
    <n v="39"/>
    <x v="1"/>
    <n v="39013.300000000003"/>
    <s v="C888856721"/>
    <n v="39013.300000000003"/>
    <n v="0"/>
    <s v="C202101281"/>
    <n v="924162.55"/>
    <n v="1089489.1100000001"/>
    <n v="1"/>
    <n v="0"/>
    <n v="15"/>
    <n v="0"/>
    <n v="1"/>
    <n v="39013.300000000003"/>
    <n v="2"/>
    <n v="4"/>
    <n v="2.3000000000000003"/>
    <x v="0"/>
  </r>
  <r>
    <n v="39"/>
    <x v="0"/>
    <n v="152042.16"/>
    <s v="C1118399210"/>
    <n v="152042.16"/>
    <n v="0"/>
    <s v="C104038589"/>
    <n v="0"/>
    <n v="0"/>
    <n v="1"/>
    <n v="0"/>
    <n v="15"/>
    <n v="0"/>
    <n v="1"/>
    <n v="152042.16"/>
    <n v="4"/>
    <n v="5"/>
    <n v="3.6"/>
    <x v="2"/>
  </r>
  <r>
    <n v="39"/>
    <x v="1"/>
    <n v="152042.16"/>
    <s v="C1395896953"/>
    <n v="152042.16"/>
    <n v="0"/>
    <s v="C45672156"/>
    <n v="710428.02"/>
    <n v="862470.18"/>
    <n v="1"/>
    <n v="0"/>
    <n v="15"/>
    <n v="0"/>
    <n v="1"/>
    <n v="152042.16"/>
    <n v="4"/>
    <n v="4"/>
    <n v="3.3000000000000003"/>
    <x v="2"/>
  </r>
  <r>
    <n v="40"/>
    <x v="0"/>
    <n v="26950.06"/>
    <s v="C575969831"/>
    <n v="26950.06"/>
    <n v="0"/>
    <s v="C220147588"/>
    <n v="0"/>
    <n v="0"/>
    <n v="1"/>
    <n v="0"/>
    <n v="16"/>
    <n v="0"/>
    <n v="1"/>
    <n v="26950.06"/>
    <n v="2"/>
    <n v="5"/>
    <n v="2.6"/>
    <x v="0"/>
  </r>
  <r>
    <n v="40"/>
    <x v="1"/>
    <n v="26950.06"/>
    <s v="C1112574505"/>
    <n v="26950.06"/>
    <n v="0"/>
    <s v="C30015547"/>
    <n v="255430.21"/>
    <n v="282380.27"/>
    <n v="1"/>
    <n v="0"/>
    <n v="16"/>
    <n v="0"/>
    <n v="1"/>
    <n v="26950.06"/>
    <n v="2"/>
    <n v="4"/>
    <n v="2.3000000000000003"/>
    <x v="0"/>
  </r>
  <r>
    <n v="40"/>
    <x v="0"/>
    <n v="20314.97"/>
    <s v="C776336653"/>
    <n v="20314.97"/>
    <n v="0"/>
    <s v="C737099940"/>
    <n v="0"/>
    <n v="0"/>
    <n v="1"/>
    <n v="0"/>
    <n v="16"/>
    <n v="0"/>
    <n v="1"/>
    <n v="20314.97"/>
    <n v="2"/>
    <n v="5"/>
    <n v="2.6"/>
    <x v="0"/>
  </r>
  <r>
    <n v="40"/>
    <x v="1"/>
    <n v="20314.97"/>
    <s v="C1545814282"/>
    <n v="20314.97"/>
    <n v="0"/>
    <s v="C183363284"/>
    <n v="1270005.54"/>
    <n v="1290320.51"/>
    <n v="1"/>
    <n v="0"/>
    <n v="16"/>
    <n v="0"/>
    <n v="1"/>
    <n v="20314.97"/>
    <n v="2"/>
    <n v="4"/>
    <n v="2.3000000000000003"/>
    <x v="0"/>
  </r>
  <r>
    <n v="40"/>
    <x v="0"/>
    <n v="6188772.4400000004"/>
    <s v="C979937832"/>
    <n v="6188772.4400000004"/>
    <n v="0"/>
    <s v="C1787596520"/>
    <n v="0"/>
    <n v="0"/>
    <n v="1"/>
    <n v="0"/>
    <n v="16"/>
    <n v="0"/>
    <n v="1"/>
    <n v="6188772.4400000004"/>
    <n v="5"/>
    <n v="5"/>
    <n v="4.0999999999999996"/>
    <x v="2"/>
  </r>
  <r>
    <n v="40"/>
    <x v="1"/>
    <n v="6188772.4400000004"/>
    <s v="C1440649048"/>
    <n v="6188772.4400000004"/>
    <n v="0"/>
    <s v="C1477641326"/>
    <n v="6056796.7400000002"/>
    <n v="12400000"/>
    <n v="1"/>
    <n v="0"/>
    <n v="16"/>
    <n v="0"/>
    <n v="1"/>
    <n v="6188772.4400000004"/>
    <n v="5"/>
    <n v="4"/>
    <n v="3.8000000000000003"/>
    <x v="2"/>
  </r>
  <r>
    <n v="40"/>
    <x v="0"/>
    <n v="2757431.53"/>
    <s v="C1340596396"/>
    <n v="2757431.53"/>
    <n v="0"/>
    <s v="C487414422"/>
    <n v="0"/>
    <n v="0"/>
    <n v="1"/>
    <n v="0"/>
    <n v="16"/>
    <n v="0"/>
    <n v="1"/>
    <n v="2757431.53"/>
    <n v="5"/>
    <n v="5"/>
    <n v="4.0999999999999996"/>
    <x v="2"/>
  </r>
  <r>
    <n v="40"/>
    <x v="1"/>
    <n v="2757431.53"/>
    <s v="C82669876"/>
    <n v="2757431.53"/>
    <n v="0"/>
    <s v="C1462250062"/>
    <n v="0"/>
    <n v="2757431.53"/>
    <n v="1"/>
    <n v="0"/>
    <n v="16"/>
    <n v="0"/>
    <n v="1"/>
    <n v="2757431.53"/>
    <n v="5"/>
    <n v="4"/>
    <n v="3.8000000000000003"/>
    <x v="2"/>
  </r>
  <r>
    <n v="40"/>
    <x v="0"/>
    <n v="7887.75"/>
    <s v="C1551140519"/>
    <n v="7887.75"/>
    <n v="0"/>
    <s v="C311151183"/>
    <n v="0"/>
    <n v="0"/>
    <n v="1"/>
    <n v="0"/>
    <n v="16"/>
    <n v="0"/>
    <n v="1"/>
    <n v="7887.75"/>
    <n v="1"/>
    <n v="5"/>
    <n v="2.1"/>
    <x v="0"/>
  </r>
  <r>
    <n v="40"/>
    <x v="1"/>
    <n v="7887.75"/>
    <s v="C418271713"/>
    <n v="7887.75"/>
    <n v="0"/>
    <s v="C795853330"/>
    <n v="0"/>
    <n v="7887.75"/>
    <n v="1"/>
    <n v="0"/>
    <n v="16"/>
    <n v="0"/>
    <n v="1"/>
    <n v="7887.75"/>
    <n v="1"/>
    <n v="4"/>
    <n v="1.8"/>
    <x v="1"/>
  </r>
  <r>
    <n v="40"/>
    <x v="0"/>
    <n v="31930.240000000002"/>
    <s v="C1311186566"/>
    <n v="31930.240000000002"/>
    <n v="0"/>
    <s v="C1907577066"/>
    <n v="0"/>
    <n v="0"/>
    <n v="1"/>
    <n v="0"/>
    <n v="16"/>
    <n v="0"/>
    <n v="1"/>
    <n v="31930.240000000002"/>
    <n v="2"/>
    <n v="5"/>
    <n v="2.6"/>
    <x v="0"/>
  </r>
  <r>
    <n v="40"/>
    <x v="1"/>
    <n v="31930.240000000002"/>
    <s v="C1222717182"/>
    <n v="31930.240000000002"/>
    <n v="0"/>
    <s v="C515442419"/>
    <n v="113287.58"/>
    <n v="145217.82"/>
    <n v="1"/>
    <n v="0"/>
    <n v="16"/>
    <n v="0"/>
    <n v="1"/>
    <n v="31930.240000000002"/>
    <n v="2"/>
    <n v="4"/>
    <n v="2.3000000000000003"/>
    <x v="0"/>
  </r>
  <r>
    <n v="40"/>
    <x v="0"/>
    <n v="212613.29"/>
    <s v="C1424554187"/>
    <n v="212613.29"/>
    <n v="0"/>
    <s v="C1294873831"/>
    <n v="0"/>
    <n v="0"/>
    <n v="1"/>
    <n v="0"/>
    <n v="16"/>
    <n v="0"/>
    <n v="1"/>
    <n v="212613.29"/>
    <n v="5"/>
    <n v="5"/>
    <n v="4.0999999999999996"/>
    <x v="2"/>
  </r>
  <r>
    <n v="40"/>
    <x v="1"/>
    <n v="212613.29"/>
    <s v="C1863248518"/>
    <n v="212613.29"/>
    <n v="0"/>
    <s v="C536599412"/>
    <n v="1370788.41"/>
    <n v="1583401.69"/>
    <n v="1"/>
    <n v="0"/>
    <n v="16"/>
    <n v="0"/>
    <n v="1"/>
    <n v="212613.29"/>
    <n v="5"/>
    <n v="4"/>
    <n v="3.8000000000000003"/>
    <x v="2"/>
  </r>
  <r>
    <n v="41"/>
    <x v="0"/>
    <n v="581889.93999999994"/>
    <s v="C518343264"/>
    <n v="581889.93999999994"/>
    <n v="0"/>
    <s v="C596058183"/>
    <n v="0"/>
    <n v="0"/>
    <n v="1"/>
    <n v="0"/>
    <n v="17"/>
    <n v="0"/>
    <n v="1"/>
    <n v="581889.93999999994"/>
    <n v="5"/>
    <n v="5"/>
    <n v="4.0999999999999996"/>
    <x v="2"/>
  </r>
  <r>
    <n v="41"/>
    <x v="1"/>
    <n v="581889.93999999994"/>
    <s v="C541992132"/>
    <n v="581889.93999999994"/>
    <n v="0"/>
    <s v="C715094437"/>
    <n v="359585.03"/>
    <n v="941474.97"/>
    <n v="1"/>
    <n v="0"/>
    <n v="17"/>
    <n v="0"/>
    <n v="1"/>
    <n v="581889.93999999994"/>
    <n v="5"/>
    <n v="4"/>
    <n v="3.8000000000000003"/>
    <x v="2"/>
  </r>
  <r>
    <n v="41"/>
    <x v="0"/>
    <n v="1783144.33"/>
    <s v="C1067826676"/>
    <n v="1783144.33"/>
    <n v="0"/>
    <s v="C57546675"/>
    <n v="0"/>
    <n v="0"/>
    <n v="1"/>
    <n v="0"/>
    <n v="17"/>
    <n v="0"/>
    <n v="1"/>
    <n v="1783144.33"/>
    <n v="5"/>
    <n v="5"/>
    <n v="4.0999999999999996"/>
    <x v="2"/>
  </r>
  <r>
    <n v="41"/>
    <x v="1"/>
    <n v="1783144.33"/>
    <s v="C229433868"/>
    <n v="1783144.33"/>
    <n v="0"/>
    <s v="C978822470"/>
    <n v="1793786.8"/>
    <n v="3576931.13"/>
    <n v="1"/>
    <n v="0"/>
    <n v="17"/>
    <n v="0"/>
    <n v="1"/>
    <n v="1783144.33"/>
    <n v="5"/>
    <n v="4"/>
    <n v="3.8000000000000003"/>
    <x v="2"/>
  </r>
  <r>
    <n v="41"/>
    <x v="0"/>
    <n v="82806.2"/>
    <s v="C474735735"/>
    <n v="82806.2"/>
    <n v="0"/>
    <s v="C1737223057"/>
    <n v="0"/>
    <n v="0"/>
    <n v="1"/>
    <n v="0"/>
    <n v="17"/>
    <n v="0"/>
    <n v="1"/>
    <n v="82806.2"/>
    <n v="3"/>
    <n v="5"/>
    <n v="3.1"/>
    <x v="2"/>
  </r>
  <r>
    <n v="41"/>
    <x v="1"/>
    <n v="82806.2"/>
    <s v="C1327670146"/>
    <n v="82806.2"/>
    <n v="0"/>
    <s v="C1480756205"/>
    <n v="0"/>
    <n v="0"/>
    <n v="1"/>
    <n v="0"/>
    <n v="17"/>
    <n v="0"/>
    <n v="1"/>
    <n v="82806.2"/>
    <n v="3"/>
    <n v="4"/>
    <n v="2.8000000000000003"/>
    <x v="0"/>
  </r>
  <r>
    <n v="41"/>
    <x v="0"/>
    <n v="32690.68"/>
    <s v="C1813633369"/>
    <n v="32690.68"/>
    <n v="0"/>
    <s v="C586649123"/>
    <n v="0"/>
    <n v="0"/>
    <n v="1"/>
    <n v="0"/>
    <n v="17"/>
    <n v="0"/>
    <n v="1"/>
    <n v="32690.68"/>
    <n v="2"/>
    <n v="5"/>
    <n v="2.6"/>
    <x v="0"/>
  </r>
  <r>
    <n v="41"/>
    <x v="1"/>
    <n v="32690.68"/>
    <s v="C1070694303"/>
    <n v="32690.68"/>
    <n v="0"/>
    <s v="C1612957594"/>
    <n v="2361188.1"/>
    <n v="2393878.7799999998"/>
    <n v="1"/>
    <n v="0"/>
    <n v="17"/>
    <n v="0"/>
    <n v="1"/>
    <n v="32690.68"/>
    <n v="2"/>
    <n v="4"/>
    <n v="2.3000000000000003"/>
    <x v="0"/>
  </r>
  <r>
    <n v="41"/>
    <x v="0"/>
    <n v="1270564.3400000001"/>
    <s v="C1268743025"/>
    <n v="1270564.3400000001"/>
    <n v="0"/>
    <s v="C802302527"/>
    <n v="0"/>
    <n v="0"/>
    <n v="1"/>
    <n v="0"/>
    <n v="17"/>
    <n v="0"/>
    <n v="1"/>
    <n v="1270564.3400000001"/>
    <n v="5"/>
    <n v="5"/>
    <n v="4.0999999999999996"/>
    <x v="2"/>
  </r>
  <r>
    <n v="41"/>
    <x v="1"/>
    <n v="1270564.3400000001"/>
    <s v="C1805103048"/>
    <n v="1270564.3400000001"/>
    <n v="0"/>
    <s v="C1167029703"/>
    <n v="0"/>
    <n v="1270564.3400000001"/>
    <n v="1"/>
    <n v="0"/>
    <n v="17"/>
    <n v="0"/>
    <n v="1"/>
    <n v="1270564.3400000001"/>
    <n v="5"/>
    <n v="4"/>
    <n v="3.8000000000000003"/>
    <x v="2"/>
  </r>
  <r>
    <n v="41"/>
    <x v="0"/>
    <n v="2885466.96"/>
    <s v="C739578791"/>
    <n v="2885466.96"/>
    <n v="0"/>
    <s v="C1562052816"/>
    <n v="0"/>
    <n v="0"/>
    <n v="1"/>
    <n v="0"/>
    <n v="17"/>
    <n v="0"/>
    <n v="1"/>
    <n v="2885466.96"/>
    <n v="5"/>
    <n v="5"/>
    <n v="4.0999999999999996"/>
    <x v="2"/>
  </r>
  <r>
    <n v="41"/>
    <x v="1"/>
    <n v="2885466.96"/>
    <s v="C866414395"/>
    <n v="2885466.96"/>
    <n v="0"/>
    <s v="C315595990"/>
    <n v="28131.01"/>
    <n v="3268477.05"/>
    <n v="1"/>
    <n v="0"/>
    <n v="17"/>
    <n v="0"/>
    <n v="1"/>
    <n v="2885466.96"/>
    <n v="5"/>
    <n v="4"/>
    <n v="3.8000000000000003"/>
    <x v="2"/>
  </r>
  <r>
    <n v="42"/>
    <x v="0"/>
    <n v="334276.08"/>
    <s v="C1374233613"/>
    <n v="334276.08"/>
    <n v="0"/>
    <s v="C443044241"/>
    <n v="0"/>
    <n v="0"/>
    <n v="1"/>
    <n v="0"/>
    <n v="18"/>
    <n v="0"/>
    <n v="1"/>
    <n v="334276.08"/>
    <n v="5"/>
    <n v="5"/>
    <n v="4.0999999999999996"/>
    <x v="2"/>
  </r>
  <r>
    <n v="42"/>
    <x v="1"/>
    <n v="334276.08"/>
    <s v="C1006070662"/>
    <n v="334276.08"/>
    <n v="0"/>
    <s v="C1475265472"/>
    <n v="318089.61"/>
    <n v="652365.68000000005"/>
    <n v="1"/>
    <n v="0"/>
    <n v="18"/>
    <n v="0"/>
    <n v="1"/>
    <n v="334276.08"/>
    <n v="5"/>
    <n v="4"/>
    <n v="3.8000000000000003"/>
    <x v="2"/>
  </r>
  <r>
    <n v="42"/>
    <x v="0"/>
    <n v="3569720.42"/>
    <s v="C1985844506"/>
    <n v="3569720.42"/>
    <n v="0"/>
    <s v="C440567141"/>
    <n v="0"/>
    <n v="0"/>
    <n v="1"/>
    <n v="0"/>
    <n v="18"/>
    <n v="0"/>
    <n v="1"/>
    <n v="3569720.42"/>
    <n v="5"/>
    <n v="5"/>
    <n v="4.0999999999999996"/>
    <x v="2"/>
  </r>
  <r>
    <n v="42"/>
    <x v="1"/>
    <n v="3569720.42"/>
    <s v="C2012983997"/>
    <n v="3569720.42"/>
    <n v="0"/>
    <s v="C365271329"/>
    <n v="0"/>
    <n v="3569720.42"/>
    <n v="1"/>
    <n v="0"/>
    <n v="18"/>
    <n v="0"/>
    <n v="1"/>
    <n v="3569720.42"/>
    <n v="5"/>
    <n v="4"/>
    <n v="3.8000000000000003"/>
    <x v="2"/>
  </r>
  <r>
    <n v="42"/>
    <x v="0"/>
    <n v="1566057.28"/>
    <s v="C646867271"/>
    <n v="1566057.28"/>
    <n v="0"/>
    <s v="C701554593"/>
    <n v="0"/>
    <n v="0"/>
    <n v="1"/>
    <n v="0"/>
    <n v="18"/>
    <n v="0"/>
    <n v="1"/>
    <n v="1566057.28"/>
    <n v="5"/>
    <n v="5"/>
    <n v="4.0999999999999996"/>
    <x v="2"/>
  </r>
  <r>
    <n v="42"/>
    <x v="1"/>
    <n v="1566057.28"/>
    <s v="C1496808239"/>
    <n v="1566057.28"/>
    <n v="0"/>
    <s v="C737489499"/>
    <n v="0"/>
    <n v="1566057.28"/>
    <n v="1"/>
    <n v="0"/>
    <n v="18"/>
    <n v="0"/>
    <n v="1"/>
    <n v="1566057.28"/>
    <n v="5"/>
    <n v="4"/>
    <n v="3.8000000000000003"/>
    <x v="2"/>
  </r>
  <r>
    <n v="42"/>
    <x v="0"/>
    <n v="5032484.7300000004"/>
    <s v="C1883768704"/>
    <n v="5032484.7300000004"/>
    <n v="0"/>
    <s v="C1982874632"/>
    <n v="0"/>
    <n v="0"/>
    <n v="1"/>
    <n v="0"/>
    <n v="18"/>
    <n v="0"/>
    <n v="1"/>
    <n v="5032484.7300000004"/>
    <n v="5"/>
    <n v="5"/>
    <n v="4.0999999999999996"/>
    <x v="2"/>
  </r>
  <r>
    <n v="42"/>
    <x v="1"/>
    <n v="5032484.7300000004"/>
    <s v="C253446049"/>
    <n v="5032484.7300000004"/>
    <n v="0"/>
    <s v="C57938337"/>
    <n v="873589.17"/>
    <n v="5906073.9000000004"/>
    <n v="1"/>
    <n v="0"/>
    <n v="18"/>
    <n v="0"/>
    <n v="1"/>
    <n v="5032484.7300000004"/>
    <n v="5"/>
    <n v="4"/>
    <n v="3.8000000000000003"/>
    <x v="2"/>
  </r>
  <r>
    <n v="42"/>
    <x v="0"/>
    <n v="36359.57"/>
    <s v="C1167233065"/>
    <n v="36359.57"/>
    <n v="0"/>
    <s v="C528250681"/>
    <n v="0"/>
    <n v="0"/>
    <n v="1"/>
    <n v="0"/>
    <n v="18"/>
    <n v="0"/>
    <n v="1"/>
    <n v="36359.57"/>
    <n v="2"/>
    <n v="5"/>
    <n v="2.6"/>
    <x v="0"/>
  </r>
  <r>
    <n v="42"/>
    <x v="1"/>
    <n v="36359.57"/>
    <s v="C1257654035"/>
    <n v="36359.57"/>
    <n v="0"/>
    <s v="C334259414"/>
    <n v="20206.650000000001"/>
    <n v="56566.22"/>
    <n v="1"/>
    <n v="0"/>
    <n v="18"/>
    <n v="0"/>
    <n v="1"/>
    <n v="36359.57"/>
    <n v="2"/>
    <n v="4"/>
    <n v="2.3000000000000003"/>
    <x v="0"/>
  </r>
  <r>
    <n v="42"/>
    <x v="0"/>
    <n v="506867.52"/>
    <s v="C1345605199"/>
    <n v="506867.52"/>
    <n v="0"/>
    <s v="C759668657"/>
    <n v="0"/>
    <n v="0"/>
    <n v="1"/>
    <n v="0"/>
    <n v="18"/>
    <n v="0"/>
    <n v="1"/>
    <n v="506867.52"/>
    <n v="5"/>
    <n v="5"/>
    <n v="4.0999999999999996"/>
    <x v="2"/>
  </r>
  <r>
    <n v="42"/>
    <x v="1"/>
    <n v="506867.52"/>
    <s v="C341811151"/>
    <n v="506867.52"/>
    <n v="0"/>
    <s v="C1795348373"/>
    <n v="0"/>
    <n v="458682.99"/>
    <n v="1"/>
    <n v="0"/>
    <n v="18"/>
    <n v="0"/>
    <n v="1"/>
    <n v="506867.52"/>
    <n v="5"/>
    <n v="4"/>
    <n v="3.8000000000000003"/>
    <x v="2"/>
  </r>
  <r>
    <n v="42"/>
    <x v="0"/>
    <n v="1917497.63"/>
    <s v="C373557981"/>
    <n v="1917497.63"/>
    <n v="0"/>
    <s v="C114416170"/>
    <n v="0"/>
    <n v="0"/>
    <n v="1"/>
    <n v="0"/>
    <n v="18"/>
    <n v="0"/>
    <n v="1"/>
    <n v="1917497.63"/>
    <n v="5"/>
    <n v="5"/>
    <n v="4.0999999999999996"/>
    <x v="2"/>
  </r>
  <r>
    <n v="42"/>
    <x v="1"/>
    <n v="1917497.63"/>
    <s v="C1510964909"/>
    <n v="1917497.63"/>
    <n v="0"/>
    <s v="C580102695"/>
    <n v="173507.14"/>
    <n v="2091004.76"/>
    <n v="1"/>
    <n v="0"/>
    <n v="18"/>
    <n v="0"/>
    <n v="1"/>
    <n v="1917497.63"/>
    <n v="5"/>
    <n v="4"/>
    <n v="3.8000000000000003"/>
    <x v="2"/>
  </r>
  <r>
    <n v="43"/>
    <x v="0"/>
    <n v="29988"/>
    <s v="C158964639"/>
    <n v="29988"/>
    <n v="0"/>
    <s v="C1661087818"/>
    <n v="0"/>
    <n v="0"/>
    <n v="1"/>
    <n v="0"/>
    <n v="19"/>
    <n v="0"/>
    <n v="1"/>
    <n v="29988"/>
    <n v="2"/>
    <n v="5"/>
    <n v="2.6"/>
    <x v="0"/>
  </r>
  <r>
    <n v="43"/>
    <x v="1"/>
    <n v="29988"/>
    <s v="C756162144"/>
    <n v="29988"/>
    <n v="0"/>
    <s v="C1734856260"/>
    <n v="0"/>
    <n v="29988"/>
    <n v="1"/>
    <n v="0"/>
    <n v="19"/>
    <n v="0"/>
    <n v="1"/>
    <n v="29988"/>
    <n v="2"/>
    <n v="4"/>
    <n v="2.3000000000000003"/>
    <x v="0"/>
  </r>
  <r>
    <n v="43"/>
    <x v="0"/>
    <n v="350789.59"/>
    <s v="C1709961291"/>
    <n v="350789.59"/>
    <n v="0"/>
    <s v="C1364728606"/>
    <n v="0"/>
    <n v="276871.71000000002"/>
    <n v="1"/>
    <n v="0"/>
    <n v="19"/>
    <n v="0"/>
    <n v="1"/>
    <n v="350789.59"/>
    <n v="5"/>
    <n v="5"/>
    <n v="4.0999999999999996"/>
    <x v="2"/>
  </r>
  <r>
    <n v="43"/>
    <x v="1"/>
    <n v="350789.59"/>
    <s v="C1269861924"/>
    <n v="350789.59"/>
    <n v="0"/>
    <s v="C724251968"/>
    <n v="8785008.75"/>
    <n v="9135798.3399999999"/>
    <n v="1"/>
    <n v="0"/>
    <n v="19"/>
    <n v="0"/>
    <n v="1"/>
    <n v="350789.59"/>
    <n v="5"/>
    <n v="4"/>
    <n v="3.8000000000000003"/>
    <x v="2"/>
  </r>
  <r>
    <n v="43"/>
    <x v="0"/>
    <n v="1395850.55"/>
    <s v="C1296215617"/>
    <n v="0"/>
    <n v="0"/>
    <s v="C1429415136"/>
    <n v="260806.21"/>
    <n v="1656656.77"/>
    <n v="1"/>
    <n v="0"/>
    <n v="19"/>
    <n v="0"/>
    <n v="0"/>
    <n v="0"/>
    <n v="5"/>
    <n v="5"/>
    <n v="4"/>
    <x v="2"/>
  </r>
  <r>
    <n v="43"/>
    <x v="0"/>
    <n v="93459.89"/>
    <s v="C1518273469"/>
    <n v="93459.89"/>
    <n v="0"/>
    <s v="C1076725693"/>
    <n v="0"/>
    <n v="0"/>
    <n v="1"/>
    <n v="0"/>
    <n v="19"/>
    <n v="0"/>
    <n v="1"/>
    <n v="93459.89"/>
    <n v="3"/>
    <n v="5"/>
    <n v="3.1"/>
    <x v="2"/>
  </r>
  <r>
    <n v="43"/>
    <x v="1"/>
    <n v="93459.89"/>
    <s v="C1250676021"/>
    <n v="93459.89"/>
    <n v="0"/>
    <s v="C977089472"/>
    <n v="15825.7"/>
    <n v="109285.59"/>
    <n v="1"/>
    <n v="0"/>
    <n v="19"/>
    <n v="0"/>
    <n v="1"/>
    <n v="93459.89"/>
    <n v="3"/>
    <n v="4"/>
    <n v="2.8000000000000003"/>
    <x v="0"/>
  </r>
  <r>
    <n v="43"/>
    <x v="0"/>
    <n v="435166.65"/>
    <s v="C1897851214"/>
    <n v="435166.65"/>
    <n v="0"/>
    <s v="C1118636317"/>
    <n v="0"/>
    <n v="0"/>
    <n v="1"/>
    <n v="0"/>
    <n v="19"/>
    <n v="0"/>
    <n v="1"/>
    <n v="435166.65"/>
    <n v="5"/>
    <n v="5"/>
    <n v="4.0999999999999996"/>
    <x v="2"/>
  </r>
  <r>
    <n v="43"/>
    <x v="1"/>
    <n v="435166.65"/>
    <s v="C743185292"/>
    <n v="435166.65"/>
    <n v="0"/>
    <s v="C1036804658"/>
    <n v="449215.85"/>
    <n v="884382.5"/>
    <n v="1"/>
    <n v="0"/>
    <n v="19"/>
    <n v="0"/>
    <n v="1"/>
    <n v="435166.65"/>
    <n v="5"/>
    <n v="4"/>
    <n v="3.8000000000000003"/>
    <x v="2"/>
  </r>
  <r>
    <n v="43"/>
    <x v="0"/>
    <n v="21987"/>
    <s v="C725236553"/>
    <n v="21987"/>
    <n v="0"/>
    <s v="C417640852"/>
    <n v="0"/>
    <n v="0"/>
    <n v="1"/>
    <n v="0"/>
    <n v="19"/>
    <n v="0"/>
    <n v="1"/>
    <n v="21987"/>
    <n v="2"/>
    <n v="5"/>
    <n v="2.6"/>
    <x v="0"/>
  </r>
  <r>
    <n v="43"/>
    <x v="1"/>
    <n v="21987"/>
    <s v="C983847519"/>
    <n v="21987"/>
    <n v="0"/>
    <s v="C868283274"/>
    <n v="123690.93"/>
    <n v="145677.94"/>
    <n v="1"/>
    <n v="0"/>
    <n v="19"/>
    <n v="0"/>
    <n v="1"/>
    <n v="21987"/>
    <n v="2"/>
    <n v="4"/>
    <n v="2.3000000000000003"/>
    <x v="0"/>
  </r>
  <r>
    <n v="43"/>
    <x v="0"/>
    <n v="362152.77"/>
    <s v="C1484448573"/>
    <n v="362152.77"/>
    <n v="0"/>
    <s v="C1911678087"/>
    <n v="0"/>
    <n v="0"/>
    <n v="1"/>
    <n v="0"/>
    <n v="19"/>
    <n v="0"/>
    <n v="1"/>
    <n v="362152.77"/>
    <n v="5"/>
    <n v="5"/>
    <n v="4.0999999999999996"/>
    <x v="2"/>
  </r>
  <r>
    <n v="43"/>
    <x v="1"/>
    <n v="362152.77"/>
    <s v="C1825250063"/>
    <n v="362152.77"/>
    <n v="0"/>
    <s v="C321399553"/>
    <n v="282809.46999999997"/>
    <n v="644962.23"/>
    <n v="1"/>
    <n v="0"/>
    <n v="19"/>
    <n v="0"/>
    <n v="1"/>
    <n v="362152.77"/>
    <n v="5"/>
    <n v="4"/>
    <n v="3.8000000000000003"/>
    <x v="2"/>
  </r>
  <r>
    <n v="44"/>
    <x v="0"/>
    <n v="1649818.97"/>
    <s v="C369936121"/>
    <n v="1649818.97"/>
    <n v="0"/>
    <s v="C1347315975"/>
    <n v="0"/>
    <n v="0"/>
    <n v="1"/>
    <n v="0"/>
    <n v="20"/>
    <n v="0"/>
    <n v="1"/>
    <n v="1649818.97"/>
    <n v="5"/>
    <n v="5"/>
    <n v="4.0999999999999996"/>
    <x v="2"/>
  </r>
  <r>
    <n v="44"/>
    <x v="1"/>
    <n v="1649818.97"/>
    <s v="C2052172437"/>
    <n v="1649818.97"/>
    <n v="0"/>
    <s v="C1401780750"/>
    <n v="560704.68000000005"/>
    <n v="2210523.64"/>
    <n v="1"/>
    <n v="0"/>
    <n v="20"/>
    <n v="0"/>
    <n v="1"/>
    <n v="1649818.97"/>
    <n v="5"/>
    <n v="4"/>
    <n v="3.8000000000000003"/>
    <x v="2"/>
  </r>
  <r>
    <n v="44"/>
    <x v="0"/>
    <n v="387952.42"/>
    <s v="C374179954"/>
    <n v="387952.42"/>
    <n v="0"/>
    <s v="C1213274351"/>
    <n v="0"/>
    <n v="0"/>
    <n v="1"/>
    <n v="0"/>
    <n v="20"/>
    <n v="0"/>
    <n v="1"/>
    <n v="387952.42"/>
    <n v="5"/>
    <n v="5"/>
    <n v="4.0999999999999996"/>
    <x v="2"/>
  </r>
  <r>
    <n v="44"/>
    <x v="1"/>
    <n v="387952.42"/>
    <s v="C321872585"/>
    <n v="387952.42"/>
    <n v="0"/>
    <s v="C401911630"/>
    <n v="2070655.98"/>
    <n v="2222177.16"/>
    <n v="1"/>
    <n v="0"/>
    <n v="20"/>
    <n v="0"/>
    <n v="1"/>
    <n v="387952.42"/>
    <n v="5"/>
    <n v="4"/>
    <n v="3.8000000000000003"/>
    <x v="2"/>
  </r>
  <r>
    <n v="44"/>
    <x v="0"/>
    <n v="44571.94"/>
    <s v="C1819568647"/>
    <n v="44571.94"/>
    <n v="0"/>
    <s v="C258309243"/>
    <n v="0"/>
    <n v="0"/>
    <n v="1"/>
    <n v="0"/>
    <n v="20"/>
    <n v="0"/>
    <n v="1"/>
    <n v="44571.94"/>
    <n v="2"/>
    <n v="5"/>
    <n v="2.6"/>
    <x v="0"/>
  </r>
  <r>
    <n v="44"/>
    <x v="1"/>
    <n v="44571.94"/>
    <s v="C330892703"/>
    <n v="44571.94"/>
    <n v="0"/>
    <s v="C648682751"/>
    <n v="11984"/>
    <n v="0"/>
    <n v="1"/>
    <n v="0"/>
    <n v="20"/>
    <n v="0"/>
    <n v="1"/>
    <n v="44571.94"/>
    <n v="2"/>
    <n v="4"/>
    <n v="2.3000000000000003"/>
    <x v="0"/>
  </r>
  <r>
    <n v="44"/>
    <x v="0"/>
    <n v="534255.93999999994"/>
    <s v="C967325382"/>
    <n v="534255.93999999994"/>
    <n v="0"/>
    <s v="C1259079602"/>
    <n v="0"/>
    <n v="0"/>
    <n v="1"/>
    <n v="0"/>
    <n v="20"/>
    <n v="0"/>
    <n v="1"/>
    <n v="534255.93999999994"/>
    <n v="5"/>
    <n v="5"/>
    <n v="4.0999999999999996"/>
    <x v="2"/>
  </r>
  <r>
    <n v="44"/>
    <x v="1"/>
    <n v="534255.93999999994"/>
    <s v="C1829721095"/>
    <n v="534255.93999999994"/>
    <n v="0"/>
    <s v="C991247178"/>
    <n v="24559"/>
    <n v="558814.93999999994"/>
    <n v="1"/>
    <n v="0"/>
    <n v="20"/>
    <n v="0"/>
    <n v="1"/>
    <n v="534255.93999999994"/>
    <n v="5"/>
    <n v="4"/>
    <n v="3.8000000000000003"/>
    <x v="2"/>
  </r>
  <r>
    <n v="45"/>
    <x v="0"/>
    <n v="213983.59"/>
    <s v="C286239409"/>
    <n v="213983.59"/>
    <n v="0"/>
    <s v="C151804423"/>
    <n v="0"/>
    <n v="0"/>
    <n v="1"/>
    <n v="0"/>
    <n v="21"/>
    <n v="0"/>
    <n v="1"/>
    <n v="213983.59"/>
    <n v="5"/>
    <n v="5"/>
    <n v="4.0999999999999996"/>
    <x v="2"/>
  </r>
  <r>
    <n v="45"/>
    <x v="1"/>
    <n v="213983.59"/>
    <s v="C578474227"/>
    <n v="213983.59"/>
    <n v="0"/>
    <s v="C265601701"/>
    <n v="0"/>
    <n v="213983.59"/>
    <n v="1"/>
    <n v="0"/>
    <n v="21"/>
    <n v="0"/>
    <n v="1"/>
    <n v="213983.59"/>
    <n v="5"/>
    <n v="4"/>
    <n v="3.8000000000000003"/>
    <x v="2"/>
  </r>
  <r>
    <n v="45"/>
    <x v="0"/>
    <n v="217255.97"/>
    <s v="C1481880227"/>
    <n v="217255.97"/>
    <n v="0"/>
    <s v="C948441746"/>
    <n v="0"/>
    <n v="0"/>
    <n v="1"/>
    <n v="0"/>
    <n v="21"/>
    <n v="0"/>
    <n v="1"/>
    <n v="217255.97"/>
    <n v="5"/>
    <n v="5"/>
    <n v="4.0999999999999996"/>
    <x v="2"/>
  </r>
  <r>
    <n v="45"/>
    <x v="1"/>
    <n v="217255.97"/>
    <s v="C1291131466"/>
    <n v="217255.97"/>
    <n v="0"/>
    <s v="C1786011910"/>
    <n v="2115234.86"/>
    <n v="2332490.8199999998"/>
    <n v="1"/>
    <n v="0"/>
    <n v="21"/>
    <n v="0"/>
    <n v="1"/>
    <n v="217255.97"/>
    <n v="5"/>
    <n v="4"/>
    <n v="3.8000000000000003"/>
    <x v="2"/>
  </r>
  <r>
    <n v="45"/>
    <x v="0"/>
    <n v="1069508.42"/>
    <s v="C1582972194"/>
    <n v="1069508.42"/>
    <n v="0"/>
    <s v="C284364603"/>
    <n v="0"/>
    <n v="0"/>
    <n v="1"/>
    <n v="0"/>
    <n v="21"/>
    <n v="0"/>
    <n v="1"/>
    <n v="1069508.42"/>
    <n v="5"/>
    <n v="5"/>
    <n v="4.0999999999999996"/>
    <x v="2"/>
  </r>
  <r>
    <n v="45"/>
    <x v="1"/>
    <n v="1069508.42"/>
    <s v="C1958391057"/>
    <n v="1069508.42"/>
    <n v="0"/>
    <s v="C1813915360"/>
    <n v="172254"/>
    <n v="1439496.96"/>
    <n v="1"/>
    <n v="0"/>
    <n v="21"/>
    <n v="0"/>
    <n v="1"/>
    <n v="1069508.42"/>
    <n v="5"/>
    <n v="4"/>
    <n v="3.8000000000000003"/>
    <x v="2"/>
  </r>
  <r>
    <n v="45"/>
    <x v="0"/>
    <n v="5188875.3499999996"/>
    <s v="C1556710652"/>
    <n v="5188875.3499999996"/>
    <n v="0"/>
    <s v="C1264872013"/>
    <n v="0"/>
    <n v="0"/>
    <n v="1"/>
    <n v="0"/>
    <n v="21"/>
    <n v="0"/>
    <n v="1"/>
    <n v="5188875.3499999996"/>
    <n v="5"/>
    <n v="5"/>
    <n v="4.0999999999999996"/>
    <x v="2"/>
  </r>
  <r>
    <n v="45"/>
    <x v="1"/>
    <n v="5188875.3499999996"/>
    <s v="C1564479230"/>
    <n v="5188875.3499999996"/>
    <n v="0"/>
    <s v="C203959811"/>
    <n v="11465"/>
    <n v="5020573.28"/>
    <n v="1"/>
    <n v="0"/>
    <n v="21"/>
    <n v="0"/>
    <n v="1"/>
    <n v="5188875.3499999996"/>
    <n v="5"/>
    <n v="4"/>
    <n v="3.8000000000000003"/>
    <x v="2"/>
  </r>
  <r>
    <n v="45"/>
    <x v="0"/>
    <n v="4919642.57"/>
    <s v="C1457431353"/>
    <n v="4919642.57"/>
    <n v="0"/>
    <s v="C203170379"/>
    <n v="0"/>
    <n v="0"/>
    <n v="1"/>
    <n v="0"/>
    <n v="21"/>
    <n v="0"/>
    <n v="1"/>
    <n v="4919642.57"/>
    <n v="5"/>
    <n v="5"/>
    <n v="4.0999999999999996"/>
    <x v="2"/>
  </r>
  <r>
    <n v="45"/>
    <x v="1"/>
    <n v="4919642.57"/>
    <s v="C693406382"/>
    <n v="4919642.57"/>
    <n v="0"/>
    <s v="C1514738968"/>
    <n v="1414095.92"/>
    <n v="6333738.4900000002"/>
    <n v="1"/>
    <n v="0"/>
    <n v="21"/>
    <n v="0"/>
    <n v="1"/>
    <n v="4919642.57"/>
    <n v="5"/>
    <n v="4"/>
    <n v="3.8000000000000003"/>
    <x v="2"/>
  </r>
  <r>
    <n v="45"/>
    <x v="0"/>
    <n v="357836.57"/>
    <s v="C353840221"/>
    <n v="357836.57"/>
    <n v="0"/>
    <s v="C1679122685"/>
    <n v="0"/>
    <n v="0"/>
    <n v="1"/>
    <n v="0"/>
    <n v="21"/>
    <n v="0"/>
    <n v="1"/>
    <n v="357836.57"/>
    <n v="5"/>
    <n v="5"/>
    <n v="4.0999999999999996"/>
    <x v="2"/>
  </r>
  <r>
    <n v="45"/>
    <x v="1"/>
    <n v="357836.57"/>
    <s v="C198543509"/>
    <n v="357836.57"/>
    <n v="0"/>
    <s v="C824285986"/>
    <n v="51217.85"/>
    <n v="409054.43"/>
    <n v="1"/>
    <n v="0"/>
    <n v="21"/>
    <n v="0"/>
    <n v="1"/>
    <n v="357836.57"/>
    <n v="5"/>
    <n v="4"/>
    <n v="3.8000000000000003"/>
    <x v="2"/>
  </r>
  <r>
    <n v="45"/>
    <x v="0"/>
    <n v="155761.29"/>
    <s v="C280136890"/>
    <n v="155761.29"/>
    <n v="0"/>
    <s v="C927108992"/>
    <n v="0"/>
    <n v="0"/>
    <n v="1"/>
    <n v="0"/>
    <n v="21"/>
    <n v="0"/>
    <n v="1"/>
    <n v="155761.29"/>
    <n v="4"/>
    <n v="5"/>
    <n v="3.6"/>
    <x v="2"/>
  </r>
  <r>
    <n v="45"/>
    <x v="1"/>
    <n v="155761.29"/>
    <s v="C719370249"/>
    <n v="155761.29"/>
    <n v="0"/>
    <s v="C2024978323"/>
    <n v="192775.45"/>
    <n v="348536.74"/>
    <n v="1"/>
    <n v="0"/>
    <n v="21"/>
    <n v="0"/>
    <n v="1"/>
    <n v="155761.29"/>
    <n v="4"/>
    <n v="4"/>
    <n v="3.3000000000000003"/>
    <x v="2"/>
  </r>
  <r>
    <n v="45"/>
    <x v="0"/>
    <n v="7335355.5700000003"/>
    <s v="C1102672587"/>
    <n v="7335355.5700000003"/>
    <n v="0"/>
    <s v="C735323689"/>
    <n v="0"/>
    <n v="0"/>
    <n v="1"/>
    <n v="0"/>
    <n v="21"/>
    <n v="0"/>
    <n v="1"/>
    <n v="7335355.5700000003"/>
    <n v="5"/>
    <n v="5"/>
    <n v="4.0999999999999996"/>
    <x v="2"/>
  </r>
  <r>
    <n v="45"/>
    <x v="1"/>
    <n v="7335355.5700000003"/>
    <s v="C1223916377"/>
    <n v="7335355.5700000003"/>
    <n v="0"/>
    <s v="C542934513"/>
    <n v="702100.11"/>
    <n v="8037455.6799999997"/>
    <n v="1"/>
    <n v="0"/>
    <n v="21"/>
    <n v="0"/>
    <n v="1"/>
    <n v="7335355.5700000003"/>
    <n v="5"/>
    <n v="4"/>
    <n v="3.8000000000000003"/>
    <x v="2"/>
  </r>
  <r>
    <n v="46"/>
    <x v="0"/>
    <n v="9977761.0500000007"/>
    <s v="C154757729"/>
    <n v="9977761.0500000007"/>
    <n v="0"/>
    <s v="C1895716929"/>
    <n v="0"/>
    <n v="0"/>
    <n v="1"/>
    <n v="0"/>
    <n v="22"/>
    <n v="0"/>
    <n v="1"/>
    <n v="9977761.0500000007"/>
    <n v="5"/>
    <n v="5"/>
    <n v="4.0999999999999996"/>
    <x v="2"/>
  </r>
  <r>
    <n v="46"/>
    <x v="1"/>
    <n v="9977761.0500000007"/>
    <s v="C840795008"/>
    <n v="9977761.0500000007"/>
    <n v="0"/>
    <s v="C1214752539"/>
    <n v="0"/>
    <n v="9977761.0500000007"/>
    <n v="1"/>
    <n v="0"/>
    <n v="22"/>
    <n v="0"/>
    <n v="1"/>
    <n v="9977761.0500000007"/>
    <n v="5"/>
    <n v="4"/>
    <n v="3.8000000000000003"/>
    <x v="2"/>
  </r>
  <r>
    <n v="46"/>
    <x v="0"/>
    <n v="35016.230000000003"/>
    <s v="C397528199"/>
    <n v="35016.230000000003"/>
    <n v="0"/>
    <s v="C1325281003"/>
    <n v="0"/>
    <n v="0"/>
    <n v="1"/>
    <n v="0"/>
    <n v="22"/>
    <n v="0"/>
    <n v="1"/>
    <n v="35016.230000000003"/>
    <n v="2"/>
    <n v="5"/>
    <n v="2.6"/>
    <x v="0"/>
  </r>
  <r>
    <n v="46"/>
    <x v="1"/>
    <n v="35016.230000000003"/>
    <s v="C1267520613"/>
    <n v="35016.230000000003"/>
    <n v="0"/>
    <s v="C801157832"/>
    <n v="65435.34"/>
    <n v="100451.57"/>
    <n v="1"/>
    <n v="0"/>
    <n v="22"/>
    <n v="0"/>
    <n v="1"/>
    <n v="35016.230000000003"/>
    <n v="2"/>
    <n v="4"/>
    <n v="2.3000000000000003"/>
    <x v="0"/>
  </r>
  <r>
    <n v="46"/>
    <x v="0"/>
    <n v="71372"/>
    <s v="C33339986"/>
    <n v="71372"/>
    <n v="0"/>
    <s v="C2120774041"/>
    <n v="0"/>
    <n v="0"/>
    <n v="1"/>
    <n v="0"/>
    <n v="22"/>
    <n v="0"/>
    <n v="1"/>
    <n v="71372"/>
    <n v="3"/>
    <n v="5"/>
    <n v="3.1"/>
    <x v="2"/>
  </r>
  <r>
    <n v="46"/>
    <x v="1"/>
    <n v="71372"/>
    <s v="C313736303"/>
    <n v="71372"/>
    <n v="0"/>
    <s v="C935310781"/>
    <n v="613464.04"/>
    <n v="684836.04"/>
    <n v="1"/>
    <n v="0"/>
    <n v="22"/>
    <n v="0"/>
    <n v="1"/>
    <n v="71372"/>
    <n v="3"/>
    <n v="4"/>
    <n v="2.8000000000000003"/>
    <x v="0"/>
  </r>
  <r>
    <n v="46"/>
    <x v="0"/>
    <n v="945131.85"/>
    <s v="C1324043104"/>
    <n v="945131.85"/>
    <n v="0"/>
    <s v="C797897879"/>
    <n v="0"/>
    <n v="0"/>
    <n v="1"/>
    <n v="0"/>
    <n v="22"/>
    <n v="0"/>
    <n v="1"/>
    <n v="945131.85"/>
    <n v="5"/>
    <n v="5"/>
    <n v="4.0999999999999996"/>
    <x v="2"/>
  </r>
  <r>
    <n v="46"/>
    <x v="1"/>
    <n v="945131.85"/>
    <s v="C809054944"/>
    <n v="945131.85"/>
    <n v="0"/>
    <s v="C264512063"/>
    <n v="119561.47"/>
    <n v="1064693.32"/>
    <n v="1"/>
    <n v="0"/>
    <n v="22"/>
    <n v="0"/>
    <n v="1"/>
    <n v="945131.85"/>
    <n v="5"/>
    <n v="4"/>
    <n v="3.8000000000000003"/>
    <x v="2"/>
  </r>
  <r>
    <n v="46"/>
    <x v="0"/>
    <n v="736370.54"/>
    <s v="C1061149717"/>
    <n v="736370.54"/>
    <n v="0"/>
    <s v="C737745926"/>
    <n v="0"/>
    <n v="0"/>
    <n v="1"/>
    <n v="0"/>
    <n v="22"/>
    <n v="0"/>
    <n v="1"/>
    <n v="736370.54"/>
    <n v="5"/>
    <n v="5"/>
    <n v="4.0999999999999996"/>
    <x v="2"/>
  </r>
  <r>
    <n v="46"/>
    <x v="1"/>
    <n v="736370.54"/>
    <s v="C533706573"/>
    <n v="736370.54"/>
    <n v="0"/>
    <s v="C1063608678"/>
    <n v="556478.62"/>
    <n v="1292849.1499999999"/>
    <n v="1"/>
    <n v="0"/>
    <n v="22"/>
    <n v="0"/>
    <n v="1"/>
    <n v="736370.54"/>
    <n v="5"/>
    <n v="4"/>
    <n v="3.8000000000000003"/>
    <x v="2"/>
  </r>
  <r>
    <n v="46"/>
    <x v="0"/>
    <n v="82971.91"/>
    <s v="C1603043156"/>
    <n v="82971.91"/>
    <n v="0"/>
    <s v="C898953864"/>
    <n v="0"/>
    <n v="0"/>
    <n v="1"/>
    <n v="0"/>
    <n v="22"/>
    <n v="0"/>
    <n v="1"/>
    <n v="82971.91"/>
    <n v="3"/>
    <n v="5"/>
    <n v="3.1"/>
    <x v="2"/>
  </r>
  <r>
    <n v="46"/>
    <x v="1"/>
    <n v="82971.91"/>
    <s v="C522399382"/>
    <n v="82971.91"/>
    <n v="0"/>
    <s v="C509018542"/>
    <n v="39316.959999999999"/>
    <n v="122288.87"/>
    <n v="1"/>
    <n v="0"/>
    <n v="22"/>
    <n v="0"/>
    <n v="1"/>
    <n v="82971.91"/>
    <n v="3"/>
    <n v="4"/>
    <n v="2.8000000000000003"/>
    <x v="0"/>
  </r>
  <r>
    <n v="46"/>
    <x v="0"/>
    <n v="585010.21"/>
    <s v="C1948614614"/>
    <n v="585010.21"/>
    <n v="0"/>
    <s v="C218558993"/>
    <n v="0"/>
    <n v="0"/>
    <n v="1"/>
    <n v="0"/>
    <n v="22"/>
    <n v="0"/>
    <n v="1"/>
    <n v="585010.21"/>
    <n v="5"/>
    <n v="5"/>
    <n v="4.0999999999999996"/>
    <x v="2"/>
  </r>
  <r>
    <n v="46"/>
    <x v="1"/>
    <n v="585010.21"/>
    <s v="C878935318"/>
    <n v="585010.21"/>
    <n v="0"/>
    <s v="C2122554602"/>
    <n v="15969.08"/>
    <n v="600979.29"/>
    <n v="1"/>
    <n v="0"/>
    <n v="22"/>
    <n v="0"/>
    <n v="1"/>
    <n v="585010.21"/>
    <n v="5"/>
    <n v="4"/>
    <n v="3.8000000000000003"/>
    <x v="2"/>
  </r>
  <r>
    <n v="47"/>
    <x v="0"/>
    <n v="225850.53"/>
    <s v="C362274629"/>
    <n v="225850.53"/>
    <n v="0"/>
    <s v="C2097224214"/>
    <n v="0"/>
    <n v="0"/>
    <n v="1"/>
    <n v="0"/>
    <n v="23"/>
    <n v="0"/>
    <n v="1"/>
    <n v="225850.53"/>
    <n v="5"/>
    <n v="5"/>
    <n v="4.0999999999999996"/>
    <x v="2"/>
  </r>
  <r>
    <n v="47"/>
    <x v="1"/>
    <n v="225850.53"/>
    <s v="C478694396"/>
    <n v="225850.53"/>
    <n v="0"/>
    <s v="C310772625"/>
    <n v="5063600.9000000004"/>
    <n v="5289451.43"/>
    <n v="1"/>
    <n v="0"/>
    <n v="23"/>
    <n v="0"/>
    <n v="1"/>
    <n v="225850.53"/>
    <n v="5"/>
    <n v="4"/>
    <n v="3.8000000000000003"/>
    <x v="2"/>
  </r>
  <r>
    <n v="47"/>
    <x v="0"/>
    <n v="243028.65"/>
    <s v="C1664257559"/>
    <n v="243028.65"/>
    <n v="0"/>
    <s v="C1658994093"/>
    <n v="0"/>
    <n v="0"/>
    <n v="1"/>
    <n v="0"/>
    <n v="23"/>
    <n v="0"/>
    <n v="1"/>
    <n v="243028.65"/>
    <n v="5"/>
    <n v="5"/>
    <n v="4.0999999999999996"/>
    <x v="2"/>
  </r>
  <r>
    <n v="47"/>
    <x v="1"/>
    <n v="243028.65"/>
    <s v="C1427360526"/>
    <n v="243028.65"/>
    <n v="0"/>
    <s v="C410529823"/>
    <n v="441285.14"/>
    <n v="684313.79"/>
    <n v="1"/>
    <n v="0"/>
    <n v="23"/>
    <n v="0"/>
    <n v="1"/>
    <n v="243028.65"/>
    <n v="5"/>
    <n v="4"/>
    <n v="3.8000000000000003"/>
    <x v="2"/>
  </r>
  <r>
    <n v="47"/>
    <x v="0"/>
    <n v="2249574.0099999998"/>
    <s v="C853837808"/>
    <n v="2249574.0099999998"/>
    <n v="0"/>
    <s v="C1750636426"/>
    <n v="0"/>
    <n v="0"/>
    <n v="1"/>
    <n v="0"/>
    <n v="23"/>
    <n v="0"/>
    <n v="1"/>
    <n v="2249574.0099999998"/>
    <n v="5"/>
    <n v="5"/>
    <n v="4.0999999999999996"/>
    <x v="2"/>
  </r>
  <r>
    <n v="47"/>
    <x v="1"/>
    <n v="2249574.0099999998"/>
    <s v="C758510706"/>
    <n v="2249574.0099999998"/>
    <n v="0"/>
    <s v="C1011054162"/>
    <n v="3785286.98"/>
    <n v="6034861"/>
    <n v="1"/>
    <n v="0"/>
    <n v="23"/>
    <n v="0"/>
    <n v="1"/>
    <n v="2249574.0099999998"/>
    <n v="5"/>
    <n v="4"/>
    <n v="3.8000000000000003"/>
    <x v="2"/>
  </r>
  <r>
    <n v="47"/>
    <x v="0"/>
    <n v="13172.17"/>
    <s v="C1669581327"/>
    <n v="13172.17"/>
    <n v="0"/>
    <s v="C1697995801"/>
    <n v="0"/>
    <n v="0"/>
    <n v="1"/>
    <n v="0"/>
    <n v="23"/>
    <n v="0"/>
    <n v="1"/>
    <n v="13172.17"/>
    <n v="2"/>
    <n v="5"/>
    <n v="2.6"/>
    <x v="0"/>
  </r>
  <r>
    <n v="47"/>
    <x v="1"/>
    <n v="13172.17"/>
    <s v="C11443462"/>
    <n v="13172.17"/>
    <n v="0"/>
    <s v="C1334228384"/>
    <n v="0"/>
    <n v="13172.17"/>
    <n v="1"/>
    <n v="0"/>
    <n v="23"/>
    <n v="0"/>
    <n v="1"/>
    <n v="13172.17"/>
    <n v="2"/>
    <n v="4"/>
    <n v="2.3000000000000003"/>
    <x v="0"/>
  </r>
  <r>
    <n v="47"/>
    <x v="0"/>
    <n v="61487.67"/>
    <s v="C825902720"/>
    <n v="61487.67"/>
    <n v="0"/>
    <s v="C512979582"/>
    <n v="0"/>
    <n v="0"/>
    <n v="1"/>
    <n v="0"/>
    <n v="23"/>
    <n v="0"/>
    <n v="1"/>
    <n v="61487.67"/>
    <n v="3"/>
    <n v="5"/>
    <n v="3.1"/>
    <x v="2"/>
  </r>
  <r>
    <n v="47"/>
    <x v="1"/>
    <n v="61487.67"/>
    <s v="C2064498880"/>
    <n v="61487.67"/>
    <n v="0"/>
    <s v="C1457751793"/>
    <n v="0"/>
    <n v="61487.67"/>
    <n v="1"/>
    <n v="0"/>
    <n v="23"/>
    <n v="0"/>
    <n v="1"/>
    <n v="61487.67"/>
    <n v="3"/>
    <n v="4"/>
    <n v="2.8000000000000003"/>
    <x v="0"/>
  </r>
  <r>
    <n v="47"/>
    <x v="0"/>
    <n v="156011.24"/>
    <s v="C1496997212"/>
    <n v="156011.24"/>
    <n v="0"/>
    <s v="C1588957214"/>
    <n v="0"/>
    <n v="0"/>
    <n v="1"/>
    <n v="0"/>
    <n v="23"/>
    <n v="0"/>
    <n v="1"/>
    <n v="156011.24"/>
    <n v="4"/>
    <n v="5"/>
    <n v="3.6"/>
    <x v="2"/>
  </r>
  <r>
    <n v="47"/>
    <x v="1"/>
    <n v="156011.24"/>
    <s v="C877302181"/>
    <n v="156011.24"/>
    <n v="0"/>
    <s v="C2044342029"/>
    <n v="152239.96"/>
    <n v="308251.2"/>
    <n v="1"/>
    <n v="0"/>
    <n v="23"/>
    <n v="0"/>
    <n v="1"/>
    <n v="156011.24"/>
    <n v="4"/>
    <n v="4"/>
    <n v="3.3000000000000003"/>
    <x v="2"/>
  </r>
  <r>
    <n v="47"/>
    <x v="0"/>
    <n v="36532.839999999997"/>
    <s v="C905922907"/>
    <n v="36532.839999999997"/>
    <n v="0"/>
    <s v="C2062739315"/>
    <n v="0"/>
    <n v="0"/>
    <n v="1"/>
    <n v="0"/>
    <n v="23"/>
    <n v="0"/>
    <n v="1"/>
    <n v="36532.839999999997"/>
    <n v="2"/>
    <n v="5"/>
    <n v="2.6"/>
    <x v="0"/>
  </r>
  <r>
    <n v="47"/>
    <x v="1"/>
    <n v="36532.839999999997"/>
    <s v="C1588509166"/>
    <n v="36532.839999999997"/>
    <n v="0"/>
    <s v="C1486240719"/>
    <n v="0"/>
    <n v="36532.839999999997"/>
    <n v="1"/>
    <n v="0"/>
    <n v="23"/>
    <n v="0"/>
    <n v="1"/>
    <n v="36532.839999999997"/>
    <n v="2"/>
    <n v="4"/>
    <n v="2.3000000000000003"/>
    <x v="0"/>
  </r>
  <r>
    <n v="47"/>
    <x v="0"/>
    <n v="827921.27"/>
    <s v="C1767277816"/>
    <n v="827921.27"/>
    <n v="0"/>
    <s v="C1835346647"/>
    <n v="0"/>
    <n v="0"/>
    <n v="1"/>
    <n v="0"/>
    <n v="23"/>
    <n v="0"/>
    <n v="1"/>
    <n v="827921.27"/>
    <n v="5"/>
    <n v="5"/>
    <n v="4.0999999999999996"/>
    <x v="2"/>
  </r>
  <r>
    <n v="47"/>
    <x v="1"/>
    <n v="827921.27"/>
    <s v="C1304293347"/>
    <n v="827921.27"/>
    <n v="0"/>
    <s v="C957732076"/>
    <n v="1025081.63"/>
    <n v="1853002.91"/>
    <n v="1"/>
    <n v="0"/>
    <n v="23"/>
    <n v="0"/>
    <n v="1"/>
    <n v="827921.27"/>
    <n v="5"/>
    <n v="4"/>
    <n v="3.8000000000000003"/>
    <x v="2"/>
  </r>
  <r>
    <n v="47"/>
    <x v="0"/>
    <n v="667043.9"/>
    <s v="C1221718544"/>
    <n v="667043.9"/>
    <n v="0"/>
    <s v="C29028630"/>
    <n v="0"/>
    <n v="0"/>
    <n v="1"/>
    <n v="0"/>
    <n v="23"/>
    <n v="0"/>
    <n v="1"/>
    <n v="667043.9"/>
    <n v="5"/>
    <n v="5"/>
    <n v="4.0999999999999996"/>
    <x v="2"/>
  </r>
  <r>
    <n v="47"/>
    <x v="1"/>
    <n v="667043.9"/>
    <s v="C1676208609"/>
    <n v="667043.9"/>
    <n v="0"/>
    <s v="C1263000252"/>
    <n v="104132.27"/>
    <n v="771176.17"/>
    <n v="1"/>
    <n v="0"/>
    <n v="23"/>
    <n v="0"/>
    <n v="1"/>
    <n v="667043.9"/>
    <n v="5"/>
    <n v="4"/>
    <n v="3.8000000000000003"/>
    <x v="2"/>
  </r>
  <r>
    <n v="47"/>
    <x v="0"/>
    <n v="202978.65"/>
    <s v="C1932446672"/>
    <n v="0"/>
    <n v="0"/>
    <s v="C966173999"/>
    <n v="2122336.5499999998"/>
    <n v="2325315.19"/>
    <n v="1"/>
    <n v="0"/>
    <n v="23"/>
    <n v="0"/>
    <n v="0"/>
    <n v="0"/>
    <n v="5"/>
    <n v="5"/>
    <n v="4"/>
    <x v="2"/>
  </r>
  <r>
    <n v="47"/>
    <x v="0"/>
    <n v="1388951.5"/>
    <s v="C1186930189"/>
    <n v="1388951.5"/>
    <n v="0"/>
    <s v="C2069118895"/>
    <n v="0"/>
    <n v="0"/>
    <n v="1"/>
    <n v="0"/>
    <n v="23"/>
    <n v="0"/>
    <n v="1"/>
    <n v="1388951.5"/>
    <n v="5"/>
    <n v="5"/>
    <n v="4.0999999999999996"/>
    <x v="2"/>
  </r>
  <r>
    <n v="47"/>
    <x v="1"/>
    <n v="1388951.5"/>
    <s v="C1476504573"/>
    <n v="1388951.5"/>
    <n v="0"/>
    <s v="C598780092"/>
    <n v="459273.45"/>
    <n v="1848224.95"/>
    <n v="1"/>
    <n v="0"/>
    <n v="23"/>
    <n v="0"/>
    <n v="1"/>
    <n v="1388951.5"/>
    <n v="5"/>
    <n v="4"/>
    <n v="3.8000000000000003"/>
    <x v="2"/>
  </r>
  <r>
    <n v="48"/>
    <x v="0"/>
    <n v="1215297.01"/>
    <s v="C22070941"/>
    <n v="1215297.01"/>
    <n v="0"/>
    <s v="C1908319524"/>
    <n v="0"/>
    <n v="0"/>
    <n v="1"/>
    <n v="0"/>
    <n v="0"/>
    <n v="0"/>
    <n v="1"/>
    <n v="1215297.01"/>
    <n v="5"/>
    <n v="5"/>
    <n v="4.0999999999999996"/>
    <x v="2"/>
  </r>
  <r>
    <n v="48"/>
    <x v="1"/>
    <n v="1215297.01"/>
    <s v="C274359236"/>
    <n v="1215297.01"/>
    <n v="0"/>
    <s v="C1653022223"/>
    <n v="2497294.92"/>
    <n v="3712591.93"/>
    <n v="1"/>
    <n v="0"/>
    <n v="0"/>
    <n v="0"/>
    <n v="1"/>
    <n v="1215297.01"/>
    <n v="5"/>
    <n v="4"/>
    <n v="3.8000000000000003"/>
    <x v="2"/>
  </r>
  <r>
    <n v="48"/>
    <x v="0"/>
    <n v="337974.21"/>
    <s v="C2029593206"/>
    <n v="337974.21"/>
    <n v="0"/>
    <s v="C1780194403"/>
    <n v="0"/>
    <n v="0"/>
    <n v="1"/>
    <n v="0"/>
    <n v="0"/>
    <n v="0"/>
    <n v="1"/>
    <n v="337974.21"/>
    <n v="5"/>
    <n v="5"/>
    <n v="4.0999999999999996"/>
    <x v="2"/>
  </r>
  <r>
    <n v="48"/>
    <x v="1"/>
    <n v="337974.21"/>
    <s v="C1171102344"/>
    <n v="337974.21"/>
    <n v="0"/>
    <s v="C1505545472"/>
    <n v="0"/>
    <n v="337974.21"/>
    <n v="1"/>
    <n v="0"/>
    <n v="0"/>
    <n v="0"/>
    <n v="1"/>
    <n v="337974.21"/>
    <n v="5"/>
    <n v="4"/>
    <n v="3.8000000000000003"/>
    <x v="2"/>
  </r>
  <r>
    <n v="48"/>
    <x v="0"/>
    <n v="147267.01"/>
    <s v="C1261933788"/>
    <n v="147267.01"/>
    <n v="0"/>
    <s v="C1058127621"/>
    <n v="0"/>
    <n v="0"/>
    <n v="1"/>
    <n v="0"/>
    <n v="0"/>
    <n v="0"/>
    <n v="1"/>
    <n v="147267.01"/>
    <n v="4"/>
    <n v="5"/>
    <n v="3.6"/>
    <x v="2"/>
  </r>
  <r>
    <n v="48"/>
    <x v="1"/>
    <n v="147267.01"/>
    <s v="C1556029086"/>
    <n v="147267.01"/>
    <n v="0"/>
    <s v="C1479614331"/>
    <n v="107418"/>
    <n v="64210.559999999998"/>
    <n v="1"/>
    <n v="0"/>
    <n v="0"/>
    <n v="0"/>
    <n v="1"/>
    <n v="147267.01"/>
    <n v="4"/>
    <n v="4"/>
    <n v="3.3000000000000003"/>
    <x v="2"/>
  </r>
  <r>
    <n v="48"/>
    <x v="0"/>
    <n v="561374.78"/>
    <s v="C796147836"/>
    <n v="561374.78"/>
    <n v="0"/>
    <s v="C723898004"/>
    <n v="0"/>
    <n v="0"/>
    <n v="1"/>
    <n v="0"/>
    <n v="0"/>
    <n v="0"/>
    <n v="1"/>
    <n v="561374.78"/>
    <n v="5"/>
    <n v="5"/>
    <n v="4.0999999999999996"/>
    <x v="2"/>
  </r>
  <r>
    <n v="48"/>
    <x v="1"/>
    <n v="561374.78"/>
    <s v="C442133026"/>
    <n v="561374.78"/>
    <n v="0"/>
    <s v="C952759841"/>
    <n v="5726683.5300000003"/>
    <n v="6288058.3099999996"/>
    <n v="1"/>
    <n v="0"/>
    <n v="0"/>
    <n v="0"/>
    <n v="1"/>
    <n v="561374.78"/>
    <n v="5"/>
    <n v="4"/>
    <n v="3.8000000000000003"/>
    <x v="2"/>
  </r>
  <r>
    <n v="48"/>
    <x v="0"/>
    <n v="5489302.04"/>
    <s v="C806769154"/>
    <n v="5489302.04"/>
    <n v="0"/>
    <s v="C519182481"/>
    <n v="0"/>
    <n v="0"/>
    <n v="1"/>
    <n v="0"/>
    <n v="0"/>
    <n v="0"/>
    <n v="1"/>
    <n v="5489302.04"/>
    <n v="5"/>
    <n v="5"/>
    <n v="4.0999999999999996"/>
    <x v="2"/>
  </r>
  <r>
    <n v="48"/>
    <x v="1"/>
    <n v="5489302.04"/>
    <s v="C123757418"/>
    <n v="5489302.04"/>
    <n v="0"/>
    <s v="C346649476"/>
    <n v="1356390.81"/>
    <n v="6845692.8499999996"/>
    <n v="1"/>
    <n v="0"/>
    <n v="0"/>
    <n v="0"/>
    <n v="1"/>
    <n v="5489302.04"/>
    <n v="5"/>
    <n v="4"/>
    <n v="3.8000000000000003"/>
    <x v="2"/>
  </r>
  <r>
    <n v="49"/>
    <x v="0"/>
    <n v="1021129.67"/>
    <s v="C1545338291"/>
    <n v="1021129.67"/>
    <n v="0"/>
    <s v="C372035143"/>
    <n v="0"/>
    <n v="0"/>
    <n v="1"/>
    <n v="0"/>
    <n v="1"/>
    <n v="0"/>
    <n v="1"/>
    <n v="1021129.67"/>
    <n v="5"/>
    <n v="5"/>
    <n v="4.0999999999999996"/>
    <x v="2"/>
  </r>
  <r>
    <n v="49"/>
    <x v="1"/>
    <n v="1021129.67"/>
    <s v="C771564749"/>
    <n v="1021129.67"/>
    <n v="0"/>
    <s v="C2126217921"/>
    <n v="86245.92"/>
    <n v="1107375.5900000001"/>
    <n v="1"/>
    <n v="0"/>
    <n v="1"/>
    <n v="0"/>
    <n v="1"/>
    <n v="1021129.67"/>
    <n v="5"/>
    <n v="4"/>
    <n v="3.8000000000000003"/>
    <x v="2"/>
  </r>
  <r>
    <n v="49"/>
    <x v="0"/>
    <n v="114017.19"/>
    <s v="C1785967281"/>
    <n v="114017.19"/>
    <n v="0"/>
    <s v="C68578357"/>
    <n v="0"/>
    <n v="0"/>
    <n v="1"/>
    <n v="0"/>
    <n v="1"/>
    <n v="0"/>
    <n v="1"/>
    <n v="114017.19"/>
    <n v="4"/>
    <n v="5"/>
    <n v="3.6"/>
    <x v="2"/>
  </r>
  <r>
    <n v="49"/>
    <x v="1"/>
    <n v="114017.19"/>
    <s v="C305323219"/>
    <n v="114017.19"/>
    <n v="0"/>
    <s v="C1508275623"/>
    <n v="2822872.88"/>
    <n v="2936890.07"/>
    <n v="1"/>
    <n v="0"/>
    <n v="1"/>
    <n v="0"/>
    <n v="1"/>
    <n v="114017.19"/>
    <n v="4"/>
    <n v="4"/>
    <n v="3.3000000000000003"/>
    <x v="2"/>
  </r>
  <r>
    <n v="50"/>
    <x v="0"/>
    <n v="112668.54"/>
    <s v="C994276793"/>
    <n v="112668.54"/>
    <n v="0"/>
    <s v="C670042954"/>
    <n v="0"/>
    <n v="0"/>
    <n v="1"/>
    <n v="0"/>
    <n v="2"/>
    <n v="0"/>
    <n v="1"/>
    <n v="112668.54"/>
    <n v="4"/>
    <n v="5"/>
    <n v="3.6"/>
    <x v="2"/>
  </r>
  <r>
    <n v="50"/>
    <x v="1"/>
    <n v="112668.54"/>
    <s v="C1673728989"/>
    <n v="112668.54"/>
    <n v="0"/>
    <s v="C487582896"/>
    <n v="0"/>
    <n v="112668.54"/>
    <n v="1"/>
    <n v="0"/>
    <n v="2"/>
    <n v="0"/>
    <n v="1"/>
    <n v="112668.54"/>
    <n v="4"/>
    <n v="4"/>
    <n v="3.3000000000000003"/>
    <x v="2"/>
  </r>
  <r>
    <n v="50"/>
    <x v="0"/>
    <n v="967153.5"/>
    <s v="C850743663"/>
    <n v="967153.5"/>
    <n v="0"/>
    <s v="C1137540009"/>
    <n v="0"/>
    <n v="0"/>
    <n v="1"/>
    <n v="0"/>
    <n v="2"/>
    <n v="0"/>
    <n v="1"/>
    <n v="967153.5"/>
    <n v="5"/>
    <n v="5"/>
    <n v="4.0999999999999996"/>
    <x v="2"/>
  </r>
  <r>
    <n v="50"/>
    <x v="1"/>
    <n v="967153.5"/>
    <s v="C1815828420"/>
    <n v="967153.5"/>
    <n v="0"/>
    <s v="C917661354"/>
    <n v="183670.2"/>
    <n v="1150823.7"/>
    <n v="1"/>
    <n v="0"/>
    <n v="2"/>
    <n v="0"/>
    <n v="1"/>
    <n v="967153.5"/>
    <n v="5"/>
    <n v="4"/>
    <n v="3.8000000000000003"/>
    <x v="2"/>
  </r>
  <r>
    <n v="50"/>
    <x v="0"/>
    <n v="592737.43000000005"/>
    <s v="C30736240"/>
    <n v="592737.43000000005"/>
    <n v="0"/>
    <s v="C725738949"/>
    <n v="0"/>
    <n v="0"/>
    <n v="1"/>
    <n v="0"/>
    <n v="2"/>
    <n v="0"/>
    <n v="1"/>
    <n v="592737.43000000005"/>
    <n v="5"/>
    <n v="5"/>
    <n v="4.0999999999999996"/>
    <x v="2"/>
  </r>
  <r>
    <n v="50"/>
    <x v="1"/>
    <n v="592737.43000000005"/>
    <s v="C300034494"/>
    <n v="592737.43000000005"/>
    <n v="0"/>
    <s v="C206270107"/>
    <n v="163646.39000000001"/>
    <n v="756383.82"/>
    <n v="1"/>
    <n v="0"/>
    <n v="2"/>
    <n v="0"/>
    <n v="1"/>
    <n v="592737.43000000005"/>
    <n v="5"/>
    <n v="4"/>
    <n v="3.8000000000000003"/>
    <x v="2"/>
  </r>
  <r>
    <n v="51"/>
    <x v="0"/>
    <n v="202887.77"/>
    <s v="C155466948"/>
    <n v="202887.77"/>
    <n v="0"/>
    <s v="C1368205157"/>
    <n v="0"/>
    <n v="0"/>
    <n v="1"/>
    <n v="0"/>
    <n v="3"/>
    <n v="0"/>
    <n v="1"/>
    <n v="202887.77"/>
    <n v="5"/>
    <n v="5"/>
    <n v="4.0999999999999996"/>
    <x v="2"/>
  </r>
  <r>
    <n v="51"/>
    <x v="1"/>
    <n v="202887.77"/>
    <s v="C1064820575"/>
    <n v="202887.77"/>
    <n v="0"/>
    <s v="C26411328"/>
    <n v="0"/>
    <n v="202887.77"/>
    <n v="1"/>
    <n v="0"/>
    <n v="3"/>
    <n v="0"/>
    <n v="1"/>
    <n v="202887.77"/>
    <n v="5"/>
    <n v="4"/>
    <n v="3.8000000000000003"/>
    <x v="2"/>
  </r>
  <r>
    <n v="51"/>
    <x v="0"/>
    <n v="339275.64"/>
    <s v="C427722942"/>
    <n v="339275.64"/>
    <n v="0"/>
    <s v="C2116826462"/>
    <n v="0"/>
    <n v="0"/>
    <n v="1"/>
    <n v="0"/>
    <n v="3"/>
    <n v="0"/>
    <n v="1"/>
    <n v="339275.64"/>
    <n v="5"/>
    <n v="5"/>
    <n v="4.0999999999999996"/>
    <x v="2"/>
  </r>
  <r>
    <n v="51"/>
    <x v="1"/>
    <n v="339275.64"/>
    <s v="C433192438"/>
    <n v="339275.64"/>
    <n v="0"/>
    <s v="C1002469873"/>
    <n v="1481576.03"/>
    <n v="1820851.68"/>
    <n v="1"/>
    <n v="0"/>
    <n v="3"/>
    <n v="0"/>
    <n v="1"/>
    <n v="339275.64"/>
    <n v="5"/>
    <n v="4"/>
    <n v="3.8000000000000003"/>
    <x v="2"/>
  </r>
  <r>
    <n v="51"/>
    <x v="0"/>
    <n v="115881.21"/>
    <s v="C836452372"/>
    <n v="115881.21"/>
    <n v="0"/>
    <s v="C1661320351"/>
    <n v="0"/>
    <n v="0"/>
    <n v="1"/>
    <n v="0"/>
    <n v="3"/>
    <n v="0"/>
    <n v="1"/>
    <n v="115881.21"/>
    <n v="4"/>
    <n v="5"/>
    <n v="3.6"/>
    <x v="2"/>
  </r>
  <r>
    <n v="51"/>
    <x v="1"/>
    <n v="115881.21"/>
    <s v="C819461207"/>
    <n v="115881.21"/>
    <n v="0"/>
    <s v="C814886797"/>
    <n v="4774288.04"/>
    <n v="4890169.26"/>
    <n v="1"/>
    <n v="0"/>
    <n v="3"/>
    <n v="0"/>
    <n v="1"/>
    <n v="115881.21"/>
    <n v="4"/>
    <n v="4"/>
    <n v="3.3000000000000003"/>
    <x v="2"/>
  </r>
  <r>
    <n v="51"/>
    <x v="0"/>
    <n v="1398946.33"/>
    <s v="C1560394123"/>
    <n v="1398946.33"/>
    <n v="0"/>
    <s v="C1393670189"/>
    <n v="0"/>
    <n v="0"/>
    <n v="1"/>
    <n v="0"/>
    <n v="3"/>
    <n v="0"/>
    <n v="1"/>
    <n v="1398946.33"/>
    <n v="5"/>
    <n v="5"/>
    <n v="4.0999999999999996"/>
    <x v="2"/>
  </r>
  <r>
    <n v="51"/>
    <x v="1"/>
    <n v="1398946.33"/>
    <s v="C1269420432"/>
    <n v="1398946.33"/>
    <n v="0"/>
    <s v="C237977902"/>
    <n v="0"/>
    <n v="1398946.33"/>
    <n v="1"/>
    <n v="0"/>
    <n v="3"/>
    <n v="0"/>
    <n v="1"/>
    <n v="1398946.33"/>
    <n v="5"/>
    <n v="4"/>
    <n v="3.8000000000000003"/>
    <x v="2"/>
  </r>
  <r>
    <n v="51"/>
    <x v="0"/>
    <n v="1170282.92"/>
    <s v="C1948396559"/>
    <n v="1170282.92"/>
    <n v="0"/>
    <s v="C538567441"/>
    <n v="0"/>
    <n v="0"/>
    <n v="1"/>
    <n v="0"/>
    <n v="3"/>
    <n v="0"/>
    <n v="1"/>
    <n v="1170282.92"/>
    <n v="5"/>
    <n v="5"/>
    <n v="4.0999999999999996"/>
    <x v="2"/>
  </r>
  <r>
    <n v="51"/>
    <x v="1"/>
    <n v="1170282.92"/>
    <s v="C555990868"/>
    <n v="1170282.92"/>
    <n v="0"/>
    <s v="C1318550066"/>
    <n v="173264.14"/>
    <n v="1343547.06"/>
    <n v="1"/>
    <n v="0"/>
    <n v="3"/>
    <n v="0"/>
    <n v="1"/>
    <n v="1170282.92"/>
    <n v="5"/>
    <n v="4"/>
    <n v="3.8000000000000003"/>
    <x v="2"/>
  </r>
  <r>
    <n v="51"/>
    <x v="0"/>
    <n v="567932.31000000006"/>
    <s v="C710887172"/>
    <n v="567932.31000000006"/>
    <n v="0"/>
    <s v="C2057229481"/>
    <n v="0"/>
    <n v="0"/>
    <n v="1"/>
    <n v="0"/>
    <n v="3"/>
    <n v="0"/>
    <n v="1"/>
    <n v="567932.31000000006"/>
    <n v="5"/>
    <n v="5"/>
    <n v="4.0999999999999996"/>
    <x v="2"/>
  </r>
  <r>
    <n v="51"/>
    <x v="1"/>
    <n v="567932.31000000006"/>
    <s v="C1373739020"/>
    <n v="567932.31000000006"/>
    <n v="0"/>
    <s v="C1576761892"/>
    <n v="0"/>
    <n v="567932.31000000006"/>
    <n v="1"/>
    <n v="0"/>
    <n v="3"/>
    <n v="0"/>
    <n v="1"/>
    <n v="567932.31000000006"/>
    <n v="5"/>
    <n v="4"/>
    <n v="3.8000000000000003"/>
    <x v="2"/>
  </r>
  <r>
    <n v="51"/>
    <x v="0"/>
    <n v="361460.79"/>
    <s v="C877036651"/>
    <n v="361460.79"/>
    <n v="0"/>
    <s v="C748208035"/>
    <n v="0"/>
    <n v="0"/>
    <n v="1"/>
    <n v="0"/>
    <n v="3"/>
    <n v="0"/>
    <n v="1"/>
    <n v="361460.79"/>
    <n v="5"/>
    <n v="5"/>
    <n v="4.0999999999999996"/>
    <x v="2"/>
  </r>
  <r>
    <n v="51"/>
    <x v="1"/>
    <n v="361460.79"/>
    <s v="C136533160"/>
    <n v="361460.79"/>
    <n v="0"/>
    <s v="C178151720"/>
    <n v="991487.78"/>
    <n v="1352948.57"/>
    <n v="1"/>
    <n v="0"/>
    <n v="3"/>
    <n v="0"/>
    <n v="1"/>
    <n v="361460.79"/>
    <n v="5"/>
    <n v="4"/>
    <n v="3.8000000000000003"/>
    <x v="2"/>
  </r>
  <r>
    <n v="52"/>
    <x v="0"/>
    <n v="7484125.1200000001"/>
    <s v="C1486116303"/>
    <n v="7484125.1200000001"/>
    <n v="0"/>
    <s v="C398541118"/>
    <n v="0"/>
    <n v="0"/>
    <n v="1"/>
    <n v="0"/>
    <n v="4"/>
    <n v="0"/>
    <n v="1"/>
    <n v="7484125.1200000001"/>
    <n v="5"/>
    <n v="5"/>
    <n v="4.0999999999999996"/>
    <x v="2"/>
  </r>
  <r>
    <n v="52"/>
    <x v="1"/>
    <n v="7484125.1200000001"/>
    <s v="C99129129"/>
    <n v="7484125.1200000001"/>
    <n v="0"/>
    <s v="C1179262893"/>
    <n v="62896.23"/>
    <n v="7547021.3600000003"/>
    <n v="1"/>
    <n v="0"/>
    <n v="4"/>
    <n v="0"/>
    <n v="1"/>
    <n v="7484125.1200000001"/>
    <n v="5"/>
    <n v="4"/>
    <n v="3.8000000000000003"/>
    <x v="2"/>
  </r>
  <r>
    <n v="52"/>
    <x v="0"/>
    <n v="1093155.19"/>
    <s v="C84753955"/>
    <n v="1093155.19"/>
    <n v="0"/>
    <s v="C203085340"/>
    <n v="0"/>
    <n v="0"/>
    <n v="1"/>
    <n v="0"/>
    <n v="4"/>
    <n v="0"/>
    <n v="1"/>
    <n v="1093155.19"/>
    <n v="5"/>
    <n v="5"/>
    <n v="4.0999999999999996"/>
    <x v="2"/>
  </r>
  <r>
    <n v="52"/>
    <x v="1"/>
    <n v="1093155.19"/>
    <s v="C395947070"/>
    <n v="1093155.19"/>
    <n v="0"/>
    <s v="C1747066716"/>
    <n v="1966451.64"/>
    <n v="3059606.83"/>
    <n v="1"/>
    <n v="0"/>
    <n v="4"/>
    <n v="0"/>
    <n v="1"/>
    <n v="1093155.19"/>
    <n v="5"/>
    <n v="4"/>
    <n v="3.8000000000000003"/>
    <x v="2"/>
  </r>
  <r>
    <n v="52"/>
    <x v="0"/>
    <n v="128426.58"/>
    <s v="C1842985263"/>
    <n v="128426.58"/>
    <n v="0"/>
    <s v="C840755462"/>
    <n v="0"/>
    <n v="0"/>
    <n v="1"/>
    <n v="0"/>
    <n v="4"/>
    <n v="0"/>
    <n v="1"/>
    <n v="128426.58"/>
    <n v="4"/>
    <n v="5"/>
    <n v="3.6"/>
    <x v="2"/>
  </r>
  <r>
    <n v="52"/>
    <x v="1"/>
    <n v="128426.58"/>
    <s v="C742996578"/>
    <n v="128426.58"/>
    <n v="0"/>
    <s v="C11731793"/>
    <n v="0"/>
    <n v="128426.58"/>
    <n v="1"/>
    <n v="0"/>
    <n v="4"/>
    <n v="0"/>
    <n v="1"/>
    <n v="128426.58"/>
    <n v="4"/>
    <n v="4"/>
    <n v="3.3000000000000003"/>
    <x v="2"/>
  </r>
  <r>
    <n v="52"/>
    <x v="0"/>
    <n v="969259.07"/>
    <s v="C806145630"/>
    <n v="969259.07"/>
    <n v="0"/>
    <s v="C1088026094"/>
    <n v="0"/>
    <n v="0"/>
    <n v="1"/>
    <n v="0"/>
    <n v="4"/>
    <n v="0"/>
    <n v="1"/>
    <n v="969259.07"/>
    <n v="5"/>
    <n v="5"/>
    <n v="4.0999999999999996"/>
    <x v="2"/>
  </r>
  <r>
    <n v="52"/>
    <x v="1"/>
    <n v="969259.07"/>
    <s v="C457586283"/>
    <n v="969259.07"/>
    <n v="0"/>
    <s v="C379384197"/>
    <n v="85723.45"/>
    <n v="1054982.52"/>
    <n v="1"/>
    <n v="0"/>
    <n v="4"/>
    <n v="0"/>
    <n v="1"/>
    <n v="969259.07"/>
    <n v="5"/>
    <n v="4"/>
    <n v="3.8000000000000003"/>
    <x v="2"/>
  </r>
  <r>
    <n v="53"/>
    <x v="0"/>
    <n v="1631640.02"/>
    <s v="C443233087"/>
    <n v="1631640.02"/>
    <n v="0"/>
    <s v="C1597258791"/>
    <n v="0"/>
    <n v="0"/>
    <n v="1"/>
    <n v="0"/>
    <n v="5"/>
    <n v="0"/>
    <n v="1"/>
    <n v="1631640.02"/>
    <n v="5"/>
    <n v="5"/>
    <n v="4.0999999999999996"/>
    <x v="2"/>
  </r>
  <r>
    <n v="53"/>
    <x v="1"/>
    <n v="1631640.02"/>
    <s v="C1732115289"/>
    <n v="1631640.02"/>
    <n v="0"/>
    <s v="C262978946"/>
    <n v="705298.87"/>
    <n v="2336938.89"/>
    <n v="1"/>
    <n v="0"/>
    <n v="5"/>
    <n v="0"/>
    <n v="1"/>
    <n v="1631640.02"/>
    <n v="5"/>
    <n v="4"/>
    <n v="3.8000000000000003"/>
    <x v="2"/>
  </r>
  <r>
    <n v="53"/>
    <x v="0"/>
    <n v="99139.27"/>
    <s v="C831891422"/>
    <n v="99139.27"/>
    <n v="0"/>
    <s v="C1984865103"/>
    <n v="0"/>
    <n v="0"/>
    <n v="1"/>
    <n v="0"/>
    <n v="5"/>
    <n v="0"/>
    <n v="1"/>
    <n v="99139.27"/>
    <n v="3"/>
    <n v="5"/>
    <n v="3.1"/>
    <x v="2"/>
  </r>
  <r>
    <n v="53"/>
    <x v="1"/>
    <n v="99139.27"/>
    <s v="C457849577"/>
    <n v="99139.27"/>
    <n v="0"/>
    <s v="C253226648"/>
    <n v="28766.55"/>
    <n v="127905.82"/>
    <n v="1"/>
    <n v="0"/>
    <n v="5"/>
    <n v="0"/>
    <n v="1"/>
    <n v="99139.27"/>
    <n v="3"/>
    <n v="4"/>
    <n v="2.8000000000000003"/>
    <x v="0"/>
  </r>
  <r>
    <n v="53"/>
    <x v="0"/>
    <n v="6215.44"/>
    <s v="C1484456052"/>
    <n v="6215.44"/>
    <n v="0"/>
    <s v="C1913346868"/>
    <n v="0"/>
    <n v="0"/>
    <n v="1"/>
    <n v="0"/>
    <n v="5"/>
    <n v="0"/>
    <n v="1"/>
    <n v="6215.44"/>
    <n v="1"/>
    <n v="5"/>
    <n v="2.1"/>
    <x v="0"/>
  </r>
  <r>
    <n v="53"/>
    <x v="1"/>
    <n v="6215.44"/>
    <s v="C1351929617"/>
    <n v="6215.44"/>
    <n v="0"/>
    <s v="C842672981"/>
    <n v="191197.42"/>
    <n v="197412.85"/>
    <n v="1"/>
    <n v="0"/>
    <n v="5"/>
    <n v="0"/>
    <n v="1"/>
    <n v="6215.44"/>
    <n v="1"/>
    <n v="4"/>
    <n v="1.8"/>
    <x v="1"/>
  </r>
  <r>
    <n v="53"/>
    <x v="0"/>
    <n v="3640271.29"/>
    <s v="C1285761418"/>
    <n v="3640271.29"/>
    <n v="0"/>
    <s v="C2028641482"/>
    <n v="0"/>
    <n v="0"/>
    <n v="1"/>
    <n v="0"/>
    <n v="5"/>
    <n v="0"/>
    <n v="1"/>
    <n v="3640271.29"/>
    <n v="5"/>
    <n v="5"/>
    <n v="4.0999999999999996"/>
    <x v="2"/>
  </r>
  <r>
    <n v="53"/>
    <x v="1"/>
    <n v="3640271.29"/>
    <s v="C108318597"/>
    <n v="3640271.29"/>
    <n v="0"/>
    <s v="C1038092429"/>
    <n v="6525.95"/>
    <n v="3646797.25"/>
    <n v="1"/>
    <n v="0"/>
    <n v="5"/>
    <n v="0"/>
    <n v="1"/>
    <n v="3640271.29"/>
    <n v="5"/>
    <n v="4"/>
    <n v="3.8000000000000003"/>
    <x v="2"/>
  </r>
  <r>
    <n v="53"/>
    <x v="0"/>
    <n v="931684.75"/>
    <s v="C101455775"/>
    <n v="931684.75"/>
    <n v="0"/>
    <s v="C1834538811"/>
    <n v="0"/>
    <n v="0"/>
    <n v="1"/>
    <n v="0"/>
    <n v="5"/>
    <n v="0"/>
    <n v="1"/>
    <n v="931684.75"/>
    <n v="5"/>
    <n v="5"/>
    <n v="4.0999999999999996"/>
    <x v="2"/>
  </r>
  <r>
    <n v="53"/>
    <x v="1"/>
    <n v="931684.75"/>
    <s v="C1888926728"/>
    <n v="931684.75"/>
    <n v="0"/>
    <s v="C1918631578"/>
    <n v="3608144.66"/>
    <n v="4539829.41"/>
    <n v="1"/>
    <n v="0"/>
    <n v="5"/>
    <n v="0"/>
    <n v="1"/>
    <n v="931684.75"/>
    <n v="5"/>
    <n v="4"/>
    <n v="3.8000000000000003"/>
    <x v="2"/>
  </r>
  <r>
    <n v="54"/>
    <x v="0"/>
    <n v="1350574.58"/>
    <s v="C919766733"/>
    <n v="1350574.58"/>
    <n v="0"/>
    <s v="C623650025"/>
    <n v="0"/>
    <n v="0"/>
    <n v="1"/>
    <n v="0"/>
    <n v="6"/>
    <n v="0"/>
    <n v="1"/>
    <n v="1350574.58"/>
    <n v="5"/>
    <n v="5"/>
    <n v="4.0999999999999996"/>
    <x v="2"/>
  </r>
  <r>
    <n v="54"/>
    <x v="1"/>
    <n v="1350574.58"/>
    <s v="C414078193"/>
    <n v="1350574.58"/>
    <n v="0"/>
    <s v="C907833742"/>
    <n v="2925591.98"/>
    <n v="4276166.57"/>
    <n v="1"/>
    <n v="0"/>
    <n v="6"/>
    <n v="0"/>
    <n v="1"/>
    <n v="1350574.58"/>
    <n v="5"/>
    <n v="4"/>
    <n v="3.8000000000000003"/>
    <x v="2"/>
  </r>
  <r>
    <n v="54"/>
    <x v="0"/>
    <n v="438224.6"/>
    <s v="C163085808"/>
    <n v="438224.6"/>
    <n v="0"/>
    <s v="C652285552"/>
    <n v="0"/>
    <n v="0"/>
    <n v="1"/>
    <n v="0"/>
    <n v="6"/>
    <n v="0"/>
    <n v="1"/>
    <n v="438224.6"/>
    <n v="5"/>
    <n v="5"/>
    <n v="4.0999999999999996"/>
    <x v="2"/>
  </r>
  <r>
    <n v="54"/>
    <x v="1"/>
    <n v="438224.6"/>
    <s v="C1238831225"/>
    <n v="438224.6"/>
    <n v="0"/>
    <s v="C296924123"/>
    <n v="320697.46000000002"/>
    <n v="758922.05"/>
    <n v="1"/>
    <n v="0"/>
    <n v="6"/>
    <n v="0"/>
    <n v="1"/>
    <n v="438224.6"/>
    <n v="5"/>
    <n v="4"/>
    <n v="3.8000000000000003"/>
    <x v="2"/>
  </r>
  <r>
    <n v="55"/>
    <x v="0"/>
    <n v="760625.76"/>
    <s v="C1611123412"/>
    <n v="760625.76"/>
    <n v="0"/>
    <s v="C1796277088"/>
    <n v="0"/>
    <n v="0"/>
    <n v="1"/>
    <n v="0"/>
    <n v="7"/>
    <n v="0"/>
    <n v="1"/>
    <n v="760625.76"/>
    <n v="5"/>
    <n v="5"/>
    <n v="4.0999999999999996"/>
    <x v="2"/>
  </r>
  <r>
    <n v="55"/>
    <x v="1"/>
    <n v="760625.76"/>
    <s v="C749159040"/>
    <n v="760625.76"/>
    <n v="0"/>
    <s v="C1749746216"/>
    <n v="128272.02"/>
    <n v="888897.78"/>
    <n v="1"/>
    <n v="0"/>
    <n v="7"/>
    <n v="0"/>
    <n v="1"/>
    <n v="760625.76"/>
    <n v="5"/>
    <n v="4"/>
    <n v="3.8000000000000003"/>
    <x v="2"/>
  </r>
  <r>
    <n v="55"/>
    <x v="0"/>
    <n v="309254.05"/>
    <s v="C1323797959"/>
    <n v="309254.05"/>
    <n v="0"/>
    <s v="C986375360"/>
    <n v="0"/>
    <n v="0"/>
    <n v="1"/>
    <n v="0"/>
    <n v="7"/>
    <n v="0"/>
    <n v="1"/>
    <n v="309254.05"/>
    <n v="5"/>
    <n v="5"/>
    <n v="4.0999999999999996"/>
    <x v="2"/>
  </r>
  <r>
    <n v="55"/>
    <x v="1"/>
    <n v="309254.05"/>
    <s v="C906689307"/>
    <n v="309254.05"/>
    <n v="0"/>
    <s v="C1018466821"/>
    <n v="218535.44"/>
    <n v="527789.5"/>
    <n v="1"/>
    <n v="0"/>
    <n v="7"/>
    <n v="0"/>
    <n v="1"/>
    <n v="309254.05"/>
    <n v="5"/>
    <n v="4"/>
    <n v="3.8000000000000003"/>
    <x v="2"/>
  </r>
  <r>
    <n v="55"/>
    <x v="0"/>
    <n v="283400.42"/>
    <s v="C1745208932"/>
    <n v="283400.42"/>
    <n v="0"/>
    <s v="C2118682140"/>
    <n v="0"/>
    <n v="0"/>
    <n v="1"/>
    <n v="0"/>
    <n v="7"/>
    <n v="0"/>
    <n v="1"/>
    <n v="283400.42"/>
    <n v="5"/>
    <n v="5"/>
    <n v="4.0999999999999996"/>
    <x v="2"/>
  </r>
  <r>
    <n v="55"/>
    <x v="1"/>
    <n v="283400.42"/>
    <s v="C2116041382"/>
    <n v="283400.42"/>
    <n v="0"/>
    <s v="C1772301094"/>
    <n v="2662439.92"/>
    <n v="2945840.34"/>
    <n v="1"/>
    <n v="0"/>
    <n v="7"/>
    <n v="0"/>
    <n v="1"/>
    <n v="283400.42"/>
    <n v="5"/>
    <n v="4"/>
    <n v="3.8000000000000003"/>
    <x v="2"/>
  </r>
  <r>
    <n v="55"/>
    <x v="0"/>
    <n v="109028.8"/>
    <s v="C215685392"/>
    <n v="109028.8"/>
    <n v="0"/>
    <s v="C1679780828"/>
    <n v="0"/>
    <n v="0"/>
    <n v="1"/>
    <n v="0"/>
    <n v="7"/>
    <n v="0"/>
    <n v="1"/>
    <n v="109028.8"/>
    <n v="4"/>
    <n v="5"/>
    <n v="3.6"/>
    <x v="2"/>
  </r>
  <r>
    <n v="55"/>
    <x v="1"/>
    <n v="109028.8"/>
    <s v="C1835596211"/>
    <n v="109028.8"/>
    <n v="0"/>
    <s v="C1502942700"/>
    <n v="674110.57"/>
    <n v="783139.37"/>
    <n v="1"/>
    <n v="0"/>
    <n v="7"/>
    <n v="0"/>
    <n v="1"/>
    <n v="109028.8"/>
    <n v="4"/>
    <n v="4"/>
    <n v="3.3000000000000003"/>
    <x v="2"/>
  </r>
  <r>
    <n v="55"/>
    <x v="0"/>
    <n v="854550.85"/>
    <s v="C723006620"/>
    <n v="854550.85"/>
    <n v="0"/>
    <s v="C240791931"/>
    <n v="0"/>
    <n v="0"/>
    <n v="1"/>
    <n v="0"/>
    <n v="7"/>
    <n v="0"/>
    <n v="1"/>
    <n v="854550.85"/>
    <n v="5"/>
    <n v="5"/>
    <n v="4.0999999999999996"/>
    <x v="2"/>
  </r>
  <r>
    <n v="55"/>
    <x v="1"/>
    <n v="854550.85"/>
    <s v="C1410522707"/>
    <n v="854550.85"/>
    <n v="0"/>
    <s v="C880907246"/>
    <n v="186808.48"/>
    <n v="1041359.33"/>
    <n v="1"/>
    <n v="0"/>
    <n v="7"/>
    <n v="0"/>
    <n v="1"/>
    <n v="854550.85"/>
    <n v="5"/>
    <n v="4"/>
    <n v="3.8000000000000003"/>
    <x v="2"/>
  </r>
  <r>
    <n v="55"/>
    <x v="0"/>
    <n v="167715.53"/>
    <s v="C5594712"/>
    <n v="167715.53"/>
    <n v="0"/>
    <s v="C69798076"/>
    <n v="0"/>
    <n v="0"/>
    <n v="1"/>
    <n v="0"/>
    <n v="7"/>
    <n v="0"/>
    <n v="1"/>
    <n v="167715.53"/>
    <n v="4"/>
    <n v="5"/>
    <n v="3.6"/>
    <x v="2"/>
  </r>
  <r>
    <n v="55"/>
    <x v="1"/>
    <n v="167715.53"/>
    <s v="C710580864"/>
    <n v="167715.53"/>
    <n v="0"/>
    <s v="C349231889"/>
    <n v="492360.21"/>
    <n v="660075.73"/>
    <n v="1"/>
    <n v="0"/>
    <n v="7"/>
    <n v="0"/>
    <n v="1"/>
    <n v="167715.53"/>
    <n v="4"/>
    <n v="4"/>
    <n v="3.3000000000000003"/>
    <x v="2"/>
  </r>
  <r>
    <n v="56"/>
    <x v="0"/>
    <n v="1932200.59"/>
    <s v="C1448304922"/>
    <n v="1932200.59"/>
    <n v="0"/>
    <s v="C1082976131"/>
    <n v="0"/>
    <n v="0"/>
    <n v="1"/>
    <n v="0"/>
    <n v="8"/>
    <n v="0"/>
    <n v="1"/>
    <n v="1932200.59"/>
    <n v="5"/>
    <n v="5"/>
    <n v="4.0999999999999996"/>
    <x v="2"/>
  </r>
  <r>
    <n v="56"/>
    <x v="1"/>
    <n v="1932200.59"/>
    <s v="C1900295340"/>
    <n v="1932200.59"/>
    <n v="0"/>
    <s v="C2032646914"/>
    <n v="0"/>
    <n v="1932200.59"/>
    <n v="1"/>
    <n v="0"/>
    <n v="8"/>
    <n v="0"/>
    <n v="1"/>
    <n v="1932200.59"/>
    <n v="5"/>
    <n v="4"/>
    <n v="3.8000000000000003"/>
    <x v="2"/>
  </r>
  <r>
    <n v="56"/>
    <x v="0"/>
    <n v="829885.13"/>
    <s v="C633571752"/>
    <n v="829885.13"/>
    <n v="0"/>
    <s v="C22428002"/>
    <n v="0"/>
    <n v="0"/>
    <n v="1"/>
    <n v="0"/>
    <n v="8"/>
    <n v="0"/>
    <n v="1"/>
    <n v="829885.13"/>
    <n v="5"/>
    <n v="5"/>
    <n v="4.0999999999999996"/>
    <x v="2"/>
  </r>
  <r>
    <n v="56"/>
    <x v="1"/>
    <n v="829885.13"/>
    <s v="C1179900921"/>
    <n v="829885.13"/>
    <n v="0"/>
    <s v="C2021579766"/>
    <n v="13300000"/>
    <n v="14100000"/>
    <n v="1"/>
    <n v="0"/>
    <n v="8"/>
    <n v="0"/>
    <n v="1"/>
    <n v="829885.13"/>
    <n v="5"/>
    <n v="4"/>
    <n v="3.8000000000000003"/>
    <x v="2"/>
  </r>
  <r>
    <n v="56"/>
    <x v="0"/>
    <n v="42789.93"/>
    <s v="C353411083"/>
    <n v="42789.93"/>
    <n v="0"/>
    <s v="C803277933"/>
    <n v="0"/>
    <n v="0"/>
    <n v="1"/>
    <n v="0"/>
    <n v="8"/>
    <n v="0"/>
    <n v="1"/>
    <n v="42789.93"/>
    <n v="2"/>
    <n v="5"/>
    <n v="2.6"/>
    <x v="0"/>
  </r>
  <r>
    <n v="56"/>
    <x v="1"/>
    <n v="42789.93"/>
    <s v="C1799683256"/>
    <n v="42789.93"/>
    <n v="0"/>
    <s v="C2124012245"/>
    <n v="0"/>
    <n v="42789.93"/>
    <n v="1"/>
    <n v="0"/>
    <n v="8"/>
    <n v="0"/>
    <n v="1"/>
    <n v="42789.93"/>
    <n v="2"/>
    <n v="4"/>
    <n v="2.3000000000000003"/>
    <x v="0"/>
  </r>
  <r>
    <n v="56"/>
    <x v="0"/>
    <n v="136562.78"/>
    <s v="C1391703729"/>
    <n v="136562.78"/>
    <n v="0"/>
    <s v="C1707583711"/>
    <n v="0"/>
    <n v="0"/>
    <n v="1"/>
    <n v="0"/>
    <n v="8"/>
    <n v="0"/>
    <n v="1"/>
    <n v="136562.78"/>
    <n v="4"/>
    <n v="5"/>
    <n v="3.6"/>
    <x v="2"/>
  </r>
  <r>
    <n v="56"/>
    <x v="1"/>
    <n v="136562.78"/>
    <s v="C170337029"/>
    <n v="136562.78"/>
    <n v="0"/>
    <s v="C2005239245"/>
    <n v="21100.34"/>
    <n v="157663.12"/>
    <n v="1"/>
    <n v="0"/>
    <n v="8"/>
    <n v="0"/>
    <n v="1"/>
    <n v="136562.78"/>
    <n v="4"/>
    <n v="4"/>
    <n v="3.3000000000000003"/>
    <x v="2"/>
  </r>
  <r>
    <n v="56"/>
    <x v="0"/>
    <n v="82767.31"/>
    <s v="C447204018"/>
    <n v="82767.31"/>
    <n v="0"/>
    <s v="C1405076025"/>
    <n v="0"/>
    <n v="0"/>
    <n v="1"/>
    <n v="0"/>
    <n v="8"/>
    <n v="0"/>
    <n v="1"/>
    <n v="82767.31"/>
    <n v="3"/>
    <n v="5"/>
    <n v="3.1"/>
    <x v="2"/>
  </r>
  <r>
    <n v="56"/>
    <x v="1"/>
    <n v="82767.31"/>
    <s v="C1447707746"/>
    <n v="82767.31"/>
    <n v="0"/>
    <s v="C133385139"/>
    <n v="401173.22"/>
    <n v="483940.53"/>
    <n v="1"/>
    <n v="0"/>
    <n v="8"/>
    <n v="0"/>
    <n v="1"/>
    <n v="82767.31"/>
    <n v="3"/>
    <n v="4"/>
    <n v="2.8000000000000003"/>
    <x v="0"/>
  </r>
  <r>
    <n v="56"/>
    <x v="0"/>
    <n v="2776135.33"/>
    <s v="C432219684"/>
    <n v="2776135.33"/>
    <n v="0"/>
    <s v="C926776113"/>
    <n v="0"/>
    <n v="0"/>
    <n v="1"/>
    <n v="0"/>
    <n v="8"/>
    <n v="0"/>
    <n v="1"/>
    <n v="2776135.33"/>
    <n v="5"/>
    <n v="5"/>
    <n v="4.0999999999999996"/>
    <x v="2"/>
  </r>
  <r>
    <n v="56"/>
    <x v="1"/>
    <n v="2776135.33"/>
    <s v="C718213394"/>
    <n v="2776135.33"/>
    <n v="0"/>
    <s v="C1307403006"/>
    <n v="0"/>
    <n v="2776135.33"/>
    <n v="1"/>
    <n v="0"/>
    <n v="8"/>
    <n v="0"/>
    <n v="1"/>
    <n v="2776135.33"/>
    <n v="5"/>
    <n v="4"/>
    <n v="3.8000000000000003"/>
    <x v="2"/>
  </r>
  <r>
    <n v="56"/>
    <x v="0"/>
    <n v="4243468.1900000004"/>
    <s v="C244956323"/>
    <n v="4243468.1900000004"/>
    <n v="0"/>
    <s v="C1079262309"/>
    <n v="0"/>
    <n v="0"/>
    <n v="1"/>
    <n v="0"/>
    <n v="8"/>
    <n v="0"/>
    <n v="1"/>
    <n v="4243468.1900000004"/>
    <n v="5"/>
    <n v="5"/>
    <n v="4.0999999999999996"/>
    <x v="2"/>
  </r>
  <r>
    <n v="56"/>
    <x v="1"/>
    <n v="4243468.1900000004"/>
    <s v="C175411270"/>
    <n v="4243468.1900000004"/>
    <n v="0"/>
    <s v="C1082242132"/>
    <n v="698483.22"/>
    <n v="4941951.41"/>
    <n v="1"/>
    <n v="0"/>
    <n v="8"/>
    <n v="0"/>
    <n v="1"/>
    <n v="4243468.1900000004"/>
    <n v="5"/>
    <n v="4"/>
    <n v="3.8000000000000003"/>
    <x v="2"/>
  </r>
  <r>
    <n v="56"/>
    <x v="0"/>
    <n v="530733.43000000005"/>
    <s v="C176579882"/>
    <n v="530733.43000000005"/>
    <n v="0"/>
    <s v="C1049193275"/>
    <n v="0"/>
    <n v="0"/>
    <n v="1"/>
    <n v="0"/>
    <n v="8"/>
    <n v="0"/>
    <n v="1"/>
    <n v="530733.43000000005"/>
    <n v="5"/>
    <n v="5"/>
    <n v="4.0999999999999996"/>
    <x v="2"/>
  </r>
  <r>
    <n v="56"/>
    <x v="1"/>
    <n v="530733.43000000005"/>
    <s v="C1486070505"/>
    <n v="530733.43000000005"/>
    <n v="0"/>
    <s v="C1428831661"/>
    <n v="233066.99"/>
    <n v="763800.42"/>
    <n v="1"/>
    <n v="0"/>
    <n v="8"/>
    <n v="0"/>
    <n v="1"/>
    <n v="530733.43000000005"/>
    <n v="5"/>
    <n v="4"/>
    <n v="3.8000000000000003"/>
    <x v="2"/>
  </r>
  <r>
    <n v="56"/>
    <x v="0"/>
    <n v="325242.69"/>
    <s v="C464286204"/>
    <n v="325242.69"/>
    <n v="0"/>
    <s v="C1532660344"/>
    <n v="0"/>
    <n v="0"/>
    <n v="1"/>
    <n v="0"/>
    <n v="8"/>
    <n v="0"/>
    <n v="1"/>
    <n v="325242.69"/>
    <n v="5"/>
    <n v="5"/>
    <n v="4.0999999999999996"/>
    <x v="2"/>
  </r>
  <r>
    <n v="56"/>
    <x v="1"/>
    <n v="325242.69"/>
    <s v="C905192559"/>
    <n v="325242.69"/>
    <n v="0"/>
    <s v="C1676432811"/>
    <n v="910845.46"/>
    <n v="1236088.1499999999"/>
    <n v="1"/>
    <n v="0"/>
    <n v="8"/>
    <n v="0"/>
    <n v="1"/>
    <n v="325242.69"/>
    <n v="5"/>
    <n v="4"/>
    <n v="3.8000000000000003"/>
    <x v="2"/>
  </r>
  <r>
    <n v="57"/>
    <x v="0"/>
    <n v="157610.10999999999"/>
    <s v="C207792334"/>
    <n v="157610.10999999999"/>
    <n v="0"/>
    <s v="C912468991"/>
    <n v="0"/>
    <n v="0"/>
    <n v="1"/>
    <n v="0"/>
    <n v="9"/>
    <n v="0"/>
    <n v="1"/>
    <n v="157610.10999999999"/>
    <n v="4"/>
    <n v="5"/>
    <n v="3.6"/>
    <x v="2"/>
  </r>
  <r>
    <n v="57"/>
    <x v="1"/>
    <n v="157610.10999999999"/>
    <s v="C1227085633"/>
    <n v="157610.10999999999"/>
    <n v="0"/>
    <s v="C1712237759"/>
    <n v="949587.48"/>
    <n v="1107197.5900000001"/>
    <n v="1"/>
    <n v="0"/>
    <n v="9"/>
    <n v="0"/>
    <n v="1"/>
    <n v="157610.10999999999"/>
    <n v="4"/>
    <n v="4"/>
    <n v="3.3000000000000003"/>
    <x v="2"/>
  </r>
  <r>
    <n v="57"/>
    <x v="0"/>
    <n v="354441.19"/>
    <s v="C829975560"/>
    <n v="354441.19"/>
    <n v="0"/>
    <s v="C157107660"/>
    <n v="0"/>
    <n v="0"/>
    <n v="1"/>
    <n v="0"/>
    <n v="9"/>
    <n v="0"/>
    <n v="1"/>
    <n v="354441.19"/>
    <n v="5"/>
    <n v="5"/>
    <n v="4.0999999999999996"/>
    <x v="2"/>
  </r>
  <r>
    <n v="57"/>
    <x v="1"/>
    <n v="354441.19"/>
    <s v="C633069844"/>
    <n v="354441.19"/>
    <n v="0"/>
    <s v="C1718989078"/>
    <n v="452296.45"/>
    <n v="806737.65"/>
    <n v="1"/>
    <n v="0"/>
    <n v="9"/>
    <n v="0"/>
    <n v="1"/>
    <n v="354441.19"/>
    <n v="5"/>
    <n v="4"/>
    <n v="3.8000000000000003"/>
    <x v="2"/>
  </r>
  <r>
    <n v="57"/>
    <x v="0"/>
    <n v="1014816.16"/>
    <s v="C550185181"/>
    <n v="1014816.16"/>
    <n v="0"/>
    <s v="C1007032757"/>
    <n v="0"/>
    <n v="0"/>
    <n v="1"/>
    <n v="0"/>
    <n v="9"/>
    <n v="0"/>
    <n v="1"/>
    <n v="1014816.16"/>
    <n v="5"/>
    <n v="5"/>
    <n v="4.0999999999999996"/>
    <x v="2"/>
  </r>
  <r>
    <n v="57"/>
    <x v="1"/>
    <n v="1014816.16"/>
    <s v="C1871778702"/>
    <n v="1014816.16"/>
    <n v="0"/>
    <s v="C2092796486"/>
    <n v="1417511.04"/>
    <n v="2432327.2000000002"/>
    <n v="1"/>
    <n v="0"/>
    <n v="9"/>
    <n v="0"/>
    <n v="1"/>
    <n v="1014816.16"/>
    <n v="5"/>
    <n v="4"/>
    <n v="3.8000000000000003"/>
    <x v="2"/>
  </r>
  <r>
    <n v="58"/>
    <x v="0"/>
    <n v="246938.77"/>
    <s v="C1588962215"/>
    <n v="246938.77"/>
    <n v="0"/>
    <s v="C1667993735"/>
    <n v="0"/>
    <n v="0"/>
    <n v="1"/>
    <n v="0"/>
    <n v="10"/>
    <n v="0"/>
    <n v="1"/>
    <n v="246938.77"/>
    <n v="5"/>
    <n v="5"/>
    <n v="4.0999999999999996"/>
    <x v="2"/>
  </r>
  <r>
    <n v="58"/>
    <x v="1"/>
    <n v="246938.77"/>
    <s v="C1249676524"/>
    <n v="246938.77"/>
    <n v="0"/>
    <s v="C1822682019"/>
    <n v="0"/>
    <n v="246938.77"/>
    <n v="1"/>
    <n v="0"/>
    <n v="10"/>
    <n v="0"/>
    <n v="1"/>
    <n v="246938.77"/>
    <n v="5"/>
    <n v="4"/>
    <n v="3.8000000000000003"/>
    <x v="2"/>
  </r>
  <r>
    <n v="58"/>
    <x v="0"/>
    <n v="561948.38"/>
    <s v="C856217790"/>
    <n v="561948.38"/>
    <n v="0"/>
    <s v="C1278181974"/>
    <n v="0"/>
    <n v="0"/>
    <n v="1"/>
    <n v="0"/>
    <n v="10"/>
    <n v="0"/>
    <n v="1"/>
    <n v="561948.38"/>
    <n v="5"/>
    <n v="5"/>
    <n v="4.0999999999999996"/>
    <x v="2"/>
  </r>
  <r>
    <n v="58"/>
    <x v="1"/>
    <n v="561948.38"/>
    <s v="C1424142386"/>
    <n v="561948.38"/>
    <n v="0"/>
    <s v="C248271098"/>
    <n v="30911.97"/>
    <n v="592860.35"/>
    <n v="1"/>
    <n v="0"/>
    <n v="10"/>
    <n v="0"/>
    <n v="1"/>
    <n v="561948.38"/>
    <n v="5"/>
    <n v="4"/>
    <n v="3.8000000000000003"/>
    <x v="2"/>
  </r>
  <r>
    <n v="58"/>
    <x v="0"/>
    <n v="106673.26"/>
    <s v="C666474898"/>
    <n v="106673.26"/>
    <n v="0"/>
    <s v="C2119441360"/>
    <n v="0"/>
    <n v="0"/>
    <n v="1"/>
    <n v="0"/>
    <n v="10"/>
    <n v="0"/>
    <n v="1"/>
    <n v="106673.26"/>
    <n v="4"/>
    <n v="5"/>
    <n v="3.6"/>
    <x v="2"/>
  </r>
  <r>
    <n v="58"/>
    <x v="1"/>
    <n v="106673.26"/>
    <s v="C160197221"/>
    <n v="106673.26"/>
    <n v="0"/>
    <s v="C431559844"/>
    <n v="0"/>
    <n v="106673.26"/>
    <n v="1"/>
    <n v="0"/>
    <n v="10"/>
    <n v="0"/>
    <n v="1"/>
    <n v="106673.26"/>
    <n v="4"/>
    <n v="4"/>
    <n v="3.3000000000000003"/>
    <x v="2"/>
  </r>
  <r>
    <n v="58"/>
    <x v="0"/>
    <n v="6501303.1399999997"/>
    <s v="C2083819202"/>
    <n v="6501303.1399999997"/>
    <n v="0"/>
    <s v="C1581398768"/>
    <n v="0"/>
    <n v="0"/>
    <n v="1"/>
    <n v="0"/>
    <n v="10"/>
    <n v="0"/>
    <n v="1"/>
    <n v="6501303.1399999997"/>
    <n v="5"/>
    <n v="5"/>
    <n v="4.0999999999999996"/>
    <x v="2"/>
  </r>
  <r>
    <n v="58"/>
    <x v="1"/>
    <n v="6501303.1399999997"/>
    <s v="C1033290326"/>
    <n v="6501303.1399999997"/>
    <n v="0"/>
    <s v="C1721246847"/>
    <n v="4439499.5"/>
    <n v="10900000"/>
    <n v="1"/>
    <n v="0"/>
    <n v="10"/>
    <n v="0"/>
    <n v="1"/>
    <n v="6501303.1399999997"/>
    <n v="5"/>
    <n v="4"/>
    <n v="3.8000000000000003"/>
    <x v="2"/>
  </r>
  <r>
    <n v="58"/>
    <x v="0"/>
    <n v="3156421.43"/>
    <s v="C1609180237"/>
    <n v="3156421.43"/>
    <n v="0"/>
    <s v="C1443408255"/>
    <n v="0"/>
    <n v="0"/>
    <n v="1"/>
    <n v="0"/>
    <n v="10"/>
    <n v="0"/>
    <n v="1"/>
    <n v="3156421.43"/>
    <n v="5"/>
    <n v="5"/>
    <n v="4.0999999999999996"/>
    <x v="2"/>
  </r>
  <r>
    <n v="58"/>
    <x v="1"/>
    <n v="3156421.43"/>
    <s v="C597790533"/>
    <n v="3156421.43"/>
    <n v="0"/>
    <s v="C1365109989"/>
    <n v="181440.45"/>
    <n v="3337861.88"/>
    <n v="1"/>
    <n v="0"/>
    <n v="10"/>
    <n v="0"/>
    <n v="1"/>
    <n v="3156421.43"/>
    <n v="5"/>
    <n v="4"/>
    <n v="3.8000000000000003"/>
    <x v="2"/>
  </r>
  <r>
    <n v="58"/>
    <x v="0"/>
    <n v="1789155.73"/>
    <s v="C1979185568"/>
    <n v="1789155.73"/>
    <n v="0"/>
    <s v="C1873285106"/>
    <n v="0"/>
    <n v="0"/>
    <n v="1"/>
    <n v="0"/>
    <n v="10"/>
    <n v="0"/>
    <n v="1"/>
    <n v="1789155.73"/>
    <n v="5"/>
    <n v="5"/>
    <n v="4.0999999999999996"/>
    <x v="2"/>
  </r>
  <r>
    <n v="58"/>
    <x v="1"/>
    <n v="1789155.73"/>
    <s v="C853148295"/>
    <n v="1789155.73"/>
    <n v="0"/>
    <s v="C439525493"/>
    <n v="2031388.61"/>
    <n v="3820544.34"/>
    <n v="1"/>
    <n v="0"/>
    <n v="10"/>
    <n v="0"/>
    <n v="1"/>
    <n v="1789155.73"/>
    <n v="5"/>
    <n v="4"/>
    <n v="3.8000000000000003"/>
    <x v="2"/>
  </r>
  <r>
    <n v="58"/>
    <x v="0"/>
    <n v="456745.18"/>
    <s v="C1016889565"/>
    <n v="456745.18"/>
    <n v="0"/>
    <s v="C1924324818"/>
    <n v="0"/>
    <n v="0"/>
    <n v="1"/>
    <n v="0"/>
    <n v="10"/>
    <n v="0"/>
    <n v="1"/>
    <n v="456745.18"/>
    <n v="5"/>
    <n v="5"/>
    <n v="4.0999999999999996"/>
    <x v="2"/>
  </r>
  <r>
    <n v="58"/>
    <x v="1"/>
    <n v="456745.18"/>
    <s v="C325643180"/>
    <n v="456745.18"/>
    <n v="0"/>
    <s v="C1138806458"/>
    <n v="0"/>
    <n v="456745.18"/>
    <n v="1"/>
    <n v="0"/>
    <n v="10"/>
    <n v="0"/>
    <n v="1"/>
    <n v="456745.18"/>
    <n v="5"/>
    <n v="4"/>
    <n v="3.8000000000000003"/>
    <x v="2"/>
  </r>
  <r>
    <n v="58"/>
    <x v="0"/>
    <n v="7108914.2199999997"/>
    <s v="C1494760088"/>
    <n v="7108914.2199999997"/>
    <n v="0"/>
    <s v="C1835087777"/>
    <n v="0"/>
    <n v="0"/>
    <n v="1"/>
    <n v="0"/>
    <n v="10"/>
    <n v="0"/>
    <n v="1"/>
    <n v="7108914.2199999997"/>
    <n v="5"/>
    <n v="5"/>
    <n v="4.0999999999999996"/>
    <x v="2"/>
  </r>
  <r>
    <n v="58"/>
    <x v="1"/>
    <n v="7108914.2199999997"/>
    <s v="C993318150"/>
    <n v="7108914.2199999997"/>
    <n v="0"/>
    <s v="C73690456"/>
    <n v="0"/>
    <n v="7108914.2199999997"/>
    <n v="1"/>
    <n v="0"/>
    <n v="10"/>
    <n v="0"/>
    <n v="1"/>
    <n v="7108914.2199999997"/>
    <n v="5"/>
    <n v="4"/>
    <n v="3.8000000000000003"/>
    <x v="2"/>
  </r>
  <r>
    <n v="58"/>
    <x v="0"/>
    <n v="109525.67"/>
    <s v="C1677074645"/>
    <n v="109525.67"/>
    <n v="0"/>
    <s v="C408634115"/>
    <n v="0"/>
    <n v="0"/>
    <n v="1"/>
    <n v="0"/>
    <n v="10"/>
    <n v="0"/>
    <n v="1"/>
    <n v="109525.67"/>
    <n v="4"/>
    <n v="5"/>
    <n v="3.6"/>
    <x v="2"/>
  </r>
  <r>
    <n v="58"/>
    <x v="1"/>
    <n v="109525.67"/>
    <s v="C924291724"/>
    <n v="109525.67"/>
    <n v="0"/>
    <s v="C1035427073"/>
    <n v="3997342.61"/>
    <n v="4106868.28"/>
    <n v="1"/>
    <n v="0"/>
    <n v="10"/>
    <n v="0"/>
    <n v="1"/>
    <n v="109525.67"/>
    <n v="4"/>
    <n v="4"/>
    <n v="3.3000000000000003"/>
    <x v="2"/>
  </r>
  <r>
    <n v="58"/>
    <x v="0"/>
    <n v="378688.65"/>
    <s v="C801354252"/>
    <n v="378688.65"/>
    <n v="0"/>
    <s v="C388808912"/>
    <n v="0"/>
    <n v="0"/>
    <n v="1"/>
    <n v="0"/>
    <n v="10"/>
    <n v="0"/>
    <n v="1"/>
    <n v="378688.65"/>
    <n v="5"/>
    <n v="5"/>
    <n v="4.0999999999999996"/>
    <x v="2"/>
  </r>
  <r>
    <n v="58"/>
    <x v="1"/>
    <n v="378688.65"/>
    <s v="C851631639"/>
    <n v="378688.65"/>
    <n v="0"/>
    <s v="C1573752300"/>
    <n v="0"/>
    <n v="378688.65"/>
    <n v="1"/>
    <n v="0"/>
    <n v="10"/>
    <n v="0"/>
    <n v="1"/>
    <n v="378688.65"/>
    <n v="5"/>
    <n v="4"/>
    <n v="3.8000000000000003"/>
    <x v="2"/>
  </r>
  <r>
    <n v="59"/>
    <x v="0"/>
    <n v="394388.09"/>
    <s v="C1625333778"/>
    <n v="394388.09"/>
    <n v="0"/>
    <s v="C940087282"/>
    <n v="0"/>
    <n v="0"/>
    <n v="1"/>
    <n v="0"/>
    <n v="11"/>
    <n v="0"/>
    <n v="1"/>
    <n v="394388.09"/>
    <n v="5"/>
    <n v="5"/>
    <n v="4.0999999999999996"/>
    <x v="2"/>
  </r>
  <r>
    <n v="59"/>
    <x v="1"/>
    <n v="394388.09"/>
    <s v="C1802030448"/>
    <n v="394388.09"/>
    <n v="0"/>
    <s v="C707965723"/>
    <n v="1260564.49"/>
    <n v="1654952.58"/>
    <n v="1"/>
    <n v="0"/>
    <n v="11"/>
    <n v="0"/>
    <n v="1"/>
    <n v="394388.09"/>
    <n v="5"/>
    <n v="4"/>
    <n v="3.8000000000000003"/>
    <x v="2"/>
  </r>
  <r>
    <n v="59"/>
    <x v="0"/>
    <n v="3904257.51"/>
    <s v="C1648039979"/>
    <n v="3904257.51"/>
    <n v="0"/>
    <s v="C1502171587"/>
    <n v="0"/>
    <n v="0"/>
    <n v="1"/>
    <n v="0"/>
    <n v="11"/>
    <n v="0"/>
    <n v="1"/>
    <n v="3904257.51"/>
    <n v="5"/>
    <n v="5"/>
    <n v="4.0999999999999996"/>
    <x v="2"/>
  </r>
  <r>
    <n v="59"/>
    <x v="1"/>
    <n v="3904257.51"/>
    <s v="C280132554"/>
    <n v="3904257.51"/>
    <n v="0"/>
    <s v="C858291954"/>
    <n v="0"/>
    <n v="3904257.51"/>
    <n v="1"/>
    <n v="0"/>
    <n v="11"/>
    <n v="0"/>
    <n v="1"/>
    <n v="3904257.51"/>
    <n v="5"/>
    <n v="4"/>
    <n v="3.8000000000000003"/>
    <x v="2"/>
  </r>
  <r>
    <n v="59"/>
    <x v="0"/>
    <n v="3857176.83"/>
    <s v="C1675721447"/>
    <n v="3857176.83"/>
    <n v="0"/>
    <s v="C892636220"/>
    <n v="0"/>
    <n v="0"/>
    <n v="1"/>
    <n v="0"/>
    <n v="11"/>
    <n v="0"/>
    <n v="1"/>
    <n v="3857176.83"/>
    <n v="5"/>
    <n v="5"/>
    <n v="4.0999999999999996"/>
    <x v="2"/>
  </r>
  <r>
    <n v="59"/>
    <x v="1"/>
    <n v="3857176.83"/>
    <s v="C1585480308"/>
    <n v="3857176.83"/>
    <n v="0"/>
    <s v="C78663667"/>
    <n v="228541.62"/>
    <n v="4085718.45"/>
    <n v="1"/>
    <n v="0"/>
    <n v="11"/>
    <n v="0"/>
    <n v="1"/>
    <n v="3857176.83"/>
    <n v="5"/>
    <n v="4"/>
    <n v="3.8000000000000003"/>
    <x v="2"/>
  </r>
  <r>
    <n v="59"/>
    <x v="0"/>
    <n v="21174.45"/>
    <s v="C1690317775"/>
    <n v="21174.45"/>
    <n v="0"/>
    <s v="C1829927547"/>
    <n v="0"/>
    <n v="0"/>
    <n v="1"/>
    <n v="0"/>
    <n v="11"/>
    <n v="0"/>
    <n v="1"/>
    <n v="21174.45"/>
    <n v="2"/>
    <n v="5"/>
    <n v="2.6"/>
    <x v="0"/>
  </r>
  <r>
    <n v="59"/>
    <x v="1"/>
    <n v="21174.45"/>
    <s v="C1739548854"/>
    <n v="21174.45"/>
    <n v="0"/>
    <s v="C240278716"/>
    <n v="31409.08"/>
    <n v="52583.53"/>
    <n v="1"/>
    <n v="0"/>
    <n v="11"/>
    <n v="0"/>
    <n v="1"/>
    <n v="21174.45"/>
    <n v="2"/>
    <n v="4"/>
    <n v="2.3000000000000003"/>
    <x v="0"/>
  </r>
  <r>
    <n v="59"/>
    <x v="0"/>
    <n v="192765.49"/>
    <s v="C267452646"/>
    <n v="192765.49"/>
    <n v="0"/>
    <s v="C243306413"/>
    <n v="0"/>
    <n v="0"/>
    <n v="1"/>
    <n v="0"/>
    <n v="11"/>
    <n v="0"/>
    <n v="1"/>
    <n v="192765.49"/>
    <n v="4"/>
    <n v="5"/>
    <n v="3.6"/>
    <x v="2"/>
  </r>
  <r>
    <n v="59"/>
    <x v="1"/>
    <n v="192765.49"/>
    <s v="C1429774414"/>
    <n v="192765.49"/>
    <n v="0"/>
    <s v="C764672612"/>
    <n v="3252407.57"/>
    <n v="3445173.06"/>
    <n v="1"/>
    <n v="0"/>
    <n v="11"/>
    <n v="0"/>
    <n v="1"/>
    <n v="192765.49"/>
    <n v="4"/>
    <n v="4"/>
    <n v="3.3000000000000003"/>
    <x v="2"/>
  </r>
  <r>
    <n v="59"/>
    <x v="0"/>
    <n v="1011606.26"/>
    <s v="C813936493"/>
    <n v="1011606.26"/>
    <n v="0"/>
    <s v="C1382261132"/>
    <n v="0"/>
    <n v="0"/>
    <n v="1"/>
    <n v="0"/>
    <n v="11"/>
    <n v="0"/>
    <n v="1"/>
    <n v="1011606.26"/>
    <n v="5"/>
    <n v="5"/>
    <n v="4.0999999999999996"/>
    <x v="2"/>
  </r>
  <r>
    <n v="59"/>
    <x v="1"/>
    <n v="1011606.26"/>
    <s v="C754293523"/>
    <n v="1011606.26"/>
    <n v="0"/>
    <s v="C1247187194"/>
    <n v="0"/>
    <n v="1011606.26"/>
    <n v="1"/>
    <n v="0"/>
    <n v="11"/>
    <n v="0"/>
    <n v="1"/>
    <n v="1011606.26"/>
    <n v="5"/>
    <n v="4"/>
    <n v="3.8000000000000003"/>
    <x v="2"/>
  </r>
  <r>
    <n v="59"/>
    <x v="0"/>
    <n v="2050727.81"/>
    <s v="C721700955"/>
    <n v="2050727.81"/>
    <n v="0"/>
    <s v="C1996747267"/>
    <n v="0"/>
    <n v="0"/>
    <n v="1"/>
    <n v="0"/>
    <n v="11"/>
    <n v="0"/>
    <n v="1"/>
    <n v="2050727.81"/>
    <n v="5"/>
    <n v="5"/>
    <n v="4.0999999999999996"/>
    <x v="2"/>
  </r>
  <r>
    <n v="59"/>
    <x v="1"/>
    <n v="2050727.81"/>
    <s v="C992917413"/>
    <n v="2050727.81"/>
    <n v="0"/>
    <s v="C104038589"/>
    <n v="0"/>
    <n v="2050727.81"/>
    <n v="1"/>
    <n v="0"/>
    <n v="11"/>
    <n v="0"/>
    <n v="1"/>
    <n v="2050727.81"/>
    <n v="5"/>
    <n v="4"/>
    <n v="3.8000000000000003"/>
    <x v="2"/>
  </r>
  <r>
    <n v="59"/>
    <x v="0"/>
    <n v="9748.89"/>
    <s v="C385589098"/>
    <n v="9748.89"/>
    <n v="0"/>
    <s v="C1606057909"/>
    <n v="0"/>
    <n v="0"/>
    <n v="1"/>
    <n v="0"/>
    <n v="11"/>
    <n v="0"/>
    <n v="1"/>
    <n v="9748.89"/>
    <n v="1"/>
    <n v="5"/>
    <n v="2.1"/>
    <x v="0"/>
  </r>
  <r>
    <n v="59"/>
    <x v="1"/>
    <n v="9748.89"/>
    <s v="C383165349"/>
    <n v="9748.89"/>
    <n v="0"/>
    <s v="C868497487"/>
    <n v="180869.12"/>
    <n v="190618.01"/>
    <n v="1"/>
    <n v="0"/>
    <n v="11"/>
    <n v="0"/>
    <n v="1"/>
    <n v="9748.89"/>
    <n v="1"/>
    <n v="4"/>
    <n v="1.8"/>
    <x v="1"/>
  </r>
  <r>
    <n v="59"/>
    <x v="0"/>
    <n v="44733.5"/>
    <s v="C521758644"/>
    <n v="44733.5"/>
    <n v="0"/>
    <s v="C1703221504"/>
    <n v="0"/>
    <n v="0"/>
    <n v="1"/>
    <n v="0"/>
    <n v="11"/>
    <n v="0"/>
    <n v="1"/>
    <n v="44733.5"/>
    <n v="2"/>
    <n v="5"/>
    <n v="2.6"/>
    <x v="0"/>
  </r>
  <r>
    <n v="59"/>
    <x v="1"/>
    <n v="44733.5"/>
    <s v="C1363437677"/>
    <n v="44733.5"/>
    <n v="0"/>
    <s v="C1445811732"/>
    <n v="2534461.11"/>
    <n v="2579194.61"/>
    <n v="1"/>
    <n v="0"/>
    <n v="11"/>
    <n v="0"/>
    <n v="1"/>
    <n v="44733.5"/>
    <n v="2"/>
    <n v="4"/>
    <n v="2.3000000000000003"/>
    <x v="0"/>
  </r>
  <r>
    <n v="59"/>
    <x v="0"/>
    <n v="1367340.03"/>
    <s v="C453950944"/>
    <n v="1367340.03"/>
    <n v="0"/>
    <s v="C1875884022"/>
    <n v="0"/>
    <n v="0"/>
    <n v="1"/>
    <n v="0"/>
    <n v="11"/>
    <n v="0"/>
    <n v="1"/>
    <n v="1367340.03"/>
    <n v="5"/>
    <n v="5"/>
    <n v="4.0999999999999996"/>
    <x v="2"/>
  </r>
  <r>
    <n v="59"/>
    <x v="1"/>
    <n v="1367340.03"/>
    <s v="C954658479"/>
    <n v="1367340.03"/>
    <n v="0"/>
    <s v="C845870432"/>
    <n v="296833.59999999998"/>
    <n v="1664173.63"/>
    <n v="1"/>
    <n v="0"/>
    <n v="11"/>
    <n v="0"/>
    <n v="1"/>
    <n v="1367340.03"/>
    <n v="5"/>
    <n v="4"/>
    <n v="3.8000000000000003"/>
    <x v="2"/>
  </r>
  <r>
    <n v="60"/>
    <x v="0"/>
    <n v="1026208.84"/>
    <s v="C1813387968"/>
    <n v="1026208.84"/>
    <n v="0"/>
    <s v="C106857650"/>
    <n v="0"/>
    <n v="0"/>
    <n v="1"/>
    <n v="0"/>
    <n v="12"/>
    <n v="0"/>
    <n v="1"/>
    <n v="1026208.84"/>
    <n v="5"/>
    <n v="5"/>
    <n v="4.0999999999999996"/>
    <x v="2"/>
  </r>
  <r>
    <n v="60"/>
    <x v="1"/>
    <n v="1026208.84"/>
    <s v="C518197295"/>
    <n v="1026208.84"/>
    <n v="0"/>
    <s v="C1560262585"/>
    <n v="353447.51"/>
    <n v="1379656.35"/>
    <n v="1"/>
    <n v="0"/>
    <n v="12"/>
    <n v="0"/>
    <n v="1"/>
    <n v="1026208.84"/>
    <n v="5"/>
    <n v="4"/>
    <n v="3.8000000000000003"/>
    <x v="2"/>
  </r>
  <r>
    <n v="60"/>
    <x v="0"/>
    <n v="40486.25"/>
    <s v="C46706219"/>
    <n v="40486.25"/>
    <n v="0"/>
    <s v="C1894539182"/>
    <n v="0"/>
    <n v="0"/>
    <n v="1"/>
    <n v="0"/>
    <n v="12"/>
    <n v="0"/>
    <n v="1"/>
    <n v="40486.25"/>
    <n v="2"/>
    <n v="5"/>
    <n v="2.6"/>
    <x v="0"/>
  </r>
  <r>
    <n v="60"/>
    <x v="1"/>
    <n v="40486.25"/>
    <s v="C1413149184"/>
    <n v="40486.25"/>
    <n v="0"/>
    <s v="C713338583"/>
    <n v="4716889.9000000004"/>
    <n v="4757376.1500000004"/>
    <n v="1"/>
    <n v="0"/>
    <n v="12"/>
    <n v="0"/>
    <n v="1"/>
    <n v="40486.25"/>
    <n v="2"/>
    <n v="4"/>
    <n v="2.3000000000000003"/>
    <x v="0"/>
  </r>
  <r>
    <n v="60"/>
    <x v="0"/>
    <n v="89014.32"/>
    <s v="C1517105060"/>
    <n v="89014.32"/>
    <n v="0"/>
    <s v="C621322132"/>
    <n v="0"/>
    <n v="0"/>
    <n v="1"/>
    <n v="0"/>
    <n v="12"/>
    <n v="0"/>
    <n v="1"/>
    <n v="89014.32"/>
    <n v="3"/>
    <n v="5"/>
    <n v="3.1"/>
    <x v="2"/>
  </r>
  <r>
    <n v="60"/>
    <x v="1"/>
    <n v="89014.32"/>
    <s v="C2128547053"/>
    <n v="89014.32"/>
    <n v="0"/>
    <s v="C2076906949"/>
    <n v="330651.68"/>
    <n v="419666"/>
    <n v="1"/>
    <n v="0"/>
    <n v="12"/>
    <n v="0"/>
    <n v="1"/>
    <n v="89014.32"/>
    <n v="3"/>
    <n v="4"/>
    <n v="2.8000000000000003"/>
    <x v="0"/>
  </r>
  <r>
    <n v="60"/>
    <x v="0"/>
    <n v="45807.51"/>
    <s v="C958487787"/>
    <n v="45807.51"/>
    <n v="0"/>
    <s v="C218393296"/>
    <n v="0"/>
    <n v="0"/>
    <n v="1"/>
    <n v="0"/>
    <n v="12"/>
    <n v="0"/>
    <n v="1"/>
    <n v="45807.51"/>
    <n v="2"/>
    <n v="5"/>
    <n v="2.6"/>
    <x v="0"/>
  </r>
  <r>
    <n v="60"/>
    <x v="1"/>
    <n v="45807.51"/>
    <s v="C981996349"/>
    <n v="45807.51"/>
    <n v="0"/>
    <s v="C1099066639"/>
    <n v="267824.05"/>
    <n v="313631.56"/>
    <n v="1"/>
    <n v="0"/>
    <n v="12"/>
    <n v="0"/>
    <n v="1"/>
    <n v="45807.51"/>
    <n v="2"/>
    <n v="4"/>
    <n v="2.3000000000000003"/>
    <x v="0"/>
  </r>
  <r>
    <n v="60"/>
    <x v="0"/>
    <n v="742973.53"/>
    <s v="C153820103"/>
    <n v="742973.53"/>
    <n v="0"/>
    <s v="C1530694083"/>
    <n v="0"/>
    <n v="0"/>
    <n v="1"/>
    <n v="0"/>
    <n v="12"/>
    <n v="0"/>
    <n v="1"/>
    <n v="742973.53"/>
    <n v="5"/>
    <n v="5"/>
    <n v="4.0999999999999996"/>
    <x v="2"/>
  </r>
  <r>
    <n v="60"/>
    <x v="1"/>
    <n v="742973.53"/>
    <s v="C261473899"/>
    <n v="742973.53"/>
    <n v="0"/>
    <s v="C897961171"/>
    <n v="0"/>
    <n v="742973.53"/>
    <n v="1"/>
    <n v="0"/>
    <n v="12"/>
    <n v="0"/>
    <n v="1"/>
    <n v="742973.53"/>
    <n v="5"/>
    <n v="4"/>
    <n v="3.8000000000000003"/>
    <x v="2"/>
  </r>
  <r>
    <n v="60"/>
    <x v="0"/>
    <n v="581421.85"/>
    <s v="C1021314422"/>
    <n v="581421.85"/>
    <n v="0"/>
    <s v="C2062695733"/>
    <n v="0"/>
    <n v="0"/>
    <n v="1"/>
    <n v="0"/>
    <n v="12"/>
    <n v="0"/>
    <n v="1"/>
    <n v="581421.85"/>
    <n v="5"/>
    <n v="5"/>
    <n v="4.0999999999999996"/>
    <x v="2"/>
  </r>
  <r>
    <n v="60"/>
    <x v="1"/>
    <n v="581421.85"/>
    <s v="C1175189548"/>
    <n v="581421.85"/>
    <n v="0"/>
    <s v="C340833561"/>
    <n v="407848.96000000002"/>
    <n v="989270.81"/>
    <n v="1"/>
    <n v="0"/>
    <n v="12"/>
    <n v="0"/>
    <n v="1"/>
    <n v="581421.85"/>
    <n v="5"/>
    <n v="4"/>
    <n v="3.8000000000000003"/>
    <x v="2"/>
  </r>
  <r>
    <n v="61"/>
    <x v="0"/>
    <n v="475368.94"/>
    <s v="C397354505"/>
    <n v="475368.94"/>
    <n v="0"/>
    <s v="C320276503"/>
    <n v="0"/>
    <n v="0"/>
    <n v="1"/>
    <n v="0"/>
    <n v="13"/>
    <n v="0"/>
    <n v="1"/>
    <n v="475368.94"/>
    <n v="5"/>
    <n v="5"/>
    <n v="4.0999999999999996"/>
    <x v="2"/>
  </r>
  <r>
    <n v="61"/>
    <x v="1"/>
    <n v="475368.94"/>
    <s v="C916986889"/>
    <n v="475368.94"/>
    <n v="0"/>
    <s v="C1738798142"/>
    <n v="1348026.73"/>
    <n v="1823395.67"/>
    <n v="1"/>
    <n v="0"/>
    <n v="13"/>
    <n v="0"/>
    <n v="1"/>
    <n v="475368.94"/>
    <n v="5"/>
    <n v="4"/>
    <n v="3.8000000000000003"/>
    <x v="2"/>
  </r>
  <r>
    <n v="61"/>
    <x v="0"/>
    <n v="1735466.52"/>
    <s v="C182416415"/>
    <n v="1735466.52"/>
    <n v="0"/>
    <s v="C180492809"/>
    <n v="0"/>
    <n v="0"/>
    <n v="1"/>
    <n v="0"/>
    <n v="13"/>
    <n v="0"/>
    <n v="1"/>
    <n v="1735466.52"/>
    <n v="5"/>
    <n v="5"/>
    <n v="4.0999999999999996"/>
    <x v="2"/>
  </r>
  <r>
    <n v="61"/>
    <x v="1"/>
    <n v="1735466.52"/>
    <s v="C319563760"/>
    <n v="1735466.52"/>
    <n v="0"/>
    <s v="C2133088178"/>
    <n v="0"/>
    <n v="1735466.52"/>
    <n v="1"/>
    <n v="0"/>
    <n v="13"/>
    <n v="0"/>
    <n v="1"/>
    <n v="1735466.52"/>
    <n v="5"/>
    <n v="4"/>
    <n v="3.8000000000000003"/>
    <x v="2"/>
  </r>
  <r>
    <n v="61"/>
    <x v="0"/>
    <n v="37720.99"/>
    <s v="C2113787126"/>
    <n v="37720.99"/>
    <n v="0"/>
    <s v="C2003052554"/>
    <n v="0"/>
    <n v="0"/>
    <n v="1"/>
    <n v="0"/>
    <n v="13"/>
    <n v="0"/>
    <n v="1"/>
    <n v="37720.99"/>
    <n v="2"/>
    <n v="5"/>
    <n v="2.6"/>
    <x v="0"/>
  </r>
  <r>
    <n v="61"/>
    <x v="1"/>
    <n v="37720.99"/>
    <s v="C188991252"/>
    <n v="37720.99"/>
    <n v="0"/>
    <s v="C308006848"/>
    <n v="288804.07"/>
    <n v="326525.06"/>
    <n v="1"/>
    <n v="0"/>
    <n v="13"/>
    <n v="0"/>
    <n v="1"/>
    <n v="37720.99"/>
    <n v="2"/>
    <n v="4"/>
    <n v="2.3000000000000003"/>
    <x v="0"/>
  </r>
  <r>
    <n v="61"/>
    <x v="0"/>
    <n v="1372301.24"/>
    <s v="C1544506396"/>
    <n v="1372301.24"/>
    <n v="0"/>
    <s v="C2060264943"/>
    <n v="0"/>
    <n v="0"/>
    <n v="1"/>
    <n v="0"/>
    <n v="13"/>
    <n v="0"/>
    <n v="1"/>
    <n v="1372301.24"/>
    <n v="5"/>
    <n v="5"/>
    <n v="4.0999999999999996"/>
    <x v="2"/>
  </r>
  <r>
    <n v="61"/>
    <x v="1"/>
    <n v="1372301.24"/>
    <s v="C1024969195"/>
    <n v="1372301.24"/>
    <n v="0"/>
    <s v="C1809017437"/>
    <n v="0"/>
    <n v="1372301.24"/>
    <n v="1"/>
    <n v="0"/>
    <n v="13"/>
    <n v="0"/>
    <n v="1"/>
    <n v="1372301.24"/>
    <n v="5"/>
    <n v="4"/>
    <n v="3.8000000000000003"/>
    <x v="2"/>
  </r>
  <r>
    <n v="61"/>
    <x v="0"/>
    <n v="332138.32"/>
    <s v="C729983243"/>
    <n v="332138.32"/>
    <n v="0"/>
    <s v="C246124153"/>
    <n v="0"/>
    <n v="0"/>
    <n v="1"/>
    <n v="0"/>
    <n v="13"/>
    <n v="0"/>
    <n v="1"/>
    <n v="332138.32"/>
    <n v="5"/>
    <n v="5"/>
    <n v="4.0999999999999996"/>
    <x v="2"/>
  </r>
  <r>
    <n v="61"/>
    <x v="1"/>
    <n v="332138.32"/>
    <s v="C520847673"/>
    <n v="332138.32"/>
    <n v="0"/>
    <s v="C362089456"/>
    <n v="52021.34"/>
    <n v="384159.66"/>
    <n v="1"/>
    <n v="0"/>
    <n v="13"/>
    <n v="0"/>
    <n v="1"/>
    <n v="332138.32"/>
    <n v="5"/>
    <n v="4"/>
    <n v="3.8000000000000003"/>
    <x v="2"/>
  </r>
  <r>
    <n v="61"/>
    <x v="0"/>
    <n v="55062.46"/>
    <s v="C960647528"/>
    <n v="55062.46"/>
    <n v="0"/>
    <s v="C1203056408"/>
    <n v="0"/>
    <n v="0"/>
    <n v="1"/>
    <n v="0"/>
    <n v="13"/>
    <n v="0"/>
    <n v="1"/>
    <n v="55062.46"/>
    <n v="3"/>
    <n v="5"/>
    <n v="3.1"/>
    <x v="2"/>
  </r>
  <r>
    <n v="61"/>
    <x v="1"/>
    <n v="55062.46"/>
    <s v="C983142202"/>
    <n v="55062.46"/>
    <n v="0"/>
    <s v="C204026282"/>
    <n v="0"/>
    <n v="55062.46"/>
    <n v="1"/>
    <n v="0"/>
    <n v="13"/>
    <n v="0"/>
    <n v="1"/>
    <n v="55062.46"/>
    <n v="3"/>
    <n v="4"/>
    <n v="2.8000000000000003"/>
    <x v="0"/>
  </r>
  <r>
    <n v="61"/>
    <x v="0"/>
    <n v="1155128.9099999999"/>
    <s v="C74298259"/>
    <n v="1155128.9099999999"/>
    <n v="0"/>
    <s v="C1317404545"/>
    <n v="0"/>
    <n v="0"/>
    <n v="1"/>
    <n v="0"/>
    <n v="13"/>
    <n v="0"/>
    <n v="1"/>
    <n v="1155128.9099999999"/>
    <n v="5"/>
    <n v="5"/>
    <n v="4.0999999999999996"/>
    <x v="2"/>
  </r>
  <r>
    <n v="61"/>
    <x v="1"/>
    <n v="1155128.9099999999"/>
    <s v="C1202518126"/>
    <n v="1155128.9099999999"/>
    <n v="0"/>
    <s v="C1162744412"/>
    <n v="0"/>
    <n v="1155128.9099999999"/>
    <n v="1"/>
    <n v="0"/>
    <n v="13"/>
    <n v="0"/>
    <n v="1"/>
    <n v="1155128.9099999999"/>
    <n v="5"/>
    <n v="4"/>
    <n v="3.8000000000000003"/>
    <x v="2"/>
  </r>
  <r>
    <n v="62"/>
    <x v="0"/>
    <n v="401529.35"/>
    <s v="C330207825"/>
    <n v="401529.35"/>
    <n v="0"/>
    <s v="C1825454306"/>
    <n v="0"/>
    <n v="0"/>
    <n v="1"/>
    <n v="0"/>
    <n v="14"/>
    <n v="0"/>
    <n v="1"/>
    <n v="401529.35"/>
    <n v="5"/>
    <n v="5"/>
    <n v="4.0999999999999996"/>
    <x v="2"/>
  </r>
  <r>
    <n v="62"/>
    <x v="1"/>
    <n v="401529.35"/>
    <s v="C570967174"/>
    <n v="401529.35"/>
    <n v="0"/>
    <s v="C1845869240"/>
    <n v="4162.42"/>
    <n v="405691.77"/>
    <n v="1"/>
    <n v="0"/>
    <n v="14"/>
    <n v="0"/>
    <n v="1"/>
    <n v="401529.35"/>
    <n v="5"/>
    <n v="4"/>
    <n v="3.8000000000000003"/>
    <x v="2"/>
  </r>
  <r>
    <n v="62"/>
    <x v="0"/>
    <n v="722380.88"/>
    <s v="C1429215839"/>
    <n v="722380.88"/>
    <n v="0"/>
    <s v="C1401928307"/>
    <n v="0"/>
    <n v="0"/>
    <n v="1"/>
    <n v="0"/>
    <n v="14"/>
    <n v="0"/>
    <n v="1"/>
    <n v="722380.88"/>
    <n v="5"/>
    <n v="5"/>
    <n v="4.0999999999999996"/>
    <x v="2"/>
  </r>
  <r>
    <n v="62"/>
    <x v="1"/>
    <n v="722380.88"/>
    <s v="C207317063"/>
    <n v="722380.88"/>
    <n v="0"/>
    <s v="C1419788780"/>
    <n v="331969.08"/>
    <n v="1054349.95"/>
    <n v="1"/>
    <n v="0"/>
    <n v="14"/>
    <n v="0"/>
    <n v="1"/>
    <n v="722380.88"/>
    <n v="5"/>
    <n v="4"/>
    <n v="3.8000000000000003"/>
    <x v="2"/>
  </r>
  <r>
    <n v="62"/>
    <x v="0"/>
    <n v="724414.43"/>
    <s v="C1803571079"/>
    <n v="724414.43"/>
    <n v="0"/>
    <s v="C1642306592"/>
    <n v="0"/>
    <n v="0"/>
    <n v="1"/>
    <n v="0"/>
    <n v="14"/>
    <n v="0"/>
    <n v="1"/>
    <n v="724414.43"/>
    <n v="5"/>
    <n v="5"/>
    <n v="4.0999999999999996"/>
    <x v="2"/>
  </r>
  <r>
    <n v="62"/>
    <x v="1"/>
    <n v="724414.43"/>
    <s v="C189532677"/>
    <n v="724414.43"/>
    <n v="0"/>
    <s v="C741569434"/>
    <n v="223853.38"/>
    <n v="948267.81"/>
    <n v="1"/>
    <n v="0"/>
    <n v="14"/>
    <n v="0"/>
    <n v="1"/>
    <n v="724414.43"/>
    <n v="5"/>
    <n v="4"/>
    <n v="3.8000000000000003"/>
    <x v="2"/>
  </r>
  <r>
    <n v="62"/>
    <x v="0"/>
    <n v="407833.62"/>
    <s v="C1585122257"/>
    <n v="407833.62"/>
    <n v="0"/>
    <s v="C645113065"/>
    <n v="0"/>
    <n v="0"/>
    <n v="1"/>
    <n v="0"/>
    <n v="14"/>
    <n v="0"/>
    <n v="1"/>
    <n v="407833.62"/>
    <n v="5"/>
    <n v="5"/>
    <n v="4.0999999999999996"/>
    <x v="2"/>
  </r>
  <r>
    <n v="62"/>
    <x v="1"/>
    <n v="407833.62"/>
    <s v="C162879753"/>
    <n v="407833.62"/>
    <n v="0"/>
    <s v="C1818870755"/>
    <n v="0"/>
    <n v="407833.62"/>
    <n v="1"/>
    <n v="0"/>
    <n v="14"/>
    <n v="0"/>
    <n v="1"/>
    <n v="407833.62"/>
    <n v="5"/>
    <n v="4"/>
    <n v="3.8000000000000003"/>
    <x v="2"/>
  </r>
  <r>
    <n v="63"/>
    <x v="0"/>
    <n v="148188.84"/>
    <s v="C1621152719"/>
    <n v="148188.84"/>
    <n v="0"/>
    <s v="C2001263601"/>
    <n v="0"/>
    <n v="0"/>
    <n v="1"/>
    <n v="0"/>
    <n v="15"/>
    <n v="0"/>
    <n v="1"/>
    <n v="148188.84"/>
    <n v="4"/>
    <n v="5"/>
    <n v="3.6"/>
    <x v="2"/>
  </r>
  <r>
    <n v="63"/>
    <x v="1"/>
    <n v="148188.84"/>
    <s v="C198701564"/>
    <n v="148188.84"/>
    <n v="0"/>
    <s v="C492308077"/>
    <n v="194134.25"/>
    <n v="342323.08"/>
    <n v="1"/>
    <n v="0"/>
    <n v="15"/>
    <n v="0"/>
    <n v="1"/>
    <n v="148188.84"/>
    <n v="4"/>
    <n v="4"/>
    <n v="3.3000000000000003"/>
    <x v="2"/>
  </r>
  <r>
    <n v="63"/>
    <x v="0"/>
    <n v="1693962.01"/>
    <s v="C279016627"/>
    <n v="1693962.01"/>
    <n v="0"/>
    <s v="C234112724"/>
    <n v="0"/>
    <n v="0"/>
    <n v="1"/>
    <n v="0"/>
    <n v="15"/>
    <n v="0"/>
    <n v="1"/>
    <n v="1693962.01"/>
    <n v="5"/>
    <n v="5"/>
    <n v="4.0999999999999996"/>
    <x v="2"/>
  </r>
  <r>
    <n v="63"/>
    <x v="1"/>
    <n v="1693962.01"/>
    <s v="C1268276273"/>
    <n v="1693962.01"/>
    <n v="0"/>
    <s v="C959205237"/>
    <n v="98505.53"/>
    <n v="1792467.54"/>
    <n v="1"/>
    <n v="0"/>
    <n v="15"/>
    <n v="0"/>
    <n v="1"/>
    <n v="1693962.01"/>
    <n v="5"/>
    <n v="4"/>
    <n v="3.8000000000000003"/>
    <x v="2"/>
  </r>
  <r>
    <n v="63"/>
    <x v="0"/>
    <n v="14017.38"/>
    <s v="C156009552"/>
    <n v="14017.38"/>
    <n v="0"/>
    <s v="C2090793760"/>
    <n v="0"/>
    <n v="0"/>
    <n v="1"/>
    <n v="0"/>
    <n v="15"/>
    <n v="0"/>
    <n v="1"/>
    <n v="14017.38"/>
    <n v="2"/>
    <n v="5"/>
    <n v="2.6"/>
    <x v="0"/>
  </r>
  <r>
    <n v="63"/>
    <x v="1"/>
    <n v="14017.38"/>
    <s v="C1076609671"/>
    <n v="14017.38"/>
    <n v="0"/>
    <s v="C1903932056"/>
    <n v="0"/>
    <n v="14017.38"/>
    <n v="1"/>
    <n v="0"/>
    <n v="15"/>
    <n v="0"/>
    <n v="1"/>
    <n v="14017.38"/>
    <n v="2"/>
    <n v="4"/>
    <n v="2.3000000000000003"/>
    <x v="0"/>
  </r>
  <r>
    <n v="63"/>
    <x v="0"/>
    <n v="197226.65"/>
    <s v="C1538536157"/>
    <n v="197226.65"/>
    <n v="0"/>
    <s v="C1896614473"/>
    <n v="0"/>
    <n v="0"/>
    <n v="1"/>
    <n v="0"/>
    <n v="15"/>
    <n v="0"/>
    <n v="1"/>
    <n v="197226.65"/>
    <n v="4"/>
    <n v="5"/>
    <n v="3.6"/>
    <x v="2"/>
  </r>
  <r>
    <n v="63"/>
    <x v="1"/>
    <n v="197226.65"/>
    <s v="C1388614734"/>
    <n v="197226.65"/>
    <n v="0"/>
    <s v="C693288034"/>
    <n v="0"/>
    <n v="197226.65"/>
    <n v="1"/>
    <n v="0"/>
    <n v="15"/>
    <n v="0"/>
    <n v="1"/>
    <n v="197226.65"/>
    <n v="4"/>
    <n v="4"/>
    <n v="3.3000000000000003"/>
    <x v="2"/>
  </r>
  <r>
    <n v="64"/>
    <x v="0"/>
    <n v="31574.65"/>
    <s v="C1061680194"/>
    <n v="31574.65"/>
    <n v="0"/>
    <s v="C2009518683"/>
    <n v="0"/>
    <n v="0"/>
    <n v="1"/>
    <n v="0"/>
    <n v="16"/>
    <n v="0"/>
    <n v="1"/>
    <n v="31574.65"/>
    <n v="2"/>
    <n v="5"/>
    <n v="2.6"/>
    <x v="0"/>
  </r>
  <r>
    <n v="64"/>
    <x v="1"/>
    <n v="31574.65"/>
    <s v="C568731351"/>
    <n v="31574.65"/>
    <n v="0"/>
    <s v="C329030670"/>
    <n v="199385.83"/>
    <n v="230960.48"/>
    <n v="1"/>
    <n v="0"/>
    <n v="16"/>
    <n v="0"/>
    <n v="1"/>
    <n v="31574.65"/>
    <n v="2"/>
    <n v="4"/>
    <n v="2.3000000000000003"/>
    <x v="0"/>
  </r>
  <r>
    <n v="64"/>
    <x v="0"/>
    <n v="37796.75"/>
    <s v="C1530845932"/>
    <n v="37796.75"/>
    <n v="0"/>
    <s v="C2125159934"/>
    <n v="0"/>
    <n v="0"/>
    <n v="1"/>
    <n v="0"/>
    <n v="16"/>
    <n v="0"/>
    <n v="1"/>
    <n v="37796.75"/>
    <n v="2"/>
    <n v="5"/>
    <n v="2.6"/>
    <x v="0"/>
  </r>
  <r>
    <n v="64"/>
    <x v="1"/>
    <n v="37796.75"/>
    <s v="C758006561"/>
    <n v="37796.75"/>
    <n v="0"/>
    <s v="C2079728909"/>
    <n v="211905.39"/>
    <n v="249702.14"/>
    <n v="1"/>
    <n v="0"/>
    <n v="16"/>
    <n v="0"/>
    <n v="1"/>
    <n v="37796.75"/>
    <n v="2"/>
    <n v="4"/>
    <n v="2.3000000000000003"/>
    <x v="0"/>
  </r>
  <r>
    <n v="64"/>
    <x v="0"/>
    <n v="17051.689999999999"/>
    <s v="C759912226"/>
    <n v="17051.689999999999"/>
    <n v="0"/>
    <s v="C287309829"/>
    <n v="0"/>
    <n v="0"/>
    <n v="1"/>
    <n v="0"/>
    <n v="16"/>
    <n v="0"/>
    <n v="1"/>
    <n v="17051.689999999999"/>
    <n v="2"/>
    <n v="5"/>
    <n v="2.6"/>
    <x v="0"/>
  </r>
  <r>
    <n v="64"/>
    <x v="1"/>
    <n v="17051.689999999999"/>
    <s v="C1032527042"/>
    <n v="17051.689999999999"/>
    <n v="0"/>
    <s v="C317596259"/>
    <n v="289129.2"/>
    <n v="306180.89"/>
    <n v="1"/>
    <n v="0"/>
    <n v="16"/>
    <n v="0"/>
    <n v="1"/>
    <n v="17051.689999999999"/>
    <n v="2"/>
    <n v="4"/>
    <n v="2.3000000000000003"/>
    <x v="0"/>
  </r>
  <r>
    <n v="64"/>
    <x v="0"/>
    <n v="960306.85"/>
    <s v="C273631269"/>
    <n v="960306.85"/>
    <n v="0"/>
    <s v="C1035103148"/>
    <n v="0"/>
    <n v="0"/>
    <n v="1"/>
    <n v="0"/>
    <n v="16"/>
    <n v="0"/>
    <n v="1"/>
    <n v="960306.85"/>
    <n v="5"/>
    <n v="5"/>
    <n v="4.0999999999999996"/>
    <x v="2"/>
  </r>
  <r>
    <n v="64"/>
    <x v="1"/>
    <n v="960306.85"/>
    <s v="C1336358470"/>
    <n v="960306.85"/>
    <n v="0"/>
    <s v="C89588966"/>
    <n v="0"/>
    <n v="960306.85"/>
    <n v="1"/>
    <n v="0"/>
    <n v="16"/>
    <n v="0"/>
    <n v="1"/>
    <n v="960306.85"/>
    <n v="5"/>
    <n v="4"/>
    <n v="3.8000000000000003"/>
    <x v="2"/>
  </r>
  <r>
    <n v="64"/>
    <x v="0"/>
    <n v="3097121.75"/>
    <s v="C941791959"/>
    <n v="3097121.75"/>
    <n v="0"/>
    <s v="C1945517835"/>
    <n v="0"/>
    <n v="0"/>
    <n v="1"/>
    <n v="0"/>
    <n v="16"/>
    <n v="0"/>
    <n v="1"/>
    <n v="3097121.75"/>
    <n v="5"/>
    <n v="5"/>
    <n v="4.0999999999999996"/>
    <x v="2"/>
  </r>
  <r>
    <n v="64"/>
    <x v="1"/>
    <n v="3097121.75"/>
    <s v="C1563094045"/>
    <n v="3097121.75"/>
    <n v="0"/>
    <s v="C1677375515"/>
    <n v="0"/>
    <n v="3097121.75"/>
    <n v="1"/>
    <n v="0"/>
    <n v="16"/>
    <n v="0"/>
    <n v="1"/>
    <n v="3097121.75"/>
    <n v="5"/>
    <n v="4"/>
    <n v="3.8000000000000003"/>
    <x v="2"/>
  </r>
  <r>
    <n v="64"/>
    <x v="0"/>
    <n v="436317.49"/>
    <s v="C927898109"/>
    <n v="436317.49"/>
    <n v="0"/>
    <s v="C542075780"/>
    <n v="0"/>
    <n v="0"/>
    <n v="1"/>
    <n v="0"/>
    <n v="16"/>
    <n v="0"/>
    <n v="1"/>
    <n v="436317.49"/>
    <n v="5"/>
    <n v="5"/>
    <n v="4.0999999999999996"/>
    <x v="2"/>
  </r>
  <r>
    <n v="64"/>
    <x v="1"/>
    <n v="436317.49"/>
    <s v="C1101896788"/>
    <n v="436317.49"/>
    <n v="0"/>
    <s v="C641861955"/>
    <n v="195948.3"/>
    <n v="632265.79"/>
    <n v="1"/>
    <n v="0"/>
    <n v="16"/>
    <n v="0"/>
    <n v="1"/>
    <n v="436317.49"/>
    <n v="5"/>
    <n v="4"/>
    <n v="3.8000000000000003"/>
    <x v="2"/>
  </r>
  <r>
    <n v="64"/>
    <x v="0"/>
    <n v="104957.85"/>
    <s v="C1844789908"/>
    <n v="104957.85"/>
    <n v="0"/>
    <s v="C2049190094"/>
    <n v="0"/>
    <n v="0"/>
    <n v="1"/>
    <n v="0"/>
    <n v="16"/>
    <n v="0"/>
    <n v="1"/>
    <n v="104957.85"/>
    <n v="4"/>
    <n v="5"/>
    <n v="3.6"/>
    <x v="2"/>
  </r>
  <r>
    <n v="64"/>
    <x v="1"/>
    <n v="104957.85"/>
    <s v="C1731531059"/>
    <n v="104957.85"/>
    <n v="0"/>
    <s v="C621663353"/>
    <n v="29237.79"/>
    <n v="134195.64000000001"/>
    <n v="1"/>
    <n v="0"/>
    <n v="16"/>
    <n v="0"/>
    <n v="1"/>
    <n v="104957.85"/>
    <n v="4"/>
    <n v="4"/>
    <n v="3.3000000000000003"/>
    <x v="2"/>
  </r>
  <r>
    <n v="64"/>
    <x v="0"/>
    <n v="841052.98"/>
    <s v="C1837436553"/>
    <n v="841052.98"/>
    <n v="0"/>
    <s v="C611839321"/>
    <n v="0"/>
    <n v="0"/>
    <n v="1"/>
    <n v="0"/>
    <n v="16"/>
    <n v="0"/>
    <n v="1"/>
    <n v="841052.98"/>
    <n v="5"/>
    <n v="5"/>
    <n v="4.0999999999999996"/>
    <x v="2"/>
  </r>
  <r>
    <n v="64"/>
    <x v="1"/>
    <n v="841052.98"/>
    <s v="C1776675634"/>
    <n v="841052.98"/>
    <n v="0"/>
    <s v="C1757751807"/>
    <n v="0"/>
    <n v="841052.98"/>
    <n v="1"/>
    <n v="0"/>
    <n v="16"/>
    <n v="0"/>
    <n v="1"/>
    <n v="841052.98"/>
    <n v="5"/>
    <n v="4"/>
    <n v="3.8000000000000003"/>
    <x v="2"/>
  </r>
  <r>
    <n v="64"/>
    <x v="0"/>
    <n v="1814483.97"/>
    <s v="C1198248537"/>
    <n v="1814483.97"/>
    <n v="0"/>
    <s v="C29406343"/>
    <n v="0"/>
    <n v="0"/>
    <n v="1"/>
    <n v="0"/>
    <n v="16"/>
    <n v="0"/>
    <n v="1"/>
    <n v="1814483.97"/>
    <n v="5"/>
    <n v="5"/>
    <n v="4.0999999999999996"/>
    <x v="2"/>
  </r>
  <r>
    <n v="64"/>
    <x v="1"/>
    <n v="1814483.97"/>
    <s v="C1694539503"/>
    <n v="1814483.97"/>
    <n v="0"/>
    <s v="C1906797318"/>
    <n v="0"/>
    <n v="1814483.97"/>
    <n v="1"/>
    <n v="0"/>
    <n v="16"/>
    <n v="0"/>
    <n v="1"/>
    <n v="1814483.97"/>
    <n v="5"/>
    <n v="4"/>
    <n v="3.8000000000000003"/>
    <x v="2"/>
  </r>
  <r>
    <n v="65"/>
    <x v="0"/>
    <n v="701168.78"/>
    <s v="C1422133318"/>
    <n v="701168.78"/>
    <n v="0"/>
    <s v="C548676992"/>
    <n v="0"/>
    <n v="0"/>
    <n v="1"/>
    <n v="0"/>
    <n v="17"/>
    <n v="0"/>
    <n v="1"/>
    <n v="701168.78"/>
    <n v="5"/>
    <n v="5"/>
    <n v="4.0999999999999996"/>
    <x v="2"/>
  </r>
  <r>
    <n v="65"/>
    <x v="1"/>
    <n v="701168.78"/>
    <s v="C1795901064"/>
    <n v="701168.78"/>
    <n v="0"/>
    <s v="C1652576276"/>
    <n v="841462.58"/>
    <n v="1542631.35"/>
    <n v="1"/>
    <n v="0"/>
    <n v="17"/>
    <n v="0"/>
    <n v="1"/>
    <n v="701168.78"/>
    <n v="5"/>
    <n v="4"/>
    <n v="3.8000000000000003"/>
    <x v="2"/>
  </r>
  <r>
    <n v="65"/>
    <x v="0"/>
    <n v="446032.95"/>
    <s v="C1116093088"/>
    <n v="446032.95"/>
    <n v="0"/>
    <s v="C506992553"/>
    <n v="0"/>
    <n v="0"/>
    <n v="1"/>
    <n v="0"/>
    <n v="17"/>
    <n v="0"/>
    <n v="1"/>
    <n v="446032.95"/>
    <n v="5"/>
    <n v="5"/>
    <n v="4.0999999999999996"/>
    <x v="2"/>
  </r>
  <r>
    <n v="65"/>
    <x v="1"/>
    <n v="446032.95"/>
    <s v="C289101217"/>
    <n v="446032.95"/>
    <n v="0"/>
    <s v="C514505298"/>
    <n v="205977.41"/>
    <n v="652010.36"/>
    <n v="1"/>
    <n v="0"/>
    <n v="17"/>
    <n v="0"/>
    <n v="1"/>
    <n v="446032.95"/>
    <n v="5"/>
    <n v="4"/>
    <n v="3.8000000000000003"/>
    <x v="2"/>
  </r>
  <r>
    <n v="65"/>
    <x v="0"/>
    <n v="385556.82"/>
    <s v="C1699346936"/>
    <n v="385556.82"/>
    <n v="0"/>
    <s v="C27494611"/>
    <n v="0"/>
    <n v="0"/>
    <n v="1"/>
    <n v="0"/>
    <n v="17"/>
    <n v="0"/>
    <n v="1"/>
    <n v="385556.82"/>
    <n v="5"/>
    <n v="5"/>
    <n v="4.0999999999999996"/>
    <x v="2"/>
  </r>
  <r>
    <n v="65"/>
    <x v="1"/>
    <n v="385556.82"/>
    <s v="C1422380255"/>
    <n v="385556.82"/>
    <n v="0"/>
    <s v="C947026739"/>
    <n v="60032.11"/>
    <n v="445588.93"/>
    <n v="1"/>
    <n v="0"/>
    <n v="17"/>
    <n v="0"/>
    <n v="1"/>
    <n v="385556.82"/>
    <n v="5"/>
    <n v="4"/>
    <n v="3.8000000000000003"/>
    <x v="2"/>
  </r>
  <r>
    <n v="65"/>
    <x v="0"/>
    <n v="3760068.04"/>
    <s v="C661110749"/>
    <n v="3760068.04"/>
    <n v="0"/>
    <s v="C90361142"/>
    <n v="0"/>
    <n v="0"/>
    <n v="1"/>
    <n v="0"/>
    <n v="17"/>
    <n v="0"/>
    <n v="1"/>
    <n v="3760068.04"/>
    <n v="5"/>
    <n v="5"/>
    <n v="4.0999999999999996"/>
    <x v="2"/>
  </r>
  <r>
    <n v="65"/>
    <x v="1"/>
    <n v="3760068.04"/>
    <s v="C1824157901"/>
    <n v="3760068.04"/>
    <n v="0"/>
    <s v="C675598051"/>
    <n v="622555.65"/>
    <n v="4382623.6900000004"/>
    <n v="1"/>
    <n v="0"/>
    <n v="17"/>
    <n v="0"/>
    <n v="1"/>
    <n v="3760068.04"/>
    <n v="5"/>
    <n v="4"/>
    <n v="3.8000000000000003"/>
    <x v="2"/>
  </r>
  <r>
    <n v="65"/>
    <x v="0"/>
    <n v="1282971.57"/>
    <s v="C1175896731"/>
    <n v="1282971.57"/>
    <n v="0"/>
    <s v="C1714931087"/>
    <n v="0"/>
    <n v="0"/>
    <n v="1"/>
    <n v="0"/>
    <n v="17"/>
    <n v="0"/>
    <n v="1"/>
    <n v="1282971.57"/>
    <n v="5"/>
    <n v="5"/>
    <n v="4.0999999999999996"/>
    <x v="2"/>
  </r>
  <r>
    <n v="65"/>
    <x v="1"/>
    <n v="1282971.57"/>
    <s v="C744316850"/>
    <n v="1282971.57"/>
    <n v="0"/>
    <s v="C1365960800"/>
    <n v="392604.6"/>
    <n v="1675576.17"/>
    <n v="1"/>
    <n v="0"/>
    <n v="17"/>
    <n v="0"/>
    <n v="1"/>
    <n v="1282971.57"/>
    <n v="5"/>
    <n v="4"/>
    <n v="3.8000000000000003"/>
    <x v="2"/>
  </r>
  <r>
    <n v="65"/>
    <x v="0"/>
    <n v="881811.11"/>
    <s v="C920552627"/>
    <n v="881811.11"/>
    <n v="0"/>
    <s v="C1105243161"/>
    <n v="0"/>
    <n v="0"/>
    <n v="1"/>
    <n v="0"/>
    <n v="17"/>
    <n v="0"/>
    <n v="1"/>
    <n v="881811.11"/>
    <n v="5"/>
    <n v="5"/>
    <n v="4.0999999999999996"/>
    <x v="2"/>
  </r>
  <r>
    <n v="65"/>
    <x v="1"/>
    <n v="881811.11"/>
    <s v="C157136573"/>
    <n v="881811.11"/>
    <n v="0"/>
    <s v="C882992570"/>
    <n v="141736.75"/>
    <n v="1023547.85"/>
    <n v="1"/>
    <n v="0"/>
    <n v="17"/>
    <n v="0"/>
    <n v="1"/>
    <n v="881811.11"/>
    <n v="5"/>
    <n v="4"/>
    <n v="3.8000000000000003"/>
    <x v="2"/>
  </r>
  <r>
    <n v="65"/>
    <x v="0"/>
    <n v="174923.28"/>
    <s v="C2041556759"/>
    <n v="174923.28"/>
    <n v="0"/>
    <s v="C1497527382"/>
    <n v="0"/>
    <n v="0"/>
    <n v="1"/>
    <n v="0"/>
    <n v="17"/>
    <n v="0"/>
    <n v="1"/>
    <n v="174923.28"/>
    <n v="4"/>
    <n v="5"/>
    <n v="3.6"/>
    <x v="2"/>
  </r>
  <r>
    <n v="65"/>
    <x v="1"/>
    <n v="174923.28"/>
    <s v="C1061805919"/>
    <n v="174923.28"/>
    <n v="0"/>
    <s v="C1217320472"/>
    <n v="0"/>
    <n v="174923.28"/>
    <n v="1"/>
    <n v="0"/>
    <n v="17"/>
    <n v="0"/>
    <n v="1"/>
    <n v="174923.28"/>
    <n v="4"/>
    <n v="4"/>
    <n v="3.3000000000000003"/>
    <x v="2"/>
  </r>
  <r>
    <n v="65"/>
    <x v="0"/>
    <n v="403975.39"/>
    <s v="C2112892697"/>
    <n v="403975.39"/>
    <n v="0"/>
    <s v="C1785871119"/>
    <n v="0"/>
    <n v="0"/>
    <n v="1"/>
    <n v="0"/>
    <n v="17"/>
    <n v="0"/>
    <n v="1"/>
    <n v="403975.39"/>
    <n v="5"/>
    <n v="5"/>
    <n v="4.0999999999999996"/>
    <x v="2"/>
  </r>
  <r>
    <n v="65"/>
    <x v="1"/>
    <n v="403975.39"/>
    <s v="C435979844"/>
    <n v="403975.39"/>
    <n v="0"/>
    <s v="C29687546"/>
    <n v="0"/>
    <n v="403975.39"/>
    <n v="1"/>
    <n v="0"/>
    <n v="17"/>
    <n v="0"/>
    <n v="1"/>
    <n v="403975.39"/>
    <n v="5"/>
    <n v="4"/>
    <n v="3.8000000000000003"/>
    <x v="2"/>
  </r>
  <r>
    <n v="65"/>
    <x v="0"/>
    <n v="126690.14"/>
    <s v="C498025851"/>
    <n v="126690.14"/>
    <n v="0"/>
    <s v="C892311426"/>
    <n v="0"/>
    <n v="0"/>
    <n v="1"/>
    <n v="0"/>
    <n v="17"/>
    <n v="0"/>
    <n v="1"/>
    <n v="126690.14"/>
    <n v="4"/>
    <n v="5"/>
    <n v="3.6"/>
    <x v="2"/>
  </r>
  <r>
    <n v="65"/>
    <x v="1"/>
    <n v="126690.14"/>
    <s v="C1827521206"/>
    <n v="126690.14"/>
    <n v="0"/>
    <s v="C1015650621"/>
    <n v="353834.29"/>
    <n v="480524.43"/>
    <n v="1"/>
    <n v="0"/>
    <n v="17"/>
    <n v="0"/>
    <n v="1"/>
    <n v="126690.14"/>
    <n v="4"/>
    <n v="4"/>
    <n v="3.3000000000000003"/>
    <x v="2"/>
  </r>
  <r>
    <n v="65"/>
    <x v="0"/>
    <n v="215.83"/>
    <s v="C270115029"/>
    <n v="215.83"/>
    <n v="0"/>
    <s v="C1574358644"/>
    <n v="0"/>
    <n v="0"/>
    <n v="1"/>
    <n v="0"/>
    <n v="17"/>
    <n v="0"/>
    <n v="1"/>
    <n v="215.83"/>
    <n v="1"/>
    <n v="5"/>
    <n v="2.1"/>
    <x v="0"/>
  </r>
  <r>
    <n v="65"/>
    <x v="1"/>
    <n v="215.83"/>
    <s v="C1831520820"/>
    <n v="215.83"/>
    <n v="0"/>
    <s v="C331175512"/>
    <n v="3563442.24"/>
    <n v="3563658.07"/>
    <n v="1"/>
    <n v="0"/>
    <n v="17"/>
    <n v="0"/>
    <n v="1"/>
    <n v="215.83"/>
    <n v="1"/>
    <n v="4"/>
    <n v="1.8"/>
    <x v="1"/>
  </r>
  <r>
    <n v="66"/>
    <x v="0"/>
    <n v="548269.98"/>
    <s v="C172609143"/>
    <n v="548269.98"/>
    <n v="0"/>
    <s v="C106756368"/>
    <n v="0"/>
    <n v="0"/>
    <n v="1"/>
    <n v="0"/>
    <n v="18"/>
    <n v="0"/>
    <n v="1"/>
    <n v="548269.98"/>
    <n v="5"/>
    <n v="5"/>
    <n v="4.0999999999999996"/>
    <x v="2"/>
  </r>
  <r>
    <n v="66"/>
    <x v="1"/>
    <n v="548269.98"/>
    <s v="C145966586"/>
    <n v="548269.98"/>
    <n v="0"/>
    <s v="C979594589"/>
    <n v="0"/>
    <n v="548269.98"/>
    <n v="1"/>
    <n v="0"/>
    <n v="18"/>
    <n v="0"/>
    <n v="1"/>
    <n v="548269.98"/>
    <n v="5"/>
    <n v="4"/>
    <n v="3.8000000000000003"/>
    <x v="2"/>
  </r>
  <r>
    <n v="66"/>
    <x v="0"/>
    <n v="150405.20000000001"/>
    <s v="C1433490225"/>
    <n v="150405.20000000001"/>
    <n v="0"/>
    <s v="C1414864266"/>
    <n v="0"/>
    <n v="0"/>
    <n v="1"/>
    <n v="0"/>
    <n v="18"/>
    <n v="0"/>
    <n v="1"/>
    <n v="150405.20000000001"/>
    <n v="4"/>
    <n v="5"/>
    <n v="3.6"/>
    <x v="2"/>
  </r>
  <r>
    <n v="66"/>
    <x v="1"/>
    <n v="150405.20000000001"/>
    <s v="C1857116353"/>
    <n v="150405.20000000001"/>
    <n v="0"/>
    <s v="C690687822"/>
    <n v="170707.62"/>
    <n v="321112.82"/>
    <n v="1"/>
    <n v="0"/>
    <n v="18"/>
    <n v="0"/>
    <n v="1"/>
    <n v="150405.20000000001"/>
    <n v="4"/>
    <n v="4"/>
    <n v="3.3000000000000003"/>
    <x v="2"/>
  </r>
  <r>
    <n v="66"/>
    <x v="0"/>
    <n v="813133.35"/>
    <s v="C718215446"/>
    <n v="813133.35"/>
    <n v="0"/>
    <s v="C1200993280"/>
    <n v="0"/>
    <n v="0"/>
    <n v="1"/>
    <n v="0"/>
    <n v="18"/>
    <n v="0"/>
    <n v="1"/>
    <n v="813133.35"/>
    <n v="5"/>
    <n v="5"/>
    <n v="4.0999999999999996"/>
    <x v="2"/>
  </r>
  <r>
    <n v="66"/>
    <x v="1"/>
    <n v="813133.35"/>
    <s v="C952177952"/>
    <n v="813133.35"/>
    <n v="0"/>
    <s v="C884699340"/>
    <n v="0"/>
    <n v="813133.35"/>
    <n v="1"/>
    <n v="0"/>
    <n v="18"/>
    <n v="0"/>
    <n v="1"/>
    <n v="813133.35"/>
    <n v="5"/>
    <n v="4"/>
    <n v="3.8000000000000003"/>
    <x v="2"/>
  </r>
  <r>
    <n v="66"/>
    <x v="0"/>
    <n v="2096634.43"/>
    <s v="C1735799250"/>
    <n v="2096634.43"/>
    <n v="0"/>
    <s v="C106378482"/>
    <n v="0"/>
    <n v="0"/>
    <n v="1"/>
    <n v="0"/>
    <n v="18"/>
    <n v="0"/>
    <n v="1"/>
    <n v="2096634.43"/>
    <n v="5"/>
    <n v="5"/>
    <n v="4.0999999999999996"/>
    <x v="2"/>
  </r>
  <r>
    <n v="66"/>
    <x v="1"/>
    <n v="2096634.43"/>
    <s v="C65342125"/>
    <n v="2096634.43"/>
    <n v="0"/>
    <s v="C282355647"/>
    <n v="183429.98"/>
    <n v="2280064.41"/>
    <n v="1"/>
    <n v="0"/>
    <n v="18"/>
    <n v="0"/>
    <n v="1"/>
    <n v="2096634.43"/>
    <n v="5"/>
    <n v="4"/>
    <n v="3.8000000000000003"/>
    <x v="2"/>
  </r>
  <r>
    <n v="66"/>
    <x v="0"/>
    <n v="272791.44"/>
    <s v="C476640492"/>
    <n v="272791.44"/>
    <n v="0"/>
    <s v="C1370530926"/>
    <n v="0"/>
    <n v="0"/>
    <n v="1"/>
    <n v="0"/>
    <n v="18"/>
    <n v="0"/>
    <n v="1"/>
    <n v="272791.44"/>
    <n v="5"/>
    <n v="5"/>
    <n v="4.0999999999999996"/>
    <x v="2"/>
  </r>
  <r>
    <n v="66"/>
    <x v="1"/>
    <n v="272791.44"/>
    <s v="C1671353324"/>
    <n v="272791.44"/>
    <n v="0"/>
    <s v="C1524911570"/>
    <n v="715267.02"/>
    <n v="988058.46"/>
    <n v="1"/>
    <n v="0"/>
    <n v="18"/>
    <n v="0"/>
    <n v="1"/>
    <n v="272791.44"/>
    <n v="5"/>
    <n v="4"/>
    <n v="3.8000000000000003"/>
    <x v="2"/>
  </r>
  <r>
    <n v="66"/>
    <x v="0"/>
    <n v="7169129.9400000004"/>
    <s v="C1016521533"/>
    <n v="7169129.9400000004"/>
    <n v="0"/>
    <s v="C475877892"/>
    <n v="0"/>
    <n v="0"/>
    <n v="1"/>
    <n v="0"/>
    <n v="18"/>
    <n v="0"/>
    <n v="1"/>
    <n v="7169129.9400000004"/>
    <n v="5"/>
    <n v="5"/>
    <n v="4.0999999999999996"/>
    <x v="2"/>
  </r>
  <r>
    <n v="66"/>
    <x v="1"/>
    <n v="7169129.9400000004"/>
    <s v="C877157675"/>
    <n v="7169129.9400000004"/>
    <n v="0"/>
    <s v="C357180483"/>
    <n v="0"/>
    <n v="7169129.9400000004"/>
    <n v="1"/>
    <n v="0"/>
    <n v="18"/>
    <n v="0"/>
    <n v="1"/>
    <n v="7169129.9400000004"/>
    <n v="5"/>
    <n v="4"/>
    <n v="3.8000000000000003"/>
    <x v="2"/>
  </r>
  <r>
    <n v="66"/>
    <x v="0"/>
    <n v="107188.41"/>
    <s v="C1876689114"/>
    <n v="107188.41"/>
    <n v="0"/>
    <s v="C1824138036"/>
    <n v="0"/>
    <n v="0"/>
    <n v="1"/>
    <n v="0"/>
    <n v="18"/>
    <n v="0"/>
    <n v="1"/>
    <n v="107188.41"/>
    <n v="4"/>
    <n v="5"/>
    <n v="3.6"/>
    <x v="2"/>
  </r>
  <r>
    <n v="66"/>
    <x v="1"/>
    <n v="107188.41"/>
    <s v="C2059976574"/>
    <n v="107188.41"/>
    <n v="0"/>
    <s v="C1021456304"/>
    <n v="696135.43"/>
    <n v="803323.83"/>
    <n v="1"/>
    <n v="0"/>
    <n v="18"/>
    <n v="0"/>
    <n v="1"/>
    <n v="107188.41"/>
    <n v="4"/>
    <n v="4"/>
    <n v="3.3000000000000003"/>
    <x v="2"/>
  </r>
  <r>
    <n v="66"/>
    <x v="0"/>
    <n v="3444943.59"/>
    <s v="C1900819473"/>
    <n v="3444943.59"/>
    <n v="0"/>
    <s v="C526266879"/>
    <n v="0"/>
    <n v="0"/>
    <n v="1"/>
    <n v="0"/>
    <n v="18"/>
    <n v="0"/>
    <n v="1"/>
    <n v="3444943.59"/>
    <n v="5"/>
    <n v="5"/>
    <n v="4.0999999999999996"/>
    <x v="2"/>
  </r>
  <r>
    <n v="66"/>
    <x v="1"/>
    <n v="3444943.59"/>
    <s v="C127639062"/>
    <n v="3444943.59"/>
    <n v="0"/>
    <s v="C1426710143"/>
    <n v="217174.65"/>
    <n v="3662118.24"/>
    <n v="1"/>
    <n v="0"/>
    <n v="18"/>
    <n v="0"/>
    <n v="1"/>
    <n v="3444943.59"/>
    <n v="5"/>
    <n v="4"/>
    <n v="3.8000000000000003"/>
    <x v="2"/>
  </r>
  <r>
    <n v="66"/>
    <x v="0"/>
    <n v="126715.84"/>
    <s v="C147756271"/>
    <n v="126715.84"/>
    <n v="0"/>
    <s v="C650234869"/>
    <n v="0"/>
    <n v="0"/>
    <n v="1"/>
    <n v="0"/>
    <n v="18"/>
    <n v="0"/>
    <n v="1"/>
    <n v="126715.84"/>
    <n v="4"/>
    <n v="5"/>
    <n v="3.6"/>
    <x v="2"/>
  </r>
  <r>
    <n v="66"/>
    <x v="1"/>
    <n v="126715.84"/>
    <s v="C935524807"/>
    <n v="126715.84"/>
    <n v="0"/>
    <s v="C1309332634"/>
    <n v="273157.93"/>
    <n v="399873.77"/>
    <n v="1"/>
    <n v="0"/>
    <n v="18"/>
    <n v="0"/>
    <n v="1"/>
    <n v="126715.84"/>
    <n v="4"/>
    <n v="4"/>
    <n v="3.3000000000000003"/>
    <x v="2"/>
  </r>
  <r>
    <n v="66"/>
    <x v="0"/>
    <n v="4631432.03"/>
    <s v="C658423698"/>
    <n v="4631432.03"/>
    <n v="0"/>
    <s v="C329899379"/>
    <n v="0"/>
    <n v="0"/>
    <n v="1"/>
    <n v="0"/>
    <n v="18"/>
    <n v="0"/>
    <n v="1"/>
    <n v="4631432.03"/>
    <n v="5"/>
    <n v="5"/>
    <n v="4.0999999999999996"/>
    <x v="2"/>
  </r>
  <r>
    <n v="66"/>
    <x v="1"/>
    <n v="4631432.03"/>
    <s v="C2089741901"/>
    <n v="4631432.03"/>
    <n v="0"/>
    <s v="C434503423"/>
    <n v="122727.22"/>
    <n v="4754159.25"/>
    <n v="1"/>
    <n v="0"/>
    <n v="18"/>
    <n v="0"/>
    <n v="1"/>
    <n v="4631432.03"/>
    <n v="5"/>
    <n v="4"/>
    <n v="3.8000000000000003"/>
    <x v="2"/>
  </r>
  <r>
    <n v="66"/>
    <x v="0"/>
    <n v="2322909.69"/>
    <s v="C1795295"/>
    <n v="2322909.69"/>
    <n v="0"/>
    <s v="C658604431"/>
    <n v="0"/>
    <n v="0"/>
    <n v="1"/>
    <n v="0"/>
    <n v="18"/>
    <n v="0"/>
    <n v="1"/>
    <n v="2322909.69"/>
    <n v="5"/>
    <n v="5"/>
    <n v="4.0999999999999996"/>
    <x v="2"/>
  </r>
  <r>
    <n v="66"/>
    <x v="1"/>
    <n v="2322909.69"/>
    <s v="C548911578"/>
    <n v="2322909.69"/>
    <n v="0"/>
    <s v="C1075176822"/>
    <n v="875613.05"/>
    <n v="3198522.74"/>
    <n v="1"/>
    <n v="0"/>
    <n v="18"/>
    <n v="0"/>
    <n v="1"/>
    <n v="2322909.69"/>
    <n v="5"/>
    <n v="4"/>
    <n v="3.8000000000000003"/>
    <x v="2"/>
  </r>
  <r>
    <n v="66"/>
    <x v="0"/>
    <n v="79441.66"/>
    <s v="C1915179121"/>
    <n v="79441.66"/>
    <n v="0"/>
    <s v="C36534041"/>
    <n v="0"/>
    <n v="0"/>
    <n v="1"/>
    <n v="0"/>
    <n v="18"/>
    <n v="0"/>
    <n v="1"/>
    <n v="79441.66"/>
    <n v="3"/>
    <n v="5"/>
    <n v="3.1"/>
    <x v="2"/>
  </r>
  <r>
    <n v="66"/>
    <x v="1"/>
    <n v="79441.66"/>
    <s v="C2043684094"/>
    <n v="79441.66"/>
    <n v="0"/>
    <s v="C795372753"/>
    <n v="2051790.44"/>
    <n v="2131232.1"/>
    <n v="1"/>
    <n v="0"/>
    <n v="18"/>
    <n v="0"/>
    <n v="1"/>
    <n v="79441.66"/>
    <n v="3"/>
    <n v="4"/>
    <n v="2.8000000000000003"/>
    <x v="0"/>
  </r>
  <r>
    <n v="67"/>
    <x v="0"/>
    <n v="1028326.5"/>
    <s v="C582388359"/>
    <n v="1028326.5"/>
    <n v="0"/>
    <s v="C641615589"/>
    <n v="0"/>
    <n v="0"/>
    <n v="1"/>
    <n v="0"/>
    <n v="19"/>
    <n v="0"/>
    <n v="1"/>
    <n v="1028326.5"/>
    <n v="5"/>
    <n v="5"/>
    <n v="4.0999999999999996"/>
    <x v="2"/>
  </r>
  <r>
    <n v="67"/>
    <x v="1"/>
    <n v="1028326.5"/>
    <s v="C1062379106"/>
    <n v="1028326.5"/>
    <n v="0"/>
    <s v="C1316357800"/>
    <n v="0"/>
    <n v="1028326.5"/>
    <n v="1"/>
    <n v="0"/>
    <n v="19"/>
    <n v="0"/>
    <n v="1"/>
    <n v="1028326.5"/>
    <n v="5"/>
    <n v="4"/>
    <n v="3.8000000000000003"/>
    <x v="2"/>
  </r>
  <r>
    <n v="67"/>
    <x v="0"/>
    <n v="42513.08"/>
    <s v="C2009003297"/>
    <n v="42513.08"/>
    <n v="0"/>
    <s v="C1459842129"/>
    <n v="0"/>
    <n v="0"/>
    <n v="1"/>
    <n v="0"/>
    <n v="19"/>
    <n v="0"/>
    <n v="1"/>
    <n v="42513.08"/>
    <n v="2"/>
    <n v="5"/>
    <n v="2.6"/>
    <x v="0"/>
  </r>
  <r>
    <n v="67"/>
    <x v="1"/>
    <n v="42513.08"/>
    <s v="C263309564"/>
    <n v="42513.08"/>
    <n v="0"/>
    <s v="C1511183581"/>
    <n v="0"/>
    <n v="42513.08"/>
    <n v="1"/>
    <n v="0"/>
    <n v="19"/>
    <n v="0"/>
    <n v="1"/>
    <n v="42513.08"/>
    <n v="2"/>
    <n v="4"/>
    <n v="2.3000000000000003"/>
    <x v="0"/>
  </r>
  <r>
    <n v="67"/>
    <x v="0"/>
    <n v="106460.7"/>
    <s v="C432380223"/>
    <n v="106460.7"/>
    <n v="0"/>
    <s v="C1583623584"/>
    <n v="0"/>
    <n v="0"/>
    <n v="1"/>
    <n v="0"/>
    <n v="19"/>
    <n v="0"/>
    <n v="1"/>
    <n v="106460.7"/>
    <n v="4"/>
    <n v="5"/>
    <n v="3.6"/>
    <x v="2"/>
  </r>
  <r>
    <n v="67"/>
    <x v="1"/>
    <n v="106460.7"/>
    <s v="C844080619"/>
    <n v="106460.7"/>
    <n v="0"/>
    <s v="C597435768"/>
    <n v="1414263.15"/>
    <n v="1520723.84"/>
    <n v="1"/>
    <n v="0"/>
    <n v="19"/>
    <n v="0"/>
    <n v="1"/>
    <n v="106460.7"/>
    <n v="4"/>
    <n v="4"/>
    <n v="3.3000000000000003"/>
    <x v="2"/>
  </r>
  <r>
    <n v="68"/>
    <x v="0"/>
    <n v="915266.65"/>
    <s v="C1936471789"/>
    <n v="915266.65"/>
    <n v="0"/>
    <s v="C844650878"/>
    <n v="0"/>
    <n v="0"/>
    <n v="1"/>
    <n v="0"/>
    <n v="20"/>
    <n v="0"/>
    <n v="1"/>
    <n v="915266.65"/>
    <n v="5"/>
    <n v="5"/>
    <n v="4.0999999999999996"/>
    <x v="2"/>
  </r>
  <r>
    <n v="68"/>
    <x v="1"/>
    <n v="915266.65"/>
    <s v="C347823837"/>
    <n v="915266.65"/>
    <n v="0"/>
    <s v="C535285535"/>
    <n v="2415414.35"/>
    <n v="3330681"/>
    <n v="1"/>
    <n v="0"/>
    <n v="20"/>
    <n v="0"/>
    <n v="1"/>
    <n v="915266.65"/>
    <n v="5"/>
    <n v="4"/>
    <n v="3.8000000000000003"/>
    <x v="2"/>
  </r>
  <r>
    <n v="68"/>
    <x v="0"/>
    <n v="5800988.1200000001"/>
    <s v="C1770441952"/>
    <n v="5800988.1200000001"/>
    <n v="0"/>
    <s v="C1228502814"/>
    <n v="0"/>
    <n v="0"/>
    <n v="1"/>
    <n v="0"/>
    <n v="20"/>
    <n v="0"/>
    <n v="1"/>
    <n v="5800988.1200000001"/>
    <n v="5"/>
    <n v="5"/>
    <n v="4.0999999999999996"/>
    <x v="2"/>
  </r>
  <r>
    <n v="68"/>
    <x v="1"/>
    <n v="5800988.1200000001"/>
    <s v="C1232837961"/>
    <n v="5800988.1200000001"/>
    <n v="0"/>
    <s v="C1664538299"/>
    <n v="0"/>
    <n v="5800988.1200000001"/>
    <n v="1"/>
    <n v="0"/>
    <n v="20"/>
    <n v="0"/>
    <n v="1"/>
    <n v="5800988.1200000001"/>
    <n v="5"/>
    <n v="4"/>
    <n v="3.8000000000000003"/>
    <x v="2"/>
  </r>
  <r>
    <n v="68"/>
    <x v="0"/>
    <n v="1858515.57"/>
    <s v="C1530003925"/>
    <n v="1858515.57"/>
    <n v="0"/>
    <s v="C1195646619"/>
    <n v="0"/>
    <n v="0"/>
    <n v="1"/>
    <n v="0"/>
    <n v="20"/>
    <n v="0"/>
    <n v="1"/>
    <n v="1858515.57"/>
    <n v="5"/>
    <n v="5"/>
    <n v="4.0999999999999996"/>
    <x v="2"/>
  </r>
  <r>
    <n v="68"/>
    <x v="1"/>
    <n v="1858515.57"/>
    <s v="C355594712"/>
    <n v="1858515.57"/>
    <n v="0"/>
    <s v="C1163824069"/>
    <n v="887595.71"/>
    <n v="2746111.29"/>
    <n v="1"/>
    <n v="0"/>
    <n v="20"/>
    <n v="0"/>
    <n v="1"/>
    <n v="1858515.57"/>
    <n v="5"/>
    <n v="4"/>
    <n v="3.8000000000000003"/>
    <x v="2"/>
  </r>
  <r>
    <n v="68"/>
    <x v="0"/>
    <n v="3512572.72"/>
    <s v="C1585059557"/>
    <n v="3512572.72"/>
    <n v="0"/>
    <s v="C1250942546"/>
    <n v="0"/>
    <n v="0"/>
    <n v="1"/>
    <n v="0"/>
    <n v="20"/>
    <n v="0"/>
    <n v="1"/>
    <n v="3512572.72"/>
    <n v="5"/>
    <n v="5"/>
    <n v="4.0999999999999996"/>
    <x v="2"/>
  </r>
  <r>
    <n v="68"/>
    <x v="1"/>
    <n v="3512572.72"/>
    <s v="C451243683"/>
    <n v="3512572.72"/>
    <n v="0"/>
    <s v="C958253769"/>
    <n v="111846.62"/>
    <n v="3624419.34"/>
    <n v="1"/>
    <n v="0"/>
    <n v="20"/>
    <n v="0"/>
    <n v="1"/>
    <n v="3512572.72"/>
    <n v="5"/>
    <n v="4"/>
    <n v="3.8000000000000003"/>
    <x v="2"/>
  </r>
  <r>
    <n v="68"/>
    <x v="0"/>
    <n v="374178.28"/>
    <s v="C486342629"/>
    <n v="374178.28"/>
    <n v="0"/>
    <s v="C249139572"/>
    <n v="0"/>
    <n v="0"/>
    <n v="1"/>
    <n v="0"/>
    <n v="20"/>
    <n v="0"/>
    <n v="1"/>
    <n v="374178.28"/>
    <n v="5"/>
    <n v="5"/>
    <n v="4.0999999999999996"/>
    <x v="2"/>
  </r>
  <r>
    <n v="68"/>
    <x v="1"/>
    <n v="374178.28"/>
    <s v="C712970778"/>
    <n v="374178.28"/>
    <n v="0"/>
    <s v="C44247024"/>
    <n v="616364.56999999995"/>
    <n v="990542.85"/>
    <n v="1"/>
    <n v="0"/>
    <n v="20"/>
    <n v="0"/>
    <n v="1"/>
    <n v="374178.28"/>
    <n v="5"/>
    <n v="4"/>
    <n v="3.8000000000000003"/>
    <x v="2"/>
  </r>
  <r>
    <n v="68"/>
    <x v="0"/>
    <n v="2026529.56"/>
    <s v="C607970446"/>
    <n v="2026529.56"/>
    <n v="0"/>
    <s v="C1306842666"/>
    <n v="0"/>
    <n v="0"/>
    <n v="1"/>
    <n v="0"/>
    <n v="20"/>
    <n v="0"/>
    <n v="1"/>
    <n v="2026529.56"/>
    <n v="5"/>
    <n v="5"/>
    <n v="4.0999999999999996"/>
    <x v="2"/>
  </r>
  <r>
    <n v="68"/>
    <x v="1"/>
    <n v="2026529.56"/>
    <s v="C354227932"/>
    <n v="2026529.56"/>
    <n v="0"/>
    <s v="C467042735"/>
    <n v="511526.05"/>
    <n v="2538055.62"/>
    <n v="1"/>
    <n v="0"/>
    <n v="20"/>
    <n v="0"/>
    <n v="1"/>
    <n v="2026529.56"/>
    <n v="5"/>
    <n v="4"/>
    <n v="3.8000000000000003"/>
    <x v="2"/>
  </r>
  <r>
    <n v="68"/>
    <x v="0"/>
    <n v="13890.42"/>
    <s v="C1860550733"/>
    <n v="13890.42"/>
    <n v="0"/>
    <s v="C731457880"/>
    <n v="0"/>
    <n v="0"/>
    <n v="1"/>
    <n v="0"/>
    <n v="20"/>
    <n v="0"/>
    <n v="1"/>
    <n v="13890.42"/>
    <n v="2"/>
    <n v="5"/>
    <n v="2.6"/>
    <x v="0"/>
  </r>
  <r>
    <n v="68"/>
    <x v="1"/>
    <n v="13890.42"/>
    <s v="C1020850249"/>
    <n v="13890.42"/>
    <n v="0"/>
    <s v="C381876590"/>
    <n v="0"/>
    <n v="13890.42"/>
    <n v="1"/>
    <n v="0"/>
    <n v="20"/>
    <n v="0"/>
    <n v="1"/>
    <n v="13890.42"/>
    <n v="2"/>
    <n v="4"/>
    <n v="2.3000000000000003"/>
    <x v="0"/>
  </r>
  <r>
    <n v="68"/>
    <x v="0"/>
    <n v="281743.12"/>
    <s v="C2139323336"/>
    <n v="281743.12"/>
    <n v="0"/>
    <s v="C1787061281"/>
    <n v="0"/>
    <n v="0"/>
    <n v="1"/>
    <n v="0"/>
    <n v="20"/>
    <n v="0"/>
    <n v="1"/>
    <n v="281743.12"/>
    <n v="5"/>
    <n v="5"/>
    <n v="4.0999999999999996"/>
    <x v="2"/>
  </r>
  <r>
    <n v="68"/>
    <x v="1"/>
    <n v="281743.12"/>
    <s v="C47524114"/>
    <n v="281743.12"/>
    <n v="0"/>
    <s v="C645628840"/>
    <n v="158099.98000000001"/>
    <n v="439843.09"/>
    <n v="1"/>
    <n v="0"/>
    <n v="20"/>
    <n v="0"/>
    <n v="1"/>
    <n v="281743.12"/>
    <n v="5"/>
    <n v="4"/>
    <n v="3.8000000000000003"/>
    <x v="2"/>
  </r>
  <r>
    <n v="68"/>
    <x v="0"/>
    <n v="157494.6"/>
    <s v="C1123186349"/>
    <n v="157494.6"/>
    <n v="0"/>
    <s v="C1729475937"/>
    <n v="0"/>
    <n v="0"/>
    <n v="1"/>
    <n v="0"/>
    <n v="20"/>
    <n v="0"/>
    <n v="1"/>
    <n v="157494.6"/>
    <n v="4"/>
    <n v="5"/>
    <n v="3.6"/>
    <x v="2"/>
  </r>
  <r>
    <n v="68"/>
    <x v="1"/>
    <n v="157494.6"/>
    <s v="C961780738"/>
    <n v="157494.6"/>
    <n v="0"/>
    <s v="C1786351253"/>
    <n v="509029.31"/>
    <n v="666523.92000000004"/>
    <n v="1"/>
    <n v="0"/>
    <n v="20"/>
    <n v="0"/>
    <n v="1"/>
    <n v="157494.6"/>
    <n v="4"/>
    <n v="4"/>
    <n v="3.3000000000000003"/>
    <x v="2"/>
  </r>
  <r>
    <n v="69"/>
    <x v="0"/>
    <n v="19776.71"/>
    <s v="C1567288795"/>
    <n v="19776.71"/>
    <n v="0"/>
    <s v="C1978402788"/>
    <n v="0"/>
    <n v="0"/>
    <n v="1"/>
    <n v="0"/>
    <n v="21"/>
    <n v="0"/>
    <n v="1"/>
    <n v="19776.71"/>
    <n v="2"/>
    <n v="5"/>
    <n v="2.6"/>
    <x v="0"/>
  </r>
  <r>
    <n v="69"/>
    <x v="1"/>
    <n v="19776.71"/>
    <s v="C1994183389"/>
    <n v="19776.71"/>
    <n v="0"/>
    <s v="C366927459"/>
    <n v="1138941.53"/>
    <n v="1158718.24"/>
    <n v="1"/>
    <n v="0"/>
    <n v="21"/>
    <n v="0"/>
    <n v="1"/>
    <n v="19776.71"/>
    <n v="2"/>
    <n v="4"/>
    <n v="2.3000000000000003"/>
    <x v="0"/>
  </r>
  <r>
    <n v="69"/>
    <x v="0"/>
    <n v="271731.05"/>
    <s v="C659199413"/>
    <n v="271731.05"/>
    <n v="0"/>
    <s v="C1444079719"/>
    <n v="0"/>
    <n v="0"/>
    <n v="1"/>
    <n v="0"/>
    <n v="21"/>
    <n v="0"/>
    <n v="1"/>
    <n v="271731.05"/>
    <n v="5"/>
    <n v="5"/>
    <n v="4.0999999999999996"/>
    <x v="2"/>
  </r>
  <r>
    <n v="69"/>
    <x v="1"/>
    <n v="271731.05"/>
    <s v="C48017106"/>
    <n v="271731.05"/>
    <n v="0"/>
    <s v="C1750307657"/>
    <n v="0"/>
    <n v="271731.05"/>
    <n v="1"/>
    <n v="0"/>
    <n v="21"/>
    <n v="0"/>
    <n v="1"/>
    <n v="271731.05"/>
    <n v="5"/>
    <n v="4"/>
    <n v="3.8000000000000003"/>
    <x v="2"/>
  </r>
  <r>
    <n v="69"/>
    <x v="0"/>
    <n v="7728992.5599999996"/>
    <s v="C139632487"/>
    <n v="7728992.5599999996"/>
    <n v="0"/>
    <s v="C1966690861"/>
    <n v="0"/>
    <n v="0"/>
    <n v="1"/>
    <n v="0"/>
    <n v="21"/>
    <n v="0"/>
    <n v="1"/>
    <n v="7728992.5599999996"/>
    <n v="5"/>
    <n v="5"/>
    <n v="4.0999999999999996"/>
    <x v="2"/>
  </r>
  <r>
    <n v="69"/>
    <x v="1"/>
    <n v="7728992.5599999996"/>
    <s v="C403242634"/>
    <n v="7728992.5599999996"/>
    <n v="0"/>
    <s v="C61990291"/>
    <n v="340622.45"/>
    <n v="8069615"/>
    <n v="1"/>
    <n v="0"/>
    <n v="21"/>
    <n v="0"/>
    <n v="1"/>
    <n v="7728992.5599999996"/>
    <n v="5"/>
    <n v="4"/>
    <n v="3.8000000000000003"/>
    <x v="2"/>
  </r>
  <r>
    <n v="69"/>
    <x v="0"/>
    <n v="175328.85"/>
    <s v="C1805399811"/>
    <n v="175328.85"/>
    <n v="0"/>
    <s v="C1422711438"/>
    <n v="0"/>
    <n v="0"/>
    <n v="1"/>
    <n v="0"/>
    <n v="21"/>
    <n v="0"/>
    <n v="1"/>
    <n v="175328.85"/>
    <n v="4"/>
    <n v="5"/>
    <n v="3.6"/>
    <x v="2"/>
  </r>
  <r>
    <n v="69"/>
    <x v="1"/>
    <n v="175328.85"/>
    <s v="C215072412"/>
    <n v="175328.85"/>
    <n v="0"/>
    <s v="C386798101"/>
    <n v="110129.95"/>
    <n v="285458.8"/>
    <n v="1"/>
    <n v="0"/>
    <n v="21"/>
    <n v="0"/>
    <n v="1"/>
    <n v="175328.85"/>
    <n v="4"/>
    <n v="4"/>
    <n v="3.3000000000000003"/>
    <x v="2"/>
  </r>
  <r>
    <n v="69"/>
    <x v="0"/>
    <n v="353313.55"/>
    <s v="C275034566"/>
    <n v="353313.55"/>
    <n v="0"/>
    <s v="C782534893"/>
    <n v="0"/>
    <n v="0"/>
    <n v="1"/>
    <n v="0"/>
    <n v="21"/>
    <n v="0"/>
    <n v="1"/>
    <n v="353313.55"/>
    <n v="5"/>
    <n v="5"/>
    <n v="4.0999999999999996"/>
    <x v="2"/>
  </r>
  <r>
    <n v="69"/>
    <x v="1"/>
    <n v="353313.55"/>
    <s v="C1330110958"/>
    <n v="353313.55"/>
    <n v="0"/>
    <s v="C857281092"/>
    <n v="2808260.05"/>
    <n v="3161573.6"/>
    <n v="1"/>
    <n v="0"/>
    <n v="21"/>
    <n v="0"/>
    <n v="1"/>
    <n v="353313.55"/>
    <n v="5"/>
    <n v="4"/>
    <n v="3.8000000000000003"/>
    <x v="2"/>
  </r>
  <r>
    <n v="69"/>
    <x v="0"/>
    <n v="582571.87"/>
    <s v="C1164571434"/>
    <n v="582571.87"/>
    <n v="0"/>
    <s v="C895361185"/>
    <n v="0"/>
    <n v="0"/>
    <n v="1"/>
    <n v="0"/>
    <n v="21"/>
    <n v="0"/>
    <n v="1"/>
    <n v="582571.87"/>
    <n v="5"/>
    <n v="5"/>
    <n v="4.0999999999999996"/>
    <x v="2"/>
  </r>
  <r>
    <n v="69"/>
    <x v="1"/>
    <n v="582571.87"/>
    <s v="C1154322501"/>
    <n v="582571.87"/>
    <n v="0"/>
    <s v="C1687580441"/>
    <n v="0"/>
    <n v="582571.87"/>
    <n v="1"/>
    <n v="0"/>
    <n v="21"/>
    <n v="0"/>
    <n v="1"/>
    <n v="582571.87"/>
    <n v="5"/>
    <n v="4"/>
    <n v="3.8000000000000003"/>
    <x v="2"/>
  </r>
  <r>
    <n v="69"/>
    <x v="0"/>
    <n v="2960254.17"/>
    <s v="C833989982"/>
    <n v="2960254.17"/>
    <n v="0"/>
    <s v="C1897067419"/>
    <n v="0"/>
    <n v="0"/>
    <n v="1"/>
    <n v="0"/>
    <n v="21"/>
    <n v="0"/>
    <n v="1"/>
    <n v="2960254.17"/>
    <n v="5"/>
    <n v="5"/>
    <n v="4.0999999999999996"/>
    <x v="2"/>
  </r>
  <r>
    <n v="69"/>
    <x v="1"/>
    <n v="2960254.17"/>
    <s v="C262990065"/>
    <n v="2960254.17"/>
    <n v="0"/>
    <s v="C1242379975"/>
    <n v="620822.89"/>
    <n v="3581077.07"/>
    <n v="1"/>
    <n v="0"/>
    <n v="21"/>
    <n v="0"/>
    <n v="1"/>
    <n v="2960254.17"/>
    <n v="5"/>
    <n v="4"/>
    <n v="3.8000000000000003"/>
    <x v="2"/>
  </r>
  <r>
    <n v="69"/>
    <x v="0"/>
    <n v="5521483.54"/>
    <s v="C505397169"/>
    <n v="5521483.54"/>
    <n v="0"/>
    <s v="C599233021"/>
    <n v="0"/>
    <n v="0"/>
    <n v="1"/>
    <n v="0"/>
    <n v="21"/>
    <n v="0"/>
    <n v="1"/>
    <n v="5521483.54"/>
    <n v="5"/>
    <n v="5"/>
    <n v="4.0999999999999996"/>
    <x v="2"/>
  </r>
  <r>
    <n v="69"/>
    <x v="1"/>
    <n v="5521483.54"/>
    <s v="C1786386487"/>
    <n v="5521483.54"/>
    <n v="0"/>
    <s v="C1454031203"/>
    <n v="5527212.3399999999"/>
    <n v="11000000"/>
    <n v="1"/>
    <n v="0"/>
    <n v="21"/>
    <n v="0"/>
    <n v="1"/>
    <n v="5521483.54"/>
    <n v="5"/>
    <n v="4"/>
    <n v="3.8000000000000003"/>
    <x v="2"/>
  </r>
  <r>
    <n v="69"/>
    <x v="0"/>
    <n v="2147778.33"/>
    <s v="C1991870331"/>
    <n v="2147778.33"/>
    <n v="0"/>
    <s v="C501280303"/>
    <n v="0"/>
    <n v="0"/>
    <n v="1"/>
    <n v="0"/>
    <n v="21"/>
    <n v="0"/>
    <n v="1"/>
    <n v="2147778.33"/>
    <n v="5"/>
    <n v="5"/>
    <n v="4.0999999999999996"/>
    <x v="2"/>
  </r>
  <r>
    <n v="69"/>
    <x v="1"/>
    <n v="2147778.33"/>
    <s v="C515510845"/>
    <n v="2147778.33"/>
    <n v="0"/>
    <s v="C415699959"/>
    <n v="0"/>
    <n v="2147778.33"/>
    <n v="1"/>
    <n v="0"/>
    <n v="21"/>
    <n v="0"/>
    <n v="1"/>
    <n v="2147778.33"/>
    <n v="5"/>
    <n v="4"/>
    <n v="3.8000000000000003"/>
    <x v="2"/>
  </r>
  <r>
    <n v="69"/>
    <x v="0"/>
    <n v="967954.01"/>
    <s v="C2109457516"/>
    <n v="967954.01"/>
    <n v="0"/>
    <s v="C908864570"/>
    <n v="0"/>
    <n v="0"/>
    <n v="1"/>
    <n v="0"/>
    <n v="21"/>
    <n v="0"/>
    <n v="1"/>
    <n v="967954.01"/>
    <n v="5"/>
    <n v="5"/>
    <n v="4.0999999999999996"/>
    <x v="2"/>
  </r>
  <r>
    <n v="69"/>
    <x v="1"/>
    <n v="967954.01"/>
    <s v="C1195032652"/>
    <n v="967954.01"/>
    <n v="0"/>
    <s v="C1367255869"/>
    <n v="0"/>
    <n v="967954.01"/>
    <n v="1"/>
    <n v="0"/>
    <n v="21"/>
    <n v="0"/>
    <n v="1"/>
    <n v="967954.01"/>
    <n v="5"/>
    <n v="4"/>
    <n v="3.8000000000000003"/>
    <x v="2"/>
  </r>
  <r>
    <n v="70"/>
    <x v="0"/>
    <n v="266766.78000000003"/>
    <s v="C2105673103"/>
    <n v="266766.78000000003"/>
    <n v="0"/>
    <s v="C98079296"/>
    <n v="0"/>
    <n v="0"/>
    <n v="1"/>
    <n v="0"/>
    <n v="22"/>
    <n v="0"/>
    <n v="1"/>
    <n v="266766.78000000003"/>
    <n v="5"/>
    <n v="5"/>
    <n v="4.0999999999999996"/>
    <x v="2"/>
  </r>
  <r>
    <n v="70"/>
    <x v="1"/>
    <n v="266766.78000000003"/>
    <s v="C862440440"/>
    <n v="266766.78000000003"/>
    <n v="0"/>
    <s v="C167070759"/>
    <n v="0"/>
    <n v="266766.78000000003"/>
    <n v="1"/>
    <n v="0"/>
    <n v="22"/>
    <n v="0"/>
    <n v="1"/>
    <n v="266766.78000000003"/>
    <n v="5"/>
    <n v="4"/>
    <n v="3.8000000000000003"/>
    <x v="2"/>
  </r>
  <r>
    <n v="70"/>
    <x v="0"/>
    <n v="1036789.41"/>
    <s v="C282915164"/>
    <n v="1036789.41"/>
    <n v="0"/>
    <s v="C672400159"/>
    <n v="0"/>
    <n v="0"/>
    <n v="1"/>
    <n v="0"/>
    <n v="22"/>
    <n v="0"/>
    <n v="1"/>
    <n v="1036789.41"/>
    <n v="5"/>
    <n v="5"/>
    <n v="4.0999999999999996"/>
    <x v="2"/>
  </r>
  <r>
    <n v="70"/>
    <x v="1"/>
    <n v="1036789.41"/>
    <s v="C32861099"/>
    <n v="1036789.41"/>
    <n v="0"/>
    <s v="C1594778194"/>
    <n v="523315.63"/>
    <n v="1560105.04"/>
    <n v="1"/>
    <n v="0"/>
    <n v="22"/>
    <n v="0"/>
    <n v="1"/>
    <n v="1036789.41"/>
    <n v="5"/>
    <n v="4"/>
    <n v="3.8000000000000003"/>
    <x v="2"/>
  </r>
  <r>
    <n v="70"/>
    <x v="0"/>
    <n v="167067.78"/>
    <s v="C1823914087"/>
    <n v="167067.78"/>
    <n v="0"/>
    <s v="C1052777709"/>
    <n v="0"/>
    <n v="0"/>
    <n v="1"/>
    <n v="0"/>
    <n v="22"/>
    <n v="0"/>
    <n v="1"/>
    <n v="167067.78"/>
    <n v="4"/>
    <n v="5"/>
    <n v="3.6"/>
    <x v="2"/>
  </r>
  <r>
    <n v="70"/>
    <x v="1"/>
    <n v="167067.78"/>
    <s v="C1636013570"/>
    <n v="167067.78"/>
    <n v="0"/>
    <s v="C2066003164"/>
    <n v="169160.19"/>
    <n v="336227.97"/>
    <n v="1"/>
    <n v="0"/>
    <n v="22"/>
    <n v="0"/>
    <n v="1"/>
    <n v="167067.78"/>
    <n v="4"/>
    <n v="4"/>
    <n v="3.3000000000000003"/>
    <x v="2"/>
  </r>
  <r>
    <n v="71"/>
    <x v="0"/>
    <n v="322113.90999999997"/>
    <s v="C1765119291"/>
    <n v="322113.90999999997"/>
    <n v="0"/>
    <s v="C371379583"/>
    <n v="0"/>
    <n v="0"/>
    <n v="1"/>
    <n v="0"/>
    <n v="23"/>
    <n v="0"/>
    <n v="1"/>
    <n v="322113.90999999997"/>
    <n v="5"/>
    <n v="5"/>
    <n v="4.0999999999999996"/>
    <x v="2"/>
  </r>
  <r>
    <n v="71"/>
    <x v="1"/>
    <n v="322113.90999999997"/>
    <s v="C1982559118"/>
    <n v="322113.90999999997"/>
    <n v="0"/>
    <s v="C1018969803"/>
    <n v="0"/>
    <n v="322113.90999999997"/>
    <n v="1"/>
    <n v="0"/>
    <n v="23"/>
    <n v="0"/>
    <n v="1"/>
    <n v="322113.90999999997"/>
    <n v="5"/>
    <n v="4"/>
    <n v="3.8000000000000003"/>
    <x v="2"/>
  </r>
  <r>
    <n v="71"/>
    <x v="0"/>
    <n v="91691.75"/>
    <s v="C1715084286"/>
    <n v="91691.75"/>
    <n v="0"/>
    <s v="C415375205"/>
    <n v="0"/>
    <n v="0"/>
    <n v="1"/>
    <n v="0"/>
    <n v="23"/>
    <n v="0"/>
    <n v="1"/>
    <n v="91691.75"/>
    <n v="3"/>
    <n v="5"/>
    <n v="3.1"/>
    <x v="2"/>
  </r>
  <r>
    <n v="71"/>
    <x v="1"/>
    <n v="91691.75"/>
    <s v="C1841119507"/>
    <n v="91691.75"/>
    <n v="0"/>
    <s v="C1966998418"/>
    <n v="329117.96000000002"/>
    <n v="420809.71"/>
    <n v="1"/>
    <n v="0"/>
    <n v="23"/>
    <n v="0"/>
    <n v="1"/>
    <n v="91691.75"/>
    <n v="3"/>
    <n v="4"/>
    <n v="2.8000000000000003"/>
    <x v="0"/>
  </r>
  <r>
    <n v="71"/>
    <x v="0"/>
    <n v="1871553.73"/>
    <s v="C677678546"/>
    <n v="1871553.73"/>
    <n v="0"/>
    <s v="C646623849"/>
    <n v="0"/>
    <n v="0"/>
    <n v="1"/>
    <n v="0"/>
    <n v="23"/>
    <n v="0"/>
    <n v="1"/>
    <n v="1871553.73"/>
    <n v="5"/>
    <n v="5"/>
    <n v="4.0999999999999996"/>
    <x v="2"/>
  </r>
  <r>
    <n v="71"/>
    <x v="1"/>
    <n v="1871553.73"/>
    <s v="C92154963"/>
    <n v="1871553.73"/>
    <n v="0"/>
    <s v="C1037207091"/>
    <n v="0"/>
    <n v="1871553.73"/>
    <n v="1"/>
    <n v="0"/>
    <n v="23"/>
    <n v="0"/>
    <n v="1"/>
    <n v="1871553.73"/>
    <n v="5"/>
    <n v="4"/>
    <n v="3.8000000000000003"/>
    <x v="2"/>
  </r>
  <r>
    <n v="71"/>
    <x v="0"/>
    <n v="2949339.09"/>
    <s v="C866984681"/>
    <n v="2949339.09"/>
    <n v="0"/>
    <s v="C1857536723"/>
    <n v="0"/>
    <n v="0"/>
    <n v="1"/>
    <n v="0"/>
    <n v="23"/>
    <n v="0"/>
    <n v="1"/>
    <n v="2949339.09"/>
    <n v="5"/>
    <n v="5"/>
    <n v="4.0999999999999996"/>
    <x v="2"/>
  </r>
  <r>
    <n v="71"/>
    <x v="1"/>
    <n v="2949339.09"/>
    <s v="C874465366"/>
    <n v="2949339.09"/>
    <n v="0"/>
    <s v="C1545590429"/>
    <n v="167663.32"/>
    <n v="3117002.41"/>
    <n v="1"/>
    <n v="0"/>
    <n v="23"/>
    <n v="0"/>
    <n v="1"/>
    <n v="2949339.09"/>
    <n v="5"/>
    <n v="4"/>
    <n v="3.8000000000000003"/>
    <x v="2"/>
  </r>
  <r>
    <n v="71"/>
    <x v="0"/>
    <n v="479892.04"/>
    <s v="C949573914"/>
    <n v="479892.04"/>
    <n v="0"/>
    <s v="C346346824"/>
    <n v="0"/>
    <n v="0"/>
    <n v="1"/>
    <n v="0"/>
    <n v="23"/>
    <n v="0"/>
    <n v="1"/>
    <n v="479892.04"/>
    <n v="5"/>
    <n v="5"/>
    <n v="4.0999999999999996"/>
    <x v="2"/>
  </r>
  <r>
    <n v="71"/>
    <x v="1"/>
    <n v="479892.04"/>
    <s v="C1282533102"/>
    <n v="479892.04"/>
    <n v="0"/>
    <s v="C672637887"/>
    <n v="1600079.29"/>
    <n v="2079971.33"/>
    <n v="1"/>
    <n v="0"/>
    <n v="23"/>
    <n v="0"/>
    <n v="1"/>
    <n v="479892.04"/>
    <n v="5"/>
    <n v="4"/>
    <n v="3.8000000000000003"/>
    <x v="2"/>
  </r>
  <r>
    <n v="71"/>
    <x v="0"/>
    <n v="304085.48"/>
    <s v="C378617827"/>
    <n v="304085.48"/>
    <n v="0"/>
    <s v="C1265131322"/>
    <n v="0"/>
    <n v="0"/>
    <n v="1"/>
    <n v="0"/>
    <n v="23"/>
    <n v="0"/>
    <n v="1"/>
    <n v="304085.48"/>
    <n v="5"/>
    <n v="5"/>
    <n v="4.0999999999999996"/>
    <x v="2"/>
  </r>
  <r>
    <n v="71"/>
    <x v="1"/>
    <n v="304085.48"/>
    <s v="C1476565151"/>
    <n v="304085.48"/>
    <n v="0"/>
    <s v="C1637975724"/>
    <n v="152325.14000000001"/>
    <n v="456410.63"/>
    <n v="1"/>
    <n v="0"/>
    <n v="23"/>
    <n v="0"/>
    <n v="1"/>
    <n v="304085.48"/>
    <n v="5"/>
    <n v="4"/>
    <n v="3.8000000000000003"/>
    <x v="2"/>
  </r>
  <r>
    <n v="71"/>
    <x v="0"/>
    <n v="14385.54"/>
    <s v="C706829068"/>
    <n v="14385.54"/>
    <n v="0"/>
    <s v="C1684593692"/>
    <n v="0"/>
    <n v="0"/>
    <n v="1"/>
    <n v="0"/>
    <n v="23"/>
    <n v="0"/>
    <n v="1"/>
    <n v="14385.54"/>
    <n v="2"/>
    <n v="5"/>
    <n v="2.6"/>
    <x v="0"/>
  </r>
  <r>
    <n v="71"/>
    <x v="1"/>
    <n v="14385.54"/>
    <s v="C1772396080"/>
    <n v="14385.54"/>
    <n v="0"/>
    <s v="C257338994"/>
    <n v="28309.09"/>
    <n v="42694.63"/>
    <n v="1"/>
    <n v="0"/>
    <n v="23"/>
    <n v="0"/>
    <n v="1"/>
    <n v="14385.54"/>
    <n v="2"/>
    <n v="4"/>
    <n v="2.3000000000000003"/>
    <x v="0"/>
  </r>
  <r>
    <n v="71"/>
    <x v="0"/>
    <n v="62091.44"/>
    <s v="C1985338048"/>
    <n v="62091.44"/>
    <n v="0"/>
    <s v="C1366367431"/>
    <n v="0"/>
    <n v="0"/>
    <n v="1"/>
    <n v="0"/>
    <n v="23"/>
    <n v="0"/>
    <n v="1"/>
    <n v="62091.44"/>
    <n v="3"/>
    <n v="5"/>
    <n v="3.1"/>
    <x v="2"/>
  </r>
  <r>
    <n v="71"/>
    <x v="1"/>
    <n v="62091.44"/>
    <s v="C979329781"/>
    <n v="62091.44"/>
    <n v="0"/>
    <s v="C1938348365"/>
    <n v="6296058.9100000001"/>
    <n v="6358150.3499999996"/>
    <n v="1"/>
    <n v="0"/>
    <n v="23"/>
    <n v="0"/>
    <n v="1"/>
    <n v="62091.44"/>
    <n v="3"/>
    <n v="4"/>
    <n v="2.8000000000000003"/>
    <x v="0"/>
  </r>
  <r>
    <n v="71"/>
    <x v="0"/>
    <n v="386996.34"/>
    <s v="C436643721"/>
    <n v="386996.34"/>
    <n v="0"/>
    <s v="C295403005"/>
    <n v="0"/>
    <n v="0"/>
    <n v="1"/>
    <n v="0"/>
    <n v="23"/>
    <n v="0"/>
    <n v="1"/>
    <n v="386996.34"/>
    <n v="5"/>
    <n v="5"/>
    <n v="4.0999999999999996"/>
    <x v="2"/>
  </r>
  <r>
    <n v="71"/>
    <x v="1"/>
    <n v="386996.34"/>
    <s v="C1461649383"/>
    <n v="386996.34"/>
    <n v="0"/>
    <s v="C798055687"/>
    <n v="512943.11"/>
    <n v="899939.45"/>
    <n v="1"/>
    <n v="0"/>
    <n v="23"/>
    <n v="0"/>
    <n v="1"/>
    <n v="386996.34"/>
    <n v="5"/>
    <n v="4"/>
    <n v="3.8000000000000003"/>
    <x v="2"/>
  </r>
  <r>
    <n v="71"/>
    <x v="0"/>
    <n v="345526.4"/>
    <s v="C264616990"/>
    <n v="345526.4"/>
    <n v="0"/>
    <s v="C1955514169"/>
    <n v="0"/>
    <n v="0"/>
    <n v="1"/>
    <n v="0"/>
    <n v="23"/>
    <n v="0"/>
    <n v="1"/>
    <n v="345526.4"/>
    <n v="5"/>
    <n v="5"/>
    <n v="4.0999999999999996"/>
    <x v="2"/>
  </r>
  <r>
    <n v="71"/>
    <x v="1"/>
    <n v="345526.4"/>
    <s v="C1313615833"/>
    <n v="345526.4"/>
    <n v="0"/>
    <s v="C475338087"/>
    <n v="210291.99"/>
    <n v="555818.38"/>
    <n v="1"/>
    <n v="0"/>
    <n v="23"/>
    <n v="0"/>
    <n v="1"/>
    <n v="345526.4"/>
    <n v="5"/>
    <n v="4"/>
    <n v="3.8000000000000003"/>
    <x v="2"/>
  </r>
  <r>
    <n v="72"/>
    <x v="0"/>
    <n v="2947783.87"/>
    <s v="C1641673590"/>
    <n v="2947783.87"/>
    <n v="0"/>
    <s v="C227659861"/>
    <n v="0"/>
    <n v="0"/>
    <n v="1"/>
    <n v="0"/>
    <n v="0"/>
    <n v="0"/>
    <n v="1"/>
    <n v="2947783.87"/>
    <n v="5"/>
    <n v="5"/>
    <n v="4.0999999999999996"/>
    <x v="2"/>
  </r>
  <r>
    <n v="72"/>
    <x v="1"/>
    <n v="2947783.87"/>
    <s v="C1092143469"/>
    <n v="2947783.87"/>
    <n v="0"/>
    <s v="C528593406"/>
    <n v="353246.54"/>
    <n v="3301030.4"/>
    <n v="1"/>
    <n v="0"/>
    <n v="0"/>
    <n v="0"/>
    <n v="1"/>
    <n v="2947783.87"/>
    <n v="5"/>
    <n v="4"/>
    <n v="3.8000000000000003"/>
    <x v="2"/>
  </r>
  <r>
    <n v="72"/>
    <x v="0"/>
    <n v="730574.39"/>
    <s v="C1671411740"/>
    <n v="730574.39"/>
    <n v="0"/>
    <s v="C2033875224"/>
    <n v="0"/>
    <n v="0"/>
    <n v="1"/>
    <n v="0"/>
    <n v="0"/>
    <n v="0"/>
    <n v="1"/>
    <n v="730574.39"/>
    <n v="5"/>
    <n v="5"/>
    <n v="4.0999999999999996"/>
    <x v="2"/>
  </r>
  <r>
    <n v="72"/>
    <x v="1"/>
    <n v="730574.39"/>
    <s v="C1283613009"/>
    <n v="730574.39"/>
    <n v="0"/>
    <s v="C1291527211"/>
    <n v="183897.18"/>
    <n v="914471.57"/>
    <n v="1"/>
    <n v="0"/>
    <n v="0"/>
    <n v="0"/>
    <n v="1"/>
    <n v="730574.39"/>
    <n v="5"/>
    <n v="4"/>
    <n v="3.8000000000000003"/>
    <x v="2"/>
  </r>
  <r>
    <n v="72"/>
    <x v="0"/>
    <n v="3786438.03"/>
    <s v="C1659791860"/>
    <n v="3786438.03"/>
    <n v="0"/>
    <s v="C199886377"/>
    <n v="0"/>
    <n v="0"/>
    <n v="1"/>
    <n v="0"/>
    <n v="0"/>
    <n v="0"/>
    <n v="1"/>
    <n v="3786438.03"/>
    <n v="5"/>
    <n v="5"/>
    <n v="4.0999999999999996"/>
    <x v="2"/>
  </r>
  <r>
    <n v="72"/>
    <x v="1"/>
    <n v="3786438.03"/>
    <s v="C1706727269"/>
    <n v="3786438.03"/>
    <n v="0"/>
    <s v="C98727471"/>
    <n v="84013.26"/>
    <n v="3870451.29"/>
    <n v="1"/>
    <n v="0"/>
    <n v="0"/>
    <n v="0"/>
    <n v="1"/>
    <n v="3786438.03"/>
    <n v="5"/>
    <n v="4"/>
    <n v="3.8000000000000003"/>
    <x v="2"/>
  </r>
  <r>
    <n v="72"/>
    <x v="0"/>
    <n v="622235.31999999995"/>
    <s v="C2071698582"/>
    <n v="622235.31999999995"/>
    <n v="0"/>
    <s v="C1036746993"/>
    <n v="0"/>
    <n v="0"/>
    <n v="1"/>
    <n v="0"/>
    <n v="0"/>
    <n v="0"/>
    <n v="1"/>
    <n v="622235.31999999995"/>
    <n v="5"/>
    <n v="5"/>
    <n v="4.0999999999999996"/>
    <x v="2"/>
  </r>
  <r>
    <n v="72"/>
    <x v="1"/>
    <n v="622235.31999999995"/>
    <s v="C615309889"/>
    <n v="622235.31999999995"/>
    <n v="0"/>
    <s v="C755984599"/>
    <n v="3377968.96"/>
    <n v="4000204.28"/>
    <n v="1"/>
    <n v="0"/>
    <n v="0"/>
    <n v="0"/>
    <n v="1"/>
    <n v="622235.31999999995"/>
    <n v="5"/>
    <n v="4"/>
    <n v="3.8000000000000003"/>
    <x v="2"/>
  </r>
  <r>
    <n v="72"/>
    <x v="0"/>
    <n v="3243092.91"/>
    <s v="C891068137"/>
    <n v="3243092.91"/>
    <n v="0"/>
    <s v="C177386089"/>
    <n v="0"/>
    <n v="0"/>
    <n v="1"/>
    <n v="0"/>
    <n v="0"/>
    <n v="0"/>
    <n v="1"/>
    <n v="3243092.91"/>
    <n v="5"/>
    <n v="5"/>
    <n v="4.0999999999999996"/>
    <x v="2"/>
  </r>
  <r>
    <n v="72"/>
    <x v="1"/>
    <n v="3243092.91"/>
    <s v="C78395024"/>
    <n v="3243092.91"/>
    <n v="0"/>
    <s v="C1981613973"/>
    <n v="1299786.5900000001"/>
    <n v="4542879.5"/>
    <n v="1"/>
    <n v="0"/>
    <n v="0"/>
    <n v="0"/>
    <n v="1"/>
    <n v="3243092.91"/>
    <n v="5"/>
    <n v="4"/>
    <n v="3.8000000000000003"/>
    <x v="2"/>
  </r>
  <r>
    <n v="72"/>
    <x v="0"/>
    <n v="10000000"/>
    <s v="C53057884"/>
    <n v="18600000"/>
    <n v="8594065.0899999999"/>
    <s v="C588547519"/>
    <n v="0"/>
    <n v="0"/>
    <n v="1"/>
    <n v="0"/>
    <n v="0"/>
    <n v="1"/>
    <n v="0"/>
    <n v="10005934.91"/>
    <n v="5"/>
    <n v="5"/>
    <n v="4.0999999999999996"/>
    <x v="2"/>
  </r>
  <r>
    <n v="72"/>
    <x v="1"/>
    <n v="10000000"/>
    <s v="C1438388258"/>
    <n v="10000000"/>
    <n v="0"/>
    <s v="C1089455271"/>
    <n v="81810.42"/>
    <n v="10100000"/>
    <n v="1"/>
    <n v="0"/>
    <n v="0"/>
    <n v="1"/>
    <n v="1"/>
    <n v="10000000"/>
    <n v="5"/>
    <n v="4"/>
    <n v="3.9000000000000004"/>
    <x v="2"/>
  </r>
  <r>
    <n v="72"/>
    <x v="0"/>
    <n v="8594065.0899999999"/>
    <s v="C1801750044"/>
    <n v="8594065.0899999999"/>
    <n v="0"/>
    <s v="C1420708952"/>
    <n v="0"/>
    <n v="0"/>
    <n v="1"/>
    <n v="0"/>
    <n v="0"/>
    <n v="0"/>
    <n v="1"/>
    <n v="8594065.0899999999"/>
    <n v="5"/>
    <n v="5"/>
    <n v="4.0999999999999996"/>
    <x v="2"/>
  </r>
  <r>
    <n v="72"/>
    <x v="1"/>
    <n v="8594065.0899999999"/>
    <s v="C1456711816"/>
    <n v="8594065.0899999999"/>
    <n v="0"/>
    <s v="C1231373551"/>
    <n v="5844.51"/>
    <n v="8599909.5999999996"/>
    <n v="1"/>
    <n v="0"/>
    <n v="0"/>
    <n v="0"/>
    <n v="1"/>
    <n v="8594065.0899999999"/>
    <n v="5"/>
    <n v="4"/>
    <n v="3.8000000000000003"/>
    <x v="2"/>
  </r>
  <r>
    <n v="73"/>
    <x v="0"/>
    <n v="12619.29"/>
    <s v="C427763831"/>
    <n v="12619.29"/>
    <n v="0"/>
    <s v="C1394804033"/>
    <n v="0"/>
    <n v="0"/>
    <n v="1"/>
    <n v="0"/>
    <n v="1"/>
    <n v="0"/>
    <n v="1"/>
    <n v="12619.29"/>
    <n v="2"/>
    <n v="5"/>
    <n v="2.6"/>
    <x v="0"/>
  </r>
  <r>
    <n v="73"/>
    <x v="1"/>
    <n v="12619.29"/>
    <s v="C754386554"/>
    <n v="12619.29"/>
    <n v="0"/>
    <s v="C1470379039"/>
    <n v="204470.03"/>
    <n v="217089.31"/>
    <n v="1"/>
    <n v="0"/>
    <n v="1"/>
    <n v="0"/>
    <n v="1"/>
    <n v="12619.29"/>
    <n v="2"/>
    <n v="4"/>
    <n v="2.3000000000000003"/>
    <x v="0"/>
  </r>
  <r>
    <n v="73"/>
    <x v="0"/>
    <n v="193663.9"/>
    <s v="C1668034974"/>
    <n v="193663.9"/>
    <n v="0"/>
    <s v="C1048930255"/>
    <n v="0"/>
    <n v="0"/>
    <n v="1"/>
    <n v="0"/>
    <n v="1"/>
    <n v="0"/>
    <n v="1"/>
    <n v="193663.9"/>
    <n v="4"/>
    <n v="5"/>
    <n v="3.6"/>
    <x v="2"/>
  </r>
  <r>
    <n v="73"/>
    <x v="1"/>
    <n v="193663.9"/>
    <s v="C682644115"/>
    <n v="193663.9"/>
    <n v="0"/>
    <s v="C242591003"/>
    <n v="0"/>
    <n v="193663.9"/>
    <n v="1"/>
    <n v="0"/>
    <n v="1"/>
    <n v="0"/>
    <n v="1"/>
    <n v="193663.9"/>
    <n v="4"/>
    <n v="4"/>
    <n v="3.3000000000000003"/>
    <x v="2"/>
  </r>
  <r>
    <n v="73"/>
    <x v="0"/>
    <n v="684796.16"/>
    <s v="C1223486306"/>
    <n v="684796.16"/>
    <n v="0"/>
    <s v="C964592362"/>
    <n v="0"/>
    <n v="0"/>
    <n v="1"/>
    <n v="0"/>
    <n v="1"/>
    <n v="0"/>
    <n v="1"/>
    <n v="684796.16"/>
    <n v="5"/>
    <n v="5"/>
    <n v="4.0999999999999996"/>
    <x v="2"/>
  </r>
  <r>
    <n v="73"/>
    <x v="1"/>
    <n v="684796.16"/>
    <s v="C1555882195"/>
    <n v="684796.16"/>
    <n v="0"/>
    <s v="C644163395"/>
    <n v="2754453.54"/>
    <n v="3439249.7"/>
    <n v="1"/>
    <n v="0"/>
    <n v="1"/>
    <n v="0"/>
    <n v="1"/>
    <n v="684796.16"/>
    <n v="5"/>
    <n v="4"/>
    <n v="3.8000000000000003"/>
    <x v="2"/>
  </r>
  <r>
    <n v="73"/>
    <x v="0"/>
    <n v="400157.86"/>
    <s v="C1591659035"/>
    <n v="400157.86"/>
    <n v="0"/>
    <s v="C1490141777"/>
    <n v="0"/>
    <n v="0"/>
    <n v="1"/>
    <n v="0"/>
    <n v="1"/>
    <n v="0"/>
    <n v="1"/>
    <n v="400157.86"/>
    <n v="5"/>
    <n v="5"/>
    <n v="4.0999999999999996"/>
    <x v="2"/>
  </r>
  <r>
    <n v="73"/>
    <x v="1"/>
    <n v="400157.86"/>
    <s v="C1959804825"/>
    <n v="400157.86"/>
    <n v="0"/>
    <s v="C1005460442"/>
    <n v="0"/>
    <n v="400157.86"/>
    <n v="1"/>
    <n v="0"/>
    <n v="1"/>
    <n v="0"/>
    <n v="1"/>
    <n v="400157.86"/>
    <n v="5"/>
    <n v="4"/>
    <n v="3.8000000000000003"/>
    <x v="2"/>
  </r>
  <r>
    <n v="74"/>
    <x v="0"/>
    <n v="4375931.29"/>
    <s v="C775816840"/>
    <n v="4375931.29"/>
    <n v="0"/>
    <s v="C1539861914"/>
    <n v="0"/>
    <n v="0"/>
    <n v="1"/>
    <n v="0"/>
    <n v="2"/>
    <n v="0"/>
    <n v="1"/>
    <n v="4375931.29"/>
    <n v="5"/>
    <n v="5"/>
    <n v="4.0999999999999996"/>
    <x v="2"/>
  </r>
  <r>
    <n v="74"/>
    <x v="1"/>
    <n v="4375931.29"/>
    <s v="C367894534"/>
    <n v="4375931.29"/>
    <n v="0"/>
    <s v="C397644656"/>
    <n v="68494.86"/>
    <n v="4444426.16"/>
    <n v="1"/>
    <n v="0"/>
    <n v="2"/>
    <n v="0"/>
    <n v="1"/>
    <n v="4375931.29"/>
    <n v="5"/>
    <n v="4"/>
    <n v="3.8000000000000003"/>
    <x v="2"/>
  </r>
  <r>
    <n v="74"/>
    <x v="0"/>
    <n v="74177.919999999998"/>
    <s v="C1294027751"/>
    <n v="74177.919999999998"/>
    <n v="0"/>
    <s v="C1027008059"/>
    <n v="0"/>
    <n v="0"/>
    <n v="1"/>
    <n v="0"/>
    <n v="2"/>
    <n v="0"/>
    <n v="1"/>
    <n v="74177.919999999998"/>
    <n v="3"/>
    <n v="5"/>
    <n v="3.1"/>
    <x v="2"/>
  </r>
  <r>
    <n v="74"/>
    <x v="1"/>
    <n v="74177.919999999998"/>
    <s v="C146952243"/>
    <n v="74177.919999999998"/>
    <n v="0"/>
    <s v="C570435842"/>
    <n v="79018.509999999995"/>
    <n v="153196.43"/>
    <n v="1"/>
    <n v="0"/>
    <n v="2"/>
    <n v="0"/>
    <n v="1"/>
    <n v="74177.919999999998"/>
    <n v="3"/>
    <n v="4"/>
    <n v="2.8000000000000003"/>
    <x v="0"/>
  </r>
  <r>
    <n v="74"/>
    <x v="0"/>
    <n v="59127.34"/>
    <s v="C1444290021"/>
    <n v="59127.34"/>
    <n v="0"/>
    <s v="C959470338"/>
    <n v="0"/>
    <n v="0"/>
    <n v="1"/>
    <n v="0"/>
    <n v="2"/>
    <n v="0"/>
    <n v="1"/>
    <n v="59127.34"/>
    <n v="3"/>
    <n v="5"/>
    <n v="3.1"/>
    <x v="2"/>
  </r>
  <r>
    <n v="74"/>
    <x v="1"/>
    <n v="59127.34"/>
    <s v="C780368561"/>
    <n v="59127.34"/>
    <n v="0"/>
    <s v="C1227289239"/>
    <n v="17207.02"/>
    <n v="76334.36"/>
    <n v="1"/>
    <n v="0"/>
    <n v="2"/>
    <n v="0"/>
    <n v="1"/>
    <n v="59127.34"/>
    <n v="3"/>
    <n v="4"/>
    <n v="2.8000000000000003"/>
    <x v="0"/>
  </r>
  <r>
    <n v="74"/>
    <x v="0"/>
    <n v="2451423.58"/>
    <s v="C554032564"/>
    <n v="2451423.58"/>
    <n v="0"/>
    <s v="C1773822709"/>
    <n v="0"/>
    <n v="0"/>
    <n v="1"/>
    <n v="0"/>
    <n v="2"/>
    <n v="0"/>
    <n v="1"/>
    <n v="2451423.58"/>
    <n v="5"/>
    <n v="5"/>
    <n v="4.0999999999999996"/>
    <x v="2"/>
  </r>
  <r>
    <n v="74"/>
    <x v="1"/>
    <n v="2451423.58"/>
    <s v="C1267904754"/>
    <n v="2451423.58"/>
    <n v="0"/>
    <s v="C858620596"/>
    <n v="4870.6499999999996"/>
    <n v="2456294.2200000002"/>
    <n v="1"/>
    <n v="0"/>
    <n v="2"/>
    <n v="0"/>
    <n v="1"/>
    <n v="2451423.58"/>
    <n v="5"/>
    <n v="4"/>
    <n v="3.8000000000000003"/>
    <x v="2"/>
  </r>
  <r>
    <n v="74"/>
    <x v="0"/>
    <n v="59813.61"/>
    <s v="C1934910898"/>
    <n v="59813.61"/>
    <n v="0"/>
    <s v="C547328121"/>
    <n v="0"/>
    <n v="0"/>
    <n v="1"/>
    <n v="0"/>
    <n v="2"/>
    <n v="0"/>
    <n v="1"/>
    <n v="59813.61"/>
    <n v="3"/>
    <n v="5"/>
    <n v="3.1"/>
    <x v="2"/>
  </r>
  <r>
    <n v="74"/>
    <x v="1"/>
    <n v="59813.61"/>
    <s v="C1784961866"/>
    <n v="59813.61"/>
    <n v="0"/>
    <s v="C1245192492"/>
    <n v="0"/>
    <n v="59813.61"/>
    <n v="1"/>
    <n v="0"/>
    <n v="2"/>
    <n v="0"/>
    <n v="1"/>
    <n v="59813.61"/>
    <n v="3"/>
    <n v="4"/>
    <n v="2.8000000000000003"/>
    <x v="0"/>
  </r>
  <r>
    <n v="74"/>
    <x v="0"/>
    <n v="158489.29"/>
    <s v="C1694745551"/>
    <n v="158489.29"/>
    <n v="0"/>
    <s v="C43669214"/>
    <n v="0"/>
    <n v="0"/>
    <n v="1"/>
    <n v="0"/>
    <n v="2"/>
    <n v="0"/>
    <n v="1"/>
    <n v="158489.29"/>
    <n v="4"/>
    <n v="5"/>
    <n v="3.6"/>
    <x v="2"/>
  </r>
  <r>
    <n v="74"/>
    <x v="1"/>
    <n v="158489.29"/>
    <s v="C1003023037"/>
    <n v="158489.29"/>
    <n v="0"/>
    <s v="C1969565765"/>
    <n v="0"/>
    <n v="158489.29"/>
    <n v="1"/>
    <n v="0"/>
    <n v="2"/>
    <n v="0"/>
    <n v="1"/>
    <n v="158489.29"/>
    <n v="4"/>
    <n v="4"/>
    <n v="3.3000000000000003"/>
    <x v="2"/>
  </r>
  <r>
    <n v="74"/>
    <x v="0"/>
    <n v="85637.08"/>
    <s v="C1809932675"/>
    <n v="85637.08"/>
    <n v="0"/>
    <s v="C1098977292"/>
    <n v="0"/>
    <n v="0"/>
    <n v="1"/>
    <n v="0"/>
    <n v="2"/>
    <n v="0"/>
    <n v="1"/>
    <n v="85637.08"/>
    <n v="3"/>
    <n v="5"/>
    <n v="3.1"/>
    <x v="2"/>
  </r>
  <r>
    <n v="74"/>
    <x v="1"/>
    <n v="85637.08"/>
    <s v="C588765630"/>
    <n v="85637.08"/>
    <n v="0"/>
    <s v="C766485430"/>
    <n v="235137.06"/>
    <n v="320774.13"/>
    <n v="1"/>
    <n v="0"/>
    <n v="2"/>
    <n v="0"/>
    <n v="1"/>
    <n v="85637.08"/>
    <n v="3"/>
    <n v="4"/>
    <n v="2.8000000000000003"/>
    <x v="0"/>
  </r>
  <r>
    <n v="74"/>
    <x v="0"/>
    <n v="1311150.8999999999"/>
    <s v="C1492220840"/>
    <n v="1311150.8999999999"/>
    <n v="0"/>
    <s v="C839360691"/>
    <n v="0"/>
    <n v="0"/>
    <n v="1"/>
    <n v="0"/>
    <n v="2"/>
    <n v="0"/>
    <n v="1"/>
    <n v="1311150.8999999999"/>
    <n v="5"/>
    <n v="5"/>
    <n v="4.0999999999999996"/>
    <x v="2"/>
  </r>
  <r>
    <n v="74"/>
    <x v="1"/>
    <n v="1311150.8999999999"/>
    <s v="C605093641"/>
    <n v="1311150.8999999999"/>
    <n v="0"/>
    <s v="C721605153"/>
    <n v="0"/>
    <n v="1311150.8999999999"/>
    <n v="1"/>
    <n v="0"/>
    <n v="2"/>
    <n v="0"/>
    <n v="1"/>
    <n v="1311150.8999999999"/>
    <n v="5"/>
    <n v="4"/>
    <n v="3.8000000000000003"/>
    <x v="2"/>
  </r>
  <r>
    <n v="74"/>
    <x v="0"/>
    <n v="4582074.51"/>
    <s v="C1151172465"/>
    <n v="4582074.51"/>
    <n v="0"/>
    <s v="C2088124795"/>
    <n v="0"/>
    <n v="0"/>
    <n v="1"/>
    <n v="0"/>
    <n v="2"/>
    <n v="0"/>
    <n v="1"/>
    <n v="4582074.51"/>
    <n v="5"/>
    <n v="5"/>
    <n v="4.0999999999999996"/>
    <x v="2"/>
  </r>
  <r>
    <n v="74"/>
    <x v="1"/>
    <n v="4582074.51"/>
    <s v="C1507497077"/>
    <n v="4582074.51"/>
    <n v="0"/>
    <s v="C910594371"/>
    <n v="154034.94"/>
    <n v="4736109.45"/>
    <n v="1"/>
    <n v="0"/>
    <n v="2"/>
    <n v="0"/>
    <n v="1"/>
    <n v="4582074.51"/>
    <n v="5"/>
    <n v="4"/>
    <n v="3.8000000000000003"/>
    <x v="2"/>
  </r>
  <r>
    <n v="74"/>
    <x v="0"/>
    <n v="455074.13"/>
    <s v="C178620637"/>
    <n v="455074.13"/>
    <n v="0"/>
    <s v="C479353061"/>
    <n v="0"/>
    <n v="0"/>
    <n v="1"/>
    <n v="0"/>
    <n v="2"/>
    <n v="0"/>
    <n v="1"/>
    <n v="455074.13"/>
    <n v="5"/>
    <n v="5"/>
    <n v="4.0999999999999996"/>
    <x v="2"/>
  </r>
  <r>
    <n v="74"/>
    <x v="1"/>
    <n v="455074.13"/>
    <s v="C695129655"/>
    <n v="455074.13"/>
    <n v="0"/>
    <s v="C1013511446"/>
    <n v="9237170.7400000002"/>
    <n v="9692244.8599999994"/>
    <n v="1"/>
    <n v="0"/>
    <n v="2"/>
    <n v="0"/>
    <n v="1"/>
    <n v="455074.13"/>
    <n v="5"/>
    <n v="4"/>
    <n v="3.8000000000000003"/>
    <x v="2"/>
  </r>
  <r>
    <n v="74"/>
    <x v="0"/>
    <n v="3284197.88"/>
    <s v="C103236252"/>
    <n v="3284197.88"/>
    <n v="0"/>
    <s v="C1710384366"/>
    <n v="0"/>
    <n v="0"/>
    <n v="1"/>
    <n v="0"/>
    <n v="2"/>
    <n v="0"/>
    <n v="1"/>
    <n v="3284197.88"/>
    <n v="5"/>
    <n v="5"/>
    <n v="4.0999999999999996"/>
    <x v="2"/>
  </r>
  <r>
    <n v="74"/>
    <x v="1"/>
    <n v="3284197.88"/>
    <s v="C198379281"/>
    <n v="3284197.88"/>
    <n v="0"/>
    <s v="C857746237"/>
    <n v="200942.07999999999"/>
    <n v="3485139.96"/>
    <n v="1"/>
    <n v="0"/>
    <n v="2"/>
    <n v="0"/>
    <n v="1"/>
    <n v="3284197.88"/>
    <n v="5"/>
    <n v="4"/>
    <n v="3.8000000000000003"/>
    <x v="2"/>
  </r>
  <r>
    <n v="75"/>
    <x v="0"/>
    <n v="810039.19"/>
    <s v="C756454870"/>
    <n v="810039.19"/>
    <n v="0"/>
    <s v="C1095120189"/>
    <n v="0"/>
    <n v="0"/>
    <n v="1"/>
    <n v="0"/>
    <n v="3"/>
    <n v="0"/>
    <n v="1"/>
    <n v="810039.19"/>
    <n v="5"/>
    <n v="5"/>
    <n v="4.0999999999999996"/>
    <x v="2"/>
  </r>
  <r>
    <n v="75"/>
    <x v="1"/>
    <n v="810039.19"/>
    <s v="C1922445613"/>
    <n v="810039.19"/>
    <n v="0"/>
    <s v="C461145537"/>
    <n v="409035.12"/>
    <n v="1219074.31"/>
    <n v="1"/>
    <n v="0"/>
    <n v="3"/>
    <n v="0"/>
    <n v="1"/>
    <n v="810039.19"/>
    <n v="5"/>
    <n v="4"/>
    <n v="3.8000000000000003"/>
    <x v="2"/>
  </r>
  <r>
    <n v="75"/>
    <x v="0"/>
    <n v="959018.79"/>
    <s v="C1318698561"/>
    <n v="959018.79"/>
    <n v="0"/>
    <s v="C2115087067"/>
    <n v="0"/>
    <n v="0"/>
    <n v="1"/>
    <n v="0"/>
    <n v="3"/>
    <n v="0"/>
    <n v="1"/>
    <n v="959018.79"/>
    <n v="5"/>
    <n v="5"/>
    <n v="4.0999999999999996"/>
    <x v="2"/>
  </r>
  <r>
    <n v="75"/>
    <x v="1"/>
    <n v="959018.79"/>
    <s v="C1566688012"/>
    <n v="959018.79"/>
    <n v="0"/>
    <s v="C1361631138"/>
    <n v="0"/>
    <n v="959018.79"/>
    <n v="1"/>
    <n v="0"/>
    <n v="3"/>
    <n v="0"/>
    <n v="1"/>
    <n v="959018.79"/>
    <n v="5"/>
    <n v="4"/>
    <n v="3.8000000000000003"/>
    <x v="2"/>
  </r>
  <r>
    <n v="75"/>
    <x v="0"/>
    <n v="755813.12"/>
    <s v="C1153451347"/>
    <n v="755813.12"/>
    <n v="0"/>
    <s v="C450761826"/>
    <n v="0"/>
    <n v="0"/>
    <n v="1"/>
    <n v="0"/>
    <n v="3"/>
    <n v="0"/>
    <n v="1"/>
    <n v="755813.12"/>
    <n v="5"/>
    <n v="5"/>
    <n v="4.0999999999999996"/>
    <x v="2"/>
  </r>
  <r>
    <n v="75"/>
    <x v="1"/>
    <n v="755813.12"/>
    <s v="C127671231"/>
    <n v="755813.12"/>
    <n v="0"/>
    <s v="C974221574"/>
    <n v="494575.27"/>
    <n v="1250388.3799999999"/>
    <n v="1"/>
    <n v="0"/>
    <n v="3"/>
    <n v="0"/>
    <n v="1"/>
    <n v="755813.12"/>
    <n v="5"/>
    <n v="4"/>
    <n v="3.8000000000000003"/>
    <x v="2"/>
  </r>
  <r>
    <n v="75"/>
    <x v="0"/>
    <n v="460436.43"/>
    <s v="C1935083121"/>
    <n v="460436.43"/>
    <n v="0"/>
    <s v="C83154619"/>
    <n v="0"/>
    <n v="0"/>
    <n v="1"/>
    <n v="0"/>
    <n v="3"/>
    <n v="0"/>
    <n v="1"/>
    <n v="460436.43"/>
    <n v="5"/>
    <n v="5"/>
    <n v="4.0999999999999996"/>
    <x v="2"/>
  </r>
  <r>
    <n v="75"/>
    <x v="1"/>
    <n v="460436.43"/>
    <s v="C568175103"/>
    <n v="460436.43"/>
    <n v="0"/>
    <s v="C283083073"/>
    <n v="0"/>
    <n v="460436.43"/>
    <n v="1"/>
    <n v="0"/>
    <n v="3"/>
    <n v="0"/>
    <n v="1"/>
    <n v="460436.43"/>
    <n v="5"/>
    <n v="4"/>
    <n v="3.8000000000000003"/>
    <x v="2"/>
  </r>
  <r>
    <n v="76"/>
    <x v="0"/>
    <n v="9917.27"/>
    <s v="C1267158518"/>
    <n v="9917.27"/>
    <n v="0"/>
    <s v="C1985253789"/>
    <n v="0"/>
    <n v="0"/>
    <n v="1"/>
    <n v="0"/>
    <n v="4"/>
    <n v="0"/>
    <n v="1"/>
    <n v="9917.27"/>
    <n v="1"/>
    <n v="5"/>
    <n v="2.1"/>
    <x v="0"/>
  </r>
  <r>
    <n v="76"/>
    <x v="1"/>
    <n v="9917.27"/>
    <s v="C1776957208"/>
    <n v="9917.27"/>
    <n v="0"/>
    <s v="C776312807"/>
    <n v="408610.64"/>
    <n v="418527.91"/>
    <n v="1"/>
    <n v="0"/>
    <n v="4"/>
    <n v="0"/>
    <n v="1"/>
    <n v="9917.27"/>
    <n v="1"/>
    <n v="4"/>
    <n v="1.8"/>
    <x v="1"/>
  </r>
  <r>
    <n v="76"/>
    <x v="0"/>
    <n v="2066446.27"/>
    <s v="C1668561632"/>
    <n v="2066446.27"/>
    <n v="0"/>
    <s v="C575000794"/>
    <n v="0"/>
    <n v="0"/>
    <n v="1"/>
    <n v="0"/>
    <n v="4"/>
    <n v="0"/>
    <n v="1"/>
    <n v="2066446.27"/>
    <n v="5"/>
    <n v="5"/>
    <n v="4.0999999999999996"/>
    <x v="2"/>
  </r>
  <r>
    <n v="76"/>
    <x v="1"/>
    <n v="2066446.27"/>
    <s v="C725597637"/>
    <n v="2066446.27"/>
    <n v="0"/>
    <s v="C157857444"/>
    <n v="423086.94"/>
    <n v="2489533.21"/>
    <n v="1"/>
    <n v="0"/>
    <n v="4"/>
    <n v="0"/>
    <n v="1"/>
    <n v="2066446.27"/>
    <n v="5"/>
    <n v="4"/>
    <n v="3.8000000000000003"/>
    <x v="2"/>
  </r>
  <r>
    <n v="77"/>
    <x v="0"/>
    <n v="819048.34"/>
    <s v="C1528612318"/>
    <n v="819048.34"/>
    <n v="0"/>
    <s v="C669563371"/>
    <n v="0"/>
    <n v="0"/>
    <n v="1"/>
    <n v="0"/>
    <n v="5"/>
    <n v="0"/>
    <n v="1"/>
    <n v="819048.34"/>
    <n v="5"/>
    <n v="5"/>
    <n v="4.0999999999999996"/>
    <x v="2"/>
  </r>
  <r>
    <n v="77"/>
    <x v="1"/>
    <n v="819048.34"/>
    <s v="C48810852"/>
    <n v="819048.34"/>
    <n v="0"/>
    <s v="C1460010933"/>
    <n v="1104098.69"/>
    <n v="1923147.03"/>
    <n v="1"/>
    <n v="0"/>
    <n v="5"/>
    <n v="0"/>
    <n v="1"/>
    <n v="819048.34"/>
    <n v="5"/>
    <n v="4"/>
    <n v="3.8000000000000003"/>
    <x v="2"/>
  </r>
  <r>
    <n v="77"/>
    <x v="0"/>
    <n v="9039246.8200000003"/>
    <s v="C1074348771"/>
    <n v="9039246.8200000003"/>
    <n v="0"/>
    <s v="C306278286"/>
    <n v="0"/>
    <n v="0"/>
    <n v="1"/>
    <n v="0"/>
    <n v="5"/>
    <n v="0"/>
    <n v="1"/>
    <n v="9039246.8200000003"/>
    <n v="5"/>
    <n v="5"/>
    <n v="4.0999999999999996"/>
    <x v="2"/>
  </r>
  <r>
    <n v="77"/>
    <x v="1"/>
    <n v="9039246.8200000003"/>
    <s v="C378412722"/>
    <n v="9039246.8200000003"/>
    <n v="0"/>
    <s v="C802151575"/>
    <n v="464686.69"/>
    <n v="9503933.5099999998"/>
    <n v="1"/>
    <n v="0"/>
    <n v="5"/>
    <n v="0"/>
    <n v="1"/>
    <n v="9039246.8200000003"/>
    <n v="5"/>
    <n v="4"/>
    <n v="3.8000000000000003"/>
    <x v="2"/>
  </r>
  <r>
    <n v="77"/>
    <x v="0"/>
    <n v="239473.85"/>
    <s v="C729877384"/>
    <n v="239473.85"/>
    <n v="0"/>
    <s v="C1610940627"/>
    <n v="0"/>
    <n v="0"/>
    <n v="1"/>
    <n v="0"/>
    <n v="5"/>
    <n v="0"/>
    <n v="1"/>
    <n v="239473.85"/>
    <n v="5"/>
    <n v="5"/>
    <n v="4.0999999999999996"/>
    <x v="2"/>
  </r>
  <r>
    <n v="77"/>
    <x v="1"/>
    <n v="239473.85"/>
    <s v="C1878410871"/>
    <n v="239473.85"/>
    <n v="0"/>
    <s v="C891884680"/>
    <n v="729245.09"/>
    <n v="968718.94"/>
    <n v="1"/>
    <n v="0"/>
    <n v="5"/>
    <n v="0"/>
    <n v="1"/>
    <n v="239473.85"/>
    <n v="5"/>
    <n v="4"/>
    <n v="3.8000000000000003"/>
    <x v="2"/>
  </r>
  <r>
    <n v="77"/>
    <x v="0"/>
    <n v="5715004.2999999998"/>
    <s v="C958168241"/>
    <n v="5715004.2999999998"/>
    <n v="0"/>
    <s v="C1700925232"/>
    <n v="0"/>
    <n v="0"/>
    <n v="1"/>
    <n v="0"/>
    <n v="5"/>
    <n v="0"/>
    <n v="1"/>
    <n v="5715004.2999999998"/>
    <n v="5"/>
    <n v="5"/>
    <n v="4.0999999999999996"/>
    <x v="2"/>
  </r>
  <r>
    <n v="77"/>
    <x v="1"/>
    <n v="5715004.2999999998"/>
    <s v="C1519833841"/>
    <n v="5715004.2999999998"/>
    <n v="0"/>
    <s v="C1856760155"/>
    <n v="318309.23"/>
    <n v="6033313.5300000003"/>
    <n v="1"/>
    <n v="0"/>
    <n v="5"/>
    <n v="0"/>
    <n v="1"/>
    <n v="5715004.2999999998"/>
    <n v="5"/>
    <n v="4"/>
    <n v="3.8000000000000003"/>
    <x v="2"/>
  </r>
  <r>
    <n v="77"/>
    <x v="0"/>
    <n v="2149976.69"/>
    <s v="C1907685273"/>
    <n v="2149976.69"/>
    <n v="0"/>
    <s v="C2107203461"/>
    <n v="0"/>
    <n v="0"/>
    <n v="1"/>
    <n v="0"/>
    <n v="5"/>
    <n v="0"/>
    <n v="1"/>
    <n v="2149976.69"/>
    <n v="5"/>
    <n v="5"/>
    <n v="4.0999999999999996"/>
    <x v="2"/>
  </r>
  <r>
    <n v="77"/>
    <x v="1"/>
    <n v="2149976.69"/>
    <s v="C1519673706"/>
    <n v="2149976.69"/>
    <n v="0"/>
    <s v="C1396705699"/>
    <n v="0"/>
    <n v="2149976.69"/>
    <n v="1"/>
    <n v="0"/>
    <n v="5"/>
    <n v="0"/>
    <n v="1"/>
    <n v="2149976.69"/>
    <n v="5"/>
    <n v="4"/>
    <n v="3.8000000000000003"/>
    <x v="2"/>
  </r>
  <r>
    <n v="78"/>
    <x v="0"/>
    <n v="1321091.25"/>
    <s v="C3630973"/>
    <n v="1321091.25"/>
    <n v="0"/>
    <s v="C1609262789"/>
    <n v="0"/>
    <n v="0"/>
    <n v="1"/>
    <n v="0"/>
    <n v="6"/>
    <n v="0"/>
    <n v="1"/>
    <n v="1321091.25"/>
    <n v="5"/>
    <n v="5"/>
    <n v="4.0999999999999996"/>
    <x v="2"/>
  </r>
  <r>
    <n v="78"/>
    <x v="1"/>
    <n v="1321091.25"/>
    <s v="C1817853136"/>
    <n v="1321091.25"/>
    <n v="0"/>
    <s v="C1040572676"/>
    <n v="0"/>
    <n v="1321091.25"/>
    <n v="1"/>
    <n v="0"/>
    <n v="6"/>
    <n v="0"/>
    <n v="1"/>
    <n v="1321091.25"/>
    <n v="5"/>
    <n v="4"/>
    <n v="3.8000000000000003"/>
    <x v="2"/>
  </r>
  <r>
    <n v="78"/>
    <x v="0"/>
    <n v="113829.89"/>
    <s v="C973342461"/>
    <n v="113829.89"/>
    <n v="0"/>
    <s v="C631818291"/>
    <n v="0"/>
    <n v="0"/>
    <n v="1"/>
    <n v="0"/>
    <n v="6"/>
    <n v="0"/>
    <n v="1"/>
    <n v="113829.89"/>
    <n v="4"/>
    <n v="5"/>
    <n v="3.6"/>
    <x v="2"/>
  </r>
  <r>
    <n v="78"/>
    <x v="1"/>
    <n v="113829.89"/>
    <s v="C1130541030"/>
    <n v="113829.89"/>
    <n v="0"/>
    <s v="C50502894"/>
    <n v="0"/>
    <n v="113829.89"/>
    <n v="1"/>
    <n v="0"/>
    <n v="6"/>
    <n v="0"/>
    <n v="1"/>
    <n v="113829.89"/>
    <n v="4"/>
    <n v="4"/>
    <n v="3.3000000000000003"/>
    <x v="2"/>
  </r>
  <r>
    <n v="78"/>
    <x v="0"/>
    <n v="178569.48"/>
    <s v="C282621115"/>
    <n v="178569.48"/>
    <n v="0"/>
    <s v="C2027238520"/>
    <n v="0"/>
    <n v="0"/>
    <n v="1"/>
    <n v="0"/>
    <n v="6"/>
    <n v="0"/>
    <n v="1"/>
    <n v="178569.48"/>
    <n v="4"/>
    <n v="5"/>
    <n v="3.6"/>
    <x v="2"/>
  </r>
  <r>
    <n v="78"/>
    <x v="1"/>
    <n v="178569.48"/>
    <s v="C395825139"/>
    <n v="178569.48"/>
    <n v="0"/>
    <s v="C1241208981"/>
    <n v="263128.53000000003"/>
    <n v="441698.01"/>
    <n v="1"/>
    <n v="0"/>
    <n v="6"/>
    <n v="0"/>
    <n v="1"/>
    <n v="178569.48"/>
    <n v="4"/>
    <n v="4"/>
    <n v="3.3000000000000003"/>
    <x v="2"/>
  </r>
  <r>
    <n v="78"/>
    <x v="0"/>
    <n v="1735647.47"/>
    <s v="C32677445"/>
    <n v="1735647.47"/>
    <n v="0"/>
    <s v="C154560289"/>
    <n v="0"/>
    <n v="0"/>
    <n v="1"/>
    <n v="0"/>
    <n v="6"/>
    <n v="0"/>
    <n v="1"/>
    <n v="1735647.47"/>
    <n v="5"/>
    <n v="5"/>
    <n v="4.0999999999999996"/>
    <x v="2"/>
  </r>
  <r>
    <n v="78"/>
    <x v="1"/>
    <n v="1735647.47"/>
    <s v="C1347258113"/>
    <n v="1735647.47"/>
    <n v="0"/>
    <s v="C169356853"/>
    <n v="0"/>
    <n v="1735647.47"/>
    <n v="1"/>
    <n v="0"/>
    <n v="6"/>
    <n v="0"/>
    <n v="1"/>
    <n v="1735647.47"/>
    <n v="5"/>
    <n v="4"/>
    <n v="3.8000000000000003"/>
    <x v="2"/>
  </r>
  <r>
    <n v="78"/>
    <x v="0"/>
    <n v="2254934.36"/>
    <s v="C65227807"/>
    <n v="2254934.36"/>
    <n v="0"/>
    <s v="C213999906"/>
    <n v="0"/>
    <n v="0"/>
    <n v="1"/>
    <n v="0"/>
    <n v="6"/>
    <n v="0"/>
    <n v="1"/>
    <n v="2254934.36"/>
    <n v="5"/>
    <n v="5"/>
    <n v="4.0999999999999996"/>
    <x v="2"/>
  </r>
  <r>
    <n v="78"/>
    <x v="1"/>
    <n v="2254934.36"/>
    <s v="C706933703"/>
    <n v="2254934.36"/>
    <n v="0"/>
    <s v="C273430415"/>
    <n v="364128.61"/>
    <n v="2619062.9700000002"/>
    <n v="1"/>
    <n v="0"/>
    <n v="6"/>
    <n v="0"/>
    <n v="1"/>
    <n v="2254934.36"/>
    <n v="5"/>
    <n v="4"/>
    <n v="3.8000000000000003"/>
    <x v="2"/>
  </r>
  <r>
    <n v="79"/>
    <x v="0"/>
    <n v="353045.35"/>
    <s v="C1325126961"/>
    <n v="353045.35"/>
    <n v="0"/>
    <s v="C1068974192"/>
    <n v="0"/>
    <n v="0"/>
    <n v="1"/>
    <n v="0"/>
    <n v="7"/>
    <n v="0"/>
    <n v="1"/>
    <n v="353045.35"/>
    <n v="5"/>
    <n v="5"/>
    <n v="4.0999999999999996"/>
    <x v="2"/>
  </r>
  <r>
    <n v="79"/>
    <x v="1"/>
    <n v="353045.35"/>
    <s v="C1947418069"/>
    <n v="353045.35"/>
    <n v="0"/>
    <s v="C615914680"/>
    <n v="981978.74"/>
    <n v="1335024.0900000001"/>
    <n v="1"/>
    <n v="0"/>
    <n v="7"/>
    <n v="0"/>
    <n v="1"/>
    <n v="353045.35"/>
    <n v="5"/>
    <n v="4"/>
    <n v="3.8000000000000003"/>
    <x v="2"/>
  </r>
  <r>
    <n v="79"/>
    <x v="0"/>
    <n v="1619331.51"/>
    <s v="C144675030"/>
    <n v="1619331.51"/>
    <n v="0"/>
    <s v="C660991644"/>
    <n v="0"/>
    <n v="0"/>
    <n v="1"/>
    <n v="0"/>
    <n v="7"/>
    <n v="0"/>
    <n v="1"/>
    <n v="1619331.51"/>
    <n v="5"/>
    <n v="5"/>
    <n v="4.0999999999999996"/>
    <x v="2"/>
  </r>
  <r>
    <n v="79"/>
    <x v="1"/>
    <n v="1619331.51"/>
    <s v="C1899697178"/>
    <n v="1619331.51"/>
    <n v="0"/>
    <s v="C553920581"/>
    <n v="0"/>
    <n v="1619331.51"/>
    <n v="1"/>
    <n v="0"/>
    <n v="7"/>
    <n v="0"/>
    <n v="1"/>
    <n v="1619331.51"/>
    <n v="5"/>
    <n v="4"/>
    <n v="3.8000000000000003"/>
    <x v="2"/>
  </r>
  <r>
    <n v="79"/>
    <x v="0"/>
    <n v="61178.51"/>
    <s v="C1635325265"/>
    <n v="61178.51"/>
    <n v="0"/>
    <s v="C1782100943"/>
    <n v="0"/>
    <n v="0"/>
    <n v="1"/>
    <n v="0"/>
    <n v="7"/>
    <n v="0"/>
    <n v="1"/>
    <n v="61178.51"/>
    <n v="3"/>
    <n v="5"/>
    <n v="3.1"/>
    <x v="2"/>
  </r>
  <r>
    <n v="79"/>
    <x v="1"/>
    <n v="61178.51"/>
    <s v="C216625470"/>
    <n v="61178.51"/>
    <n v="0"/>
    <s v="C1897901588"/>
    <n v="238787.35"/>
    <n v="299965.86"/>
    <n v="1"/>
    <n v="0"/>
    <n v="7"/>
    <n v="0"/>
    <n v="1"/>
    <n v="61178.51"/>
    <n v="3"/>
    <n v="4"/>
    <n v="2.8000000000000003"/>
    <x v="0"/>
  </r>
  <r>
    <n v="79"/>
    <x v="0"/>
    <n v="664992.86"/>
    <s v="C2021935445"/>
    <n v="664992.86"/>
    <n v="0"/>
    <s v="C332249974"/>
    <n v="0"/>
    <n v="0"/>
    <n v="1"/>
    <n v="0"/>
    <n v="7"/>
    <n v="0"/>
    <n v="1"/>
    <n v="664992.86"/>
    <n v="5"/>
    <n v="5"/>
    <n v="4.0999999999999996"/>
    <x v="2"/>
  </r>
  <r>
    <n v="79"/>
    <x v="1"/>
    <n v="664992.86"/>
    <s v="C1370888603"/>
    <n v="664992.86"/>
    <n v="0"/>
    <s v="C1110499013"/>
    <n v="769363.38"/>
    <n v="1434356.23"/>
    <n v="1"/>
    <n v="0"/>
    <n v="7"/>
    <n v="0"/>
    <n v="1"/>
    <n v="664992.86"/>
    <n v="5"/>
    <n v="4"/>
    <n v="3.8000000000000003"/>
    <x v="2"/>
  </r>
  <r>
    <n v="79"/>
    <x v="0"/>
    <n v="432254.84"/>
    <s v="C2026655073"/>
    <n v="432254.84"/>
    <n v="0"/>
    <s v="C524492169"/>
    <n v="0"/>
    <n v="0"/>
    <n v="1"/>
    <n v="0"/>
    <n v="7"/>
    <n v="0"/>
    <n v="1"/>
    <n v="432254.84"/>
    <n v="5"/>
    <n v="5"/>
    <n v="4.0999999999999996"/>
    <x v="2"/>
  </r>
  <r>
    <n v="79"/>
    <x v="1"/>
    <n v="432254.84"/>
    <s v="C1072407495"/>
    <n v="432254.84"/>
    <n v="0"/>
    <s v="C577652704"/>
    <n v="1300115.81"/>
    <n v="1732370.65"/>
    <n v="1"/>
    <n v="0"/>
    <n v="7"/>
    <n v="0"/>
    <n v="1"/>
    <n v="432254.84"/>
    <n v="5"/>
    <n v="4"/>
    <n v="3.8000000000000003"/>
    <x v="2"/>
  </r>
  <r>
    <n v="80"/>
    <x v="0"/>
    <n v="42659.39"/>
    <s v="C1702857614"/>
    <n v="42659.39"/>
    <n v="0"/>
    <s v="C952860391"/>
    <n v="0"/>
    <n v="0"/>
    <n v="1"/>
    <n v="0"/>
    <n v="8"/>
    <n v="0"/>
    <n v="1"/>
    <n v="42659.39"/>
    <n v="2"/>
    <n v="5"/>
    <n v="2.6"/>
    <x v="0"/>
  </r>
  <r>
    <n v="80"/>
    <x v="1"/>
    <n v="42659.39"/>
    <s v="C73677947"/>
    <n v="42659.39"/>
    <n v="0"/>
    <s v="C1626691330"/>
    <n v="173558.43"/>
    <n v="216217.82"/>
    <n v="1"/>
    <n v="0"/>
    <n v="8"/>
    <n v="0"/>
    <n v="1"/>
    <n v="42659.39"/>
    <n v="2"/>
    <n v="4"/>
    <n v="2.3000000000000003"/>
    <x v="0"/>
  </r>
  <r>
    <n v="80"/>
    <x v="0"/>
    <n v="173782.59"/>
    <s v="C517594835"/>
    <n v="173782.59"/>
    <n v="0"/>
    <s v="C1448192965"/>
    <n v="0"/>
    <n v="0"/>
    <n v="1"/>
    <n v="0"/>
    <n v="8"/>
    <n v="0"/>
    <n v="1"/>
    <n v="173782.59"/>
    <n v="4"/>
    <n v="5"/>
    <n v="3.6"/>
    <x v="2"/>
  </r>
  <r>
    <n v="80"/>
    <x v="1"/>
    <n v="173782.59"/>
    <s v="C2085532500"/>
    <n v="173782.59"/>
    <n v="0"/>
    <s v="C1628486398"/>
    <n v="3272453.63"/>
    <n v="3446236.22"/>
    <n v="1"/>
    <n v="0"/>
    <n v="8"/>
    <n v="0"/>
    <n v="1"/>
    <n v="173782.59"/>
    <n v="4"/>
    <n v="4"/>
    <n v="3.3000000000000003"/>
    <x v="2"/>
  </r>
  <r>
    <n v="80"/>
    <x v="0"/>
    <n v="62134.33"/>
    <s v="C1710515368"/>
    <n v="62134.33"/>
    <n v="0"/>
    <s v="C1582805529"/>
    <n v="0"/>
    <n v="0"/>
    <n v="1"/>
    <n v="0"/>
    <n v="8"/>
    <n v="0"/>
    <n v="1"/>
    <n v="62134.33"/>
    <n v="3"/>
    <n v="5"/>
    <n v="3.1"/>
    <x v="2"/>
  </r>
  <r>
    <n v="80"/>
    <x v="1"/>
    <n v="62134.33"/>
    <s v="C1079384969"/>
    <n v="62134.33"/>
    <n v="0"/>
    <s v="C1087953881"/>
    <n v="509204.33"/>
    <n v="571338.66"/>
    <n v="1"/>
    <n v="0"/>
    <n v="8"/>
    <n v="0"/>
    <n v="1"/>
    <n v="62134.33"/>
    <n v="3"/>
    <n v="4"/>
    <n v="2.8000000000000003"/>
    <x v="0"/>
  </r>
  <r>
    <n v="80"/>
    <x v="0"/>
    <n v="972920.87"/>
    <s v="C279538198"/>
    <n v="972920.87"/>
    <n v="0"/>
    <s v="C1842012952"/>
    <n v="0"/>
    <n v="0"/>
    <n v="1"/>
    <n v="0"/>
    <n v="8"/>
    <n v="0"/>
    <n v="1"/>
    <n v="972920.87"/>
    <n v="5"/>
    <n v="5"/>
    <n v="4.0999999999999996"/>
    <x v="2"/>
  </r>
  <r>
    <n v="80"/>
    <x v="1"/>
    <n v="972920.87"/>
    <s v="C427077444"/>
    <n v="972920.87"/>
    <n v="0"/>
    <s v="C1033887610"/>
    <n v="21030.1"/>
    <n v="993950.97"/>
    <n v="1"/>
    <n v="0"/>
    <n v="8"/>
    <n v="0"/>
    <n v="1"/>
    <n v="972920.87"/>
    <n v="5"/>
    <n v="4"/>
    <n v="3.8000000000000003"/>
    <x v="2"/>
  </r>
  <r>
    <n v="80"/>
    <x v="0"/>
    <n v="244814.12"/>
    <s v="C2138181348"/>
    <n v="244814.12"/>
    <n v="0"/>
    <s v="C1608735206"/>
    <n v="0"/>
    <n v="0"/>
    <n v="1"/>
    <n v="0"/>
    <n v="8"/>
    <n v="0"/>
    <n v="1"/>
    <n v="244814.12"/>
    <n v="5"/>
    <n v="5"/>
    <n v="4.0999999999999996"/>
    <x v="2"/>
  </r>
  <r>
    <n v="80"/>
    <x v="1"/>
    <n v="244814.12"/>
    <s v="C696147355"/>
    <n v="244814.12"/>
    <n v="0"/>
    <s v="C1941798570"/>
    <n v="7106855.4699999997"/>
    <n v="7351669.5899999999"/>
    <n v="1"/>
    <n v="0"/>
    <n v="8"/>
    <n v="0"/>
    <n v="1"/>
    <n v="244814.12"/>
    <n v="5"/>
    <n v="4"/>
    <n v="3.8000000000000003"/>
    <x v="2"/>
  </r>
  <r>
    <n v="81"/>
    <x v="0"/>
    <n v="82527.13"/>
    <s v="C538871976"/>
    <n v="82527.13"/>
    <n v="0"/>
    <s v="C1208558259"/>
    <n v="0"/>
    <n v="0"/>
    <n v="1"/>
    <n v="0"/>
    <n v="9"/>
    <n v="0"/>
    <n v="1"/>
    <n v="82527.13"/>
    <n v="3"/>
    <n v="5"/>
    <n v="3.1"/>
    <x v="2"/>
  </r>
  <r>
    <n v="81"/>
    <x v="1"/>
    <n v="82527.13"/>
    <s v="C728143038"/>
    <n v="82527.13"/>
    <n v="0"/>
    <s v="C1407664911"/>
    <n v="397267.85"/>
    <n v="479794.98"/>
    <n v="1"/>
    <n v="0"/>
    <n v="9"/>
    <n v="0"/>
    <n v="1"/>
    <n v="82527.13"/>
    <n v="3"/>
    <n v="4"/>
    <n v="2.8000000000000003"/>
    <x v="0"/>
  </r>
  <r>
    <n v="81"/>
    <x v="0"/>
    <n v="78028.89"/>
    <s v="C1141684760"/>
    <n v="78028.89"/>
    <n v="0"/>
    <s v="C1203351352"/>
    <n v="0"/>
    <n v="0"/>
    <n v="1"/>
    <n v="0"/>
    <n v="9"/>
    <n v="0"/>
    <n v="1"/>
    <n v="78028.89"/>
    <n v="3"/>
    <n v="5"/>
    <n v="3.1"/>
    <x v="2"/>
  </r>
  <r>
    <n v="81"/>
    <x v="1"/>
    <n v="78028.89"/>
    <s v="C524658055"/>
    <n v="78028.89"/>
    <n v="0"/>
    <s v="C200964845"/>
    <n v="473519.42"/>
    <n v="551548.31000000006"/>
    <n v="1"/>
    <n v="0"/>
    <n v="9"/>
    <n v="0"/>
    <n v="1"/>
    <n v="78028.89"/>
    <n v="3"/>
    <n v="4"/>
    <n v="2.8000000000000003"/>
    <x v="0"/>
  </r>
  <r>
    <n v="81"/>
    <x v="0"/>
    <n v="2737766.8"/>
    <s v="C1263150351"/>
    <n v="2737766.8"/>
    <n v="0"/>
    <s v="C61517319"/>
    <n v="0"/>
    <n v="0"/>
    <n v="1"/>
    <n v="0"/>
    <n v="9"/>
    <n v="0"/>
    <n v="1"/>
    <n v="2737766.8"/>
    <n v="5"/>
    <n v="5"/>
    <n v="4.0999999999999996"/>
    <x v="2"/>
  </r>
  <r>
    <n v="81"/>
    <x v="1"/>
    <n v="2737766.8"/>
    <s v="C1419156412"/>
    <n v="2737766.8"/>
    <n v="0"/>
    <s v="C31490801"/>
    <n v="0"/>
    <n v="2737766.8"/>
    <n v="1"/>
    <n v="0"/>
    <n v="9"/>
    <n v="0"/>
    <n v="1"/>
    <n v="2737766.8"/>
    <n v="5"/>
    <n v="4"/>
    <n v="3.8000000000000003"/>
    <x v="2"/>
  </r>
  <r>
    <n v="81"/>
    <x v="0"/>
    <n v="1980800.05"/>
    <s v="C1249942022"/>
    <n v="1980800.05"/>
    <n v="0"/>
    <s v="C1969956684"/>
    <n v="0"/>
    <n v="0"/>
    <n v="1"/>
    <n v="0"/>
    <n v="9"/>
    <n v="0"/>
    <n v="1"/>
    <n v="1980800.05"/>
    <n v="5"/>
    <n v="5"/>
    <n v="4.0999999999999996"/>
    <x v="2"/>
  </r>
  <r>
    <n v="81"/>
    <x v="1"/>
    <n v="1980800.05"/>
    <s v="C1774788670"/>
    <n v="1980800.05"/>
    <n v="0"/>
    <s v="C824562042"/>
    <n v="1779203.4"/>
    <n v="3760003.46"/>
    <n v="1"/>
    <n v="0"/>
    <n v="9"/>
    <n v="0"/>
    <n v="1"/>
    <n v="1980800.05"/>
    <n v="5"/>
    <n v="4"/>
    <n v="3.8000000000000003"/>
    <x v="2"/>
  </r>
  <r>
    <n v="81"/>
    <x v="0"/>
    <n v="221936.6"/>
    <s v="C238307313"/>
    <n v="221936.6"/>
    <n v="0"/>
    <s v="C1029951793"/>
    <n v="0"/>
    <n v="0"/>
    <n v="1"/>
    <n v="0"/>
    <n v="9"/>
    <n v="0"/>
    <n v="1"/>
    <n v="221936.6"/>
    <n v="5"/>
    <n v="5"/>
    <n v="4.0999999999999996"/>
    <x v="2"/>
  </r>
  <r>
    <n v="81"/>
    <x v="1"/>
    <n v="221936.6"/>
    <s v="C1587954748"/>
    <n v="221936.6"/>
    <n v="0"/>
    <s v="C1439182488"/>
    <n v="1811.03"/>
    <n v="223747.62"/>
    <n v="1"/>
    <n v="0"/>
    <n v="9"/>
    <n v="0"/>
    <n v="1"/>
    <n v="221936.6"/>
    <n v="5"/>
    <n v="4"/>
    <n v="3.8000000000000003"/>
    <x v="2"/>
  </r>
  <r>
    <n v="82"/>
    <x v="0"/>
    <n v="5338583.38"/>
    <s v="C194251863"/>
    <n v="5338583.38"/>
    <n v="0"/>
    <s v="C280536388"/>
    <n v="0"/>
    <n v="0"/>
    <n v="1"/>
    <n v="0"/>
    <n v="10"/>
    <n v="0"/>
    <n v="1"/>
    <n v="5338583.38"/>
    <n v="5"/>
    <n v="5"/>
    <n v="4.0999999999999996"/>
    <x v="2"/>
  </r>
  <r>
    <n v="82"/>
    <x v="1"/>
    <n v="5338583.38"/>
    <s v="C1913306809"/>
    <n v="5338583.38"/>
    <n v="0"/>
    <s v="C343563320"/>
    <n v="31250.62"/>
    <n v="5369834"/>
    <n v="1"/>
    <n v="0"/>
    <n v="10"/>
    <n v="0"/>
    <n v="1"/>
    <n v="5338583.38"/>
    <n v="5"/>
    <n v="4"/>
    <n v="3.8000000000000003"/>
    <x v="2"/>
  </r>
  <r>
    <n v="82"/>
    <x v="0"/>
    <n v="1534985.07"/>
    <s v="C1000937208"/>
    <n v="1534985.07"/>
    <n v="0"/>
    <s v="C1880907151"/>
    <n v="0"/>
    <n v="0"/>
    <n v="1"/>
    <n v="0"/>
    <n v="10"/>
    <n v="0"/>
    <n v="1"/>
    <n v="1534985.07"/>
    <n v="5"/>
    <n v="5"/>
    <n v="4.0999999999999996"/>
    <x v="2"/>
  </r>
  <r>
    <n v="82"/>
    <x v="1"/>
    <n v="1534985.07"/>
    <s v="C911734420"/>
    <n v="1534985.07"/>
    <n v="0"/>
    <s v="C1953014312"/>
    <n v="0"/>
    <n v="1534985.07"/>
    <n v="1"/>
    <n v="0"/>
    <n v="10"/>
    <n v="0"/>
    <n v="1"/>
    <n v="1534985.07"/>
    <n v="5"/>
    <n v="4"/>
    <n v="3.8000000000000003"/>
    <x v="2"/>
  </r>
  <r>
    <n v="82"/>
    <x v="0"/>
    <n v="45077.1"/>
    <s v="C495624893"/>
    <n v="45077.1"/>
    <n v="0"/>
    <s v="C939460136"/>
    <n v="0"/>
    <n v="0"/>
    <n v="1"/>
    <n v="0"/>
    <n v="10"/>
    <n v="0"/>
    <n v="1"/>
    <n v="45077.1"/>
    <n v="2"/>
    <n v="5"/>
    <n v="2.6"/>
    <x v="0"/>
  </r>
  <r>
    <n v="82"/>
    <x v="1"/>
    <n v="45077.1"/>
    <s v="C978467011"/>
    <n v="45077.1"/>
    <n v="0"/>
    <s v="C809689507"/>
    <n v="126262.18"/>
    <n v="171339.29"/>
    <n v="1"/>
    <n v="0"/>
    <n v="10"/>
    <n v="0"/>
    <n v="1"/>
    <n v="45077.1"/>
    <n v="2"/>
    <n v="4"/>
    <n v="2.3000000000000003"/>
    <x v="0"/>
  </r>
  <r>
    <n v="82"/>
    <x v="0"/>
    <n v="10000000"/>
    <s v="C1237313447"/>
    <n v="11000000"/>
    <n v="987591.59"/>
    <s v="C1468356154"/>
    <n v="0"/>
    <n v="0"/>
    <n v="1"/>
    <n v="0"/>
    <n v="10"/>
    <n v="1"/>
    <n v="0"/>
    <n v="10012408.41"/>
    <n v="5"/>
    <n v="5"/>
    <n v="4.0999999999999996"/>
    <x v="2"/>
  </r>
  <r>
    <n v="82"/>
    <x v="1"/>
    <n v="10000000"/>
    <s v="C1079335762"/>
    <n v="10000000"/>
    <n v="0"/>
    <s v="C615227407"/>
    <n v="373274.84"/>
    <n v="10400000"/>
    <n v="1"/>
    <n v="0"/>
    <n v="10"/>
    <n v="1"/>
    <n v="1"/>
    <n v="10000000"/>
    <n v="5"/>
    <n v="4"/>
    <n v="3.9000000000000004"/>
    <x v="2"/>
  </r>
  <r>
    <n v="82"/>
    <x v="0"/>
    <n v="987591.59"/>
    <s v="C134383279"/>
    <n v="987591.59"/>
    <n v="0"/>
    <s v="C1363477592"/>
    <n v="0"/>
    <n v="0"/>
    <n v="1"/>
    <n v="0"/>
    <n v="10"/>
    <n v="0"/>
    <n v="1"/>
    <n v="987591.59"/>
    <n v="5"/>
    <n v="5"/>
    <n v="4.0999999999999996"/>
    <x v="2"/>
  </r>
  <r>
    <n v="82"/>
    <x v="1"/>
    <n v="987591.59"/>
    <s v="C599597900"/>
    <n v="987591.59"/>
    <n v="0"/>
    <s v="C886672232"/>
    <n v="0"/>
    <n v="987591.59"/>
    <n v="1"/>
    <n v="0"/>
    <n v="10"/>
    <n v="0"/>
    <n v="1"/>
    <n v="987591.59"/>
    <n v="5"/>
    <n v="4"/>
    <n v="3.8000000000000003"/>
    <x v="2"/>
  </r>
  <r>
    <n v="83"/>
    <x v="0"/>
    <n v="1534926.96"/>
    <s v="C358852719"/>
    <n v="1534926.96"/>
    <n v="0"/>
    <s v="C361327171"/>
    <n v="0"/>
    <n v="0"/>
    <n v="1"/>
    <n v="0"/>
    <n v="11"/>
    <n v="0"/>
    <n v="1"/>
    <n v="1534926.96"/>
    <n v="5"/>
    <n v="5"/>
    <n v="4.0999999999999996"/>
    <x v="2"/>
  </r>
  <r>
    <n v="83"/>
    <x v="1"/>
    <n v="1534926.96"/>
    <s v="C341046619"/>
    <n v="1534926.96"/>
    <n v="0"/>
    <s v="C1149435896"/>
    <n v="0"/>
    <n v="1534926.96"/>
    <n v="1"/>
    <n v="0"/>
    <n v="11"/>
    <n v="0"/>
    <n v="1"/>
    <n v="1534926.96"/>
    <n v="5"/>
    <n v="4"/>
    <n v="3.8000000000000003"/>
    <x v="2"/>
  </r>
  <r>
    <n v="83"/>
    <x v="0"/>
    <n v="594577.22"/>
    <s v="C2038871800"/>
    <n v="594577.22"/>
    <n v="0"/>
    <s v="C699011744"/>
    <n v="0"/>
    <n v="0"/>
    <n v="1"/>
    <n v="0"/>
    <n v="11"/>
    <n v="0"/>
    <n v="1"/>
    <n v="594577.22"/>
    <n v="5"/>
    <n v="5"/>
    <n v="4.0999999999999996"/>
    <x v="2"/>
  </r>
  <r>
    <n v="83"/>
    <x v="1"/>
    <n v="594577.22"/>
    <s v="C422847899"/>
    <n v="594577.22"/>
    <n v="0"/>
    <s v="C52390890"/>
    <n v="685106.85"/>
    <n v="1279684.07"/>
    <n v="1"/>
    <n v="0"/>
    <n v="11"/>
    <n v="0"/>
    <n v="1"/>
    <n v="594577.22"/>
    <n v="5"/>
    <n v="4"/>
    <n v="3.8000000000000003"/>
    <x v="2"/>
  </r>
  <r>
    <n v="83"/>
    <x v="0"/>
    <n v="24412.07"/>
    <s v="C287098370"/>
    <n v="24412.07"/>
    <n v="0"/>
    <s v="C905119100"/>
    <n v="0"/>
    <n v="0"/>
    <n v="1"/>
    <n v="0"/>
    <n v="11"/>
    <n v="0"/>
    <n v="1"/>
    <n v="24412.07"/>
    <n v="2"/>
    <n v="5"/>
    <n v="2.6"/>
    <x v="0"/>
  </r>
  <r>
    <n v="83"/>
    <x v="1"/>
    <n v="24412.07"/>
    <s v="C451805271"/>
    <n v="24412.07"/>
    <n v="0"/>
    <s v="C75671301"/>
    <n v="1564103.49"/>
    <n v="1588515.56"/>
    <n v="1"/>
    <n v="0"/>
    <n v="11"/>
    <n v="0"/>
    <n v="1"/>
    <n v="24412.07"/>
    <n v="2"/>
    <n v="4"/>
    <n v="2.3000000000000003"/>
    <x v="0"/>
  </r>
  <r>
    <n v="83"/>
    <x v="0"/>
    <n v="286769.07"/>
    <s v="C1444107396"/>
    <n v="286769.07"/>
    <n v="0"/>
    <s v="C1562027253"/>
    <n v="0"/>
    <n v="0"/>
    <n v="1"/>
    <n v="0"/>
    <n v="11"/>
    <n v="0"/>
    <n v="1"/>
    <n v="286769.07"/>
    <n v="5"/>
    <n v="5"/>
    <n v="4.0999999999999996"/>
    <x v="2"/>
  </r>
  <r>
    <n v="83"/>
    <x v="1"/>
    <n v="286769.07"/>
    <s v="C1848884000"/>
    <n v="286769.07"/>
    <n v="0"/>
    <s v="C376115864"/>
    <n v="0"/>
    <n v="286769.07"/>
    <n v="1"/>
    <n v="0"/>
    <n v="11"/>
    <n v="0"/>
    <n v="1"/>
    <n v="286769.07"/>
    <n v="5"/>
    <n v="4"/>
    <n v="3.8000000000000003"/>
    <x v="2"/>
  </r>
  <r>
    <n v="83"/>
    <x v="0"/>
    <n v="365099.76"/>
    <s v="C426265650"/>
    <n v="365099.76"/>
    <n v="0"/>
    <s v="C2019200762"/>
    <n v="0"/>
    <n v="0"/>
    <n v="1"/>
    <n v="0"/>
    <n v="11"/>
    <n v="0"/>
    <n v="1"/>
    <n v="365099.76"/>
    <n v="5"/>
    <n v="5"/>
    <n v="4.0999999999999996"/>
    <x v="2"/>
  </r>
  <r>
    <n v="83"/>
    <x v="1"/>
    <n v="365099.76"/>
    <s v="C1936595952"/>
    <n v="365099.76"/>
    <n v="0"/>
    <s v="C1416319101"/>
    <n v="32745.23"/>
    <n v="397844.99"/>
    <n v="1"/>
    <n v="0"/>
    <n v="11"/>
    <n v="0"/>
    <n v="1"/>
    <n v="365099.76"/>
    <n v="5"/>
    <n v="4"/>
    <n v="3.8000000000000003"/>
    <x v="2"/>
  </r>
  <r>
    <n v="83"/>
    <x v="0"/>
    <n v="2498370.12"/>
    <s v="C1058391661"/>
    <n v="2498370.12"/>
    <n v="0"/>
    <s v="C167823915"/>
    <n v="0"/>
    <n v="0"/>
    <n v="1"/>
    <n v="0"/>
    <n v="11"/>
    <n v="0"/>
    <n v="1"/>
    <n v="2498370.12"/>
    <n v="5"/>
    <n v="5"/>
    <n v="4.0999999999999996"/>
    <x v="2"/>
  </r>
  <r>
    <n v="83"/>
    <x v="1"/>
    <n v="2498370.12"/>
    <s v="C1275891732"/>
    <n v="2498370.12"/>
    <n v="0"/>
    <s v="C989926584"/>
    <n v="2343446.7400000002"/>
    <n v="4841816.8600000003"/>
    <n v="1"/>
    <n v="0"/>
    <n v="11"/>
    <n v="0"/>
    <n v="1"/>
    <n v="2498370.12"/>
    <n v="5"/>
    <n v="4"/>
    <n v="3.8000000000000003"/>
    <x v="2"/>
  </r>
  <r>
    <n v="84"/>
    <x v="0"/>
    <n v="8380.7900000000009"/>
    <s v="C392060027"/>
    <n v="8380.7900000000009"/>
    <n v="0"/>
    <s v="C45705350"/>
    <n v="0"/>
    <n v="0"/>
    <n v="1"/>
    <n v="0"/>
    <n v="12"/>
    <n v="0"/>
    <n v="1"/>
    <n v="8380.7900000000009"/>
    <n v="1"/>
    <n v="5"/>
    <n v="2.1"/>
    <x v="0"/>
  </r>
  <r>
    <n v="84"/>
    <x v="1"/>
    <n v="8380.7900000000009"/>
    <s v="C342648059"/>
    <n v="8380.7900000000009"/>
    <n v="0"/>
    <s v="C825022387"/>
    <n v="0"/>
    <n v="8380.7900000000009"/>
    <n v="1"/>
    <n v="0"/>
    <n v="12"/>
    <n v="0"/>
    <n v="1"/>
    <n v="8380.7900000000009"/>
    <n v="1"/>
    <n v="4"/>
    <n v="1.8"/>
    <x v="1"/>
  </r>
  <r>
    <n v="84"/>
    <x v="0"/>
    <n v="2627070.5"/>
    <s v="C98299573"/>
    <n v="2627070.5"/>
    <n v="0"/>
    <s v="C323116662"/>
    <n v="0"/>
    <n v="0"/>
    <n v="1"/>
    <n v="0"/>
    <n v="12"/>
    <n v="0"/>
    <n v="1"/>
    <n v="2627070.5"/>
    <n v="5"/>
    <n v="5"/>
    <n v="4.0999999999999996"/>
    <x v="2"/>
  </r>
  <r>
    <n v="84"/>
    <x v="1"/>
    <n v="2627070.5"/>
    <s v="C771703338"/>
    <n v="2627070.5"/>
    <n v="0"/>
    <s v="C1350764838"/>
    <n v="463083.63"/>
    <n v="3090154.12"/>
    <n v="1"/>
    <n v="0"/>
    <n v="12"/>
    <n v="0"/>
    <n v="1"/>
    <n v="2627070.5"/>
    <n v="5"/>
    <n v="4"/>
    <n v="3.8000000000000003"/>
    <x v="2"/>
  </r>
  <r>
    <n v="84"/>
    <x v="0"/>
    <n v="39379.449999999997"/>
    <s v="C1110566935"/>
    <n v="39379.449999999997"/>
    <n v="0"/>
    <s v="C1210547818"/>
    <n v="0"/>
    <n v="0"/>
    <n v="1"/>
    <n v="0"/>
    <n v="12"/>
    <n v="0"/>
    <n v="1"/>
    <n v="39379.449999999997"/>
    <n v="2"/>
    <n v="5"/>
    <n v="2.6"/>
    <x v="0"/>
  </r>
  <r>
    <n v="84"/>
    <x v="1"/>
    <n v="39379.449999999997"/>
    <s v="C743472915"/>
    <n v="39379.449999999997"/>
    <n v="0"/>
    <s v="C165832169"/>
    <n v="188532.97"/>
    <n v="227912.43"/>
    <n v="1"/>
    <n v="0"/>
    <n v="12"/>
    <n v="0"/>
    <n v="1"/>
    <n v="39379.449999999997"/>
    <n v="2"/>
    <n v="4"/>
    <n v="2.3000000000000003"/>
    <x v="0"/>
  </r>
  <r>
    <n v="84"/>
    <x v="0"/>
    <n v="296349.8"/>
    <s v="C1660861590"/>
    <n v="296349.8"/>
    <n v="0"/>
    <s v="C852926396"/>
    <n v="0"/>
    <n v="0"/>
    <n v="1"/>
    <n v="0"/>
    <n v="12"/>
    <n v="0"/>
    <n v="1"/>
    <n v="296349.8"/>
    <n v="5"/>
    <n v="5"/>
    <n v="4.0999999999999996"/>
    <x v="2"/>
  </r>
  <r>
    <n v="84"/>
    <x v="1"/>
    <n v="296349.8"/>
    <s v="C1518895613"/>
    <n v="296349.8"/>
    <n v="0"/>
    <s v="C315643365"/>
    <n v="0"/>
    <n v="296349.8"/>
    <n v="1"/>
    <n v="0"/>
    <n v="12"/>
    <n v="0"/>
    <n v="1"/>
    <n v="296349.8"/>
    <n v="5"/>
    <n v="4"/>
    <n v="3.8000000000000003"/>
    <x v="2"/>
  </r>
  <r>
    <n v="84"/>
    <x v="0"/>
    <n v="152331.26"/>
    <s v="C397720555"/>
    <n v="152331.26"/>
    <n v="0"/>
    <s v="C1006668962"/>
    <n v="0"/>
    <n v="0"/>
    <n v="1"/>
    <n v="0"/>
    <n v="12"/>
    <n v="0"/>
    <n v="1"/>
    <n v="152331.26"/>
    <n v="4"/>
    <n v="5"/>
    <n v="3.6"/>
    <x v="2"/>
  </r>
  <r>
    <n v="84"/>
    <x v="1"/>
    <n v="152331.26"/>
    <s v="C942925545"/>
    <n v="152331.26"/>
    <n v="0"/>
    <s v="C1633587807"/>
    <n v="676868.23"/>
    <n v="829199.49"/>
    <n v="1"/>
    <n v="0"/>
    <n v="12"/>
    <n v="0"/>
    <n v="1"/>
    <n v="152331.26"/>
    <n v="4"/>
    <n v="4"/>
    <n v="3.3000000000000003"/>
    <x v="2"/>
  </r>
  <r>
    <n v="84"/>
    <x v="0"/>
    <n v="10000000"/>
    <s v="C792651637"/>
    <n v="14800000"/>
    <n v="4830219.1500000004"/>
    <s v="C397396936"/>
    <n v="0"/>
    <n v="0"/>
    <n v="1"/>
    <n v="0"/>
    <n v="12"/>
    <n v="1"/>
    <n v="0"/>
    <n v="9969780.8499999996"/>
    <n v="5"/>
    <n v="5"/>
    <n v="4.0999999999999996"/>
    <x v="2"/>
  </r>
  <r>
    <n v="84"/>
    <x v="1"/>
    <n v="10000000"/>
    <s v="C824646662"/>
    <n v="10000000"/>
    <n v="0"/>
    <s v="C1917849910"/>
    <n v="0"/>
    <n v="10000000"/>
    <n v="1"/>
    <n v="0"/>
    <n v="12"/>
    <n v="1"/>
    <n v="1"/>
    <n v="10000000"/>
    <n v="5"/>
    <n v="4"/>
    <n v="3.9000000000000004"/>
    <x v="2"/>
  </r>
  <r>
    <n v="84"/>
    <x v="0"/>
    <n v="4830219.1500000004"/>
    <s v="C58626602"/>
    <n v="4830219.1500000004"/>
    <n v="0"/>
    <s v="C1366192319"/>
    <n v="0"/>
    <n v="0"/>
    <n v="1"/>
    <n v="0"/>
    <n v="12"/>
    <n v="0"/>
    <n v="1"/>
    <n v="4830219.1500000004"/>
    <n v="5"/>
    <n v="5"/>
    <n v="4.0999999999999996"/>
    <x v="2"/>
  </r>
  <r>
    <n v="84"/>
    <x v="1"/>
    <n v="4830219.1500000004"/>
    <s v="C610088962"/>
    <n v="4830219.1500000004"/>
    <n v="0"/>
    <s v="C1925322228"/>
    <n v="0"/>
    <n v="4830219.1500000004"/>
    <n v="1"/>
    <n v="0"/>
    <n v="12"/>
    <n v="0"/>
    <n v="1"/>
    <n v="4830219.1500000004"/>
    <n v="5"/>
    <n v="4"/>
    <n v="3.8000000000000003"/>
    <x v="2"/>
  </r>
  <r>
    <n v="84"/>
    <x v="0"/>
    <n v="351912.04"/>
    <s v="C2080405171"/>
    <n v="351912.04"/>
    <n v="0"/>
    <s v="C1544738688"/>
    <n v="0"/>
    <n v="0"/>
    <n v="1"/>
    <n v="0"/>
    <n v="12"/>
    <n v="0"/>
    <n v="1"/>
    <n v="351912.04"/>
    <n v="5"/>
    <n v="5"/>
    <n v="4.0999999999999996"/>
    <x v="2"/>
  </r>
  <r>
    <n v="84"/>
    <x v="1"/>
    <n v="351912.04"/>
    <s v="C1976472089"/>
    <n v="351912.04"/>
    <n v="0"/>
    <s v="C920627879"/>
    <n v="196753.09"/>
    <n v="548665.13"/>
    <n v="1"/>
    <n v="0"/>
    <n v="12"/>
    <n v="0"/>
    <n v="1"/>
    <n v="351912.04"/>
    <n v="5"/>
    <n v="4"/>
    <n v="3.8000000000000003"/>
    <x v="2"/>
  </r>
  <r>
    <n v="85"/>
    <x v="0"/>
    <n v="64344.59"/>
    <s v="C47624520"/>
    <n v="64344.59"/>
    <n v="0"/>
    <s v="C572686074"/>
    <n v="0"/>
    <n v="0"/>
    <n v="1"/>
    <n v="0"/>
    <n v="13"/>
    <n v="0"/>
    <n v="1"/>
    <n v="64344.59"/>
    <n v="3"/>
    <n v="5"/>
    <n v="3.1"/>
    <x v="2"/>
  </r>
  <r>
    <n v="85"/>
    <x v="1"/>
    <n v="64344.59"/>
    <s v="C1334187064"/>
    <n v="64344.59"/>
    <n v="0"/>
    <s v="C719763224"/>
    <n v="0"/>
    <n v="64344.59"/>
    <n v="1"/>
    <n v="0"/>
    <n v="13"/>
    <n v="0"/>
    <n v="1"/>
    <n v="64344.59"/>
    <n v="3"/>
    <n v="4"/>
    <n v="2.8000000000000003"/>
    <x v="0"/>
  </r>
  <r>
    <n v="85"/>
    <x v="0"/>
    <n v="4094.07"/>
    <s v="C810305173"/>
    <n v="4094.07"/>
    <n v="0"/>
    <s v="C600417404"/>
    <n v="0"/>
    <n v="0"/>
    <n v="1"/>
    <n v="0"/>
    <n v="13"/>
    <n v="0"/>
    <n v="1"/>
    <n v="4094.07"/>
    <n v="1"/>
    <n v="5"/>
    <n v="2.1"/>
    <x v="0"/>
  </r>
  <r>
    <n v="85"/>
    <x v="1"/>
    <n v="4094.07"/>
    <s v="C823346399"/>
    <n v="4094.07"/>
    <n v="0"/>
    <s v="C1910586925"/>
    <n v="296534.2"/>
    <n v="300628.27"/>
    <n v="1"/>
    <n v="0"/>
    <n v="13"/>
    <n v="0"/>
    <n v="1"/>
    <n v="4094.07"/>
    <n v="1"/>
    <n v="4"/>
    <n v="1.8"/>
    <x v="1"/>
  </r>
  <r>
    <n v="85"/>
    <x v="0"/>
    <n v="167679.26999999999"/>
    <s v="C108588868"/>
    <n v="167679.26999999999"/>
    <n v="0"/>
    <s v="C944240643"/>
    <n v="0"/>
    <n v="0"/>
    <n v="1"/>
    <n v="0"/>
    <n v="13"/>
    <n v="0"/>
    <n v="1"/>
    <n v="167679.26999999999"/>
    <n v="4"/>
    <n v="5"/>
    <n v="3.6"/>
    <x v="2"/>
  </r>
  <r>
    <n v="85"/>
    <x v="1"/>
    <n v="167679.26999999999"/>
    <s v="C2032147559"/>
    <n v="167679.26999999999"/>
    <n v="0"/>
    <s v="C599607213"/>
    <n v="165580.60999999999"/>
    <n v="333259.88"/>
    <n v="1"/>
    <n v="0"/>
    <n v="13"/>
    <n v="0"/>
    <n v="1"/>
    <n v="167679.26999999999"/>
    <n v="4"/>
    <n v="4"/>
    <n v="3.3000000000000003"/>
    <x v="2"/>
  </r>
  <r>
    <n v="85"/>
    <x v="0"/>
    <n v="678058.75"/>
    <s v="C722109752"/>
    <n v="678058.75"/>
    <n v="0"/>
    <s v="C43114733"/>
    <n v="0"/>
    <n v="0"/>
    <n v="1"/>
    <n v="0"/>
    <n v="13"/>
    <n v="0"/>
    <n v="1"/>
    <n v="678058.75"/>
    <n v="5"/>
    <n v="5"/>
    <n v="4.0999999999999996"/>
    <x v="2"/>
  </r>
  <r>
    <n v="85"/>
    <x v="1"/>
    <n v="678058.75"/>
    <s v="C9701690"/>
    <n v="678058.75"/>
    <n v="0"/>
    <s v="C617022852"/>
    <n v="7175958.3600000003"/>
    <n v="7854017.1100000003"/>
    <n v="1"/>
    <n v="0"/>
    <n v="13"/>
    <n v="0"/>
    <n v="1"/>
    <n v="678058.75"/>
    <n v="5"/>
    <n v="4"/>
    <n v="3.8000000000000003"/>
    <x v="2"/>
  </r>
  <r>
    <n v="85"/>
    <x v="0"/>
    <n v="1529614.71"/>
    <s v="C1096275107"/>
    <n v="1529614.71"/>
    <n v="0"/>
    <s v="C541691384"/>
    <n v="0"/>
    <n v="0"/>
    <n v="1"/>
    <n v="0"/>
    <n v="13"/>
    <n v="0"/>
    <n v="1"/>
    <n v="1529614.71"/>
    <n v="5"/>
    <n v="5"/>
    <n v="4.0999999999999996"/>
    <x v="2"/>
  </r>
  <r>
    <n v="85"/>
    <x v="1"/>
    <n v="1529614.71"/>
    <s v="C955071434"/>
    <n v="1529614.71"/>
    <n v="0"/>
    <s v="C865727492"/>
    <n v="0"/>
    <n v="1529614.71"/>
    <n v="1"/>
    <n v="0"/>
    <n v="13"/>
    <n v="0"/>
    <n v="1"/>
    <n v="1529614.71"/>
    <n v="5"/>
    <n v="4"/>
    <n v="3.8000000000000003"/>
    <x v="2"/>
  </r>
  <r>
    <n v="85"/>
    <x v="0"/>
    <n v="1440705.58"/>
    <s v="C1202805418"/>
    <n v="1440705.58"/>
    <n v="0"/>
    <s v="C1429653947"/>
    <n v="0"/>
    <n v="0"/>
    <n v="1"/>
    <n v="0"/>
    <n v="13"/>
    <n v="0"/>
    <n v="1"/>
    <n v="1440705.58"/>
    <n v="5"/>
    <n v="5"/>
    <n v="4.0999999999999996"/>
    <x v="2"/>
  </r>
  <r>
    <n v="85"/>
    <x v="1"/>
    <n v="1440705.58"/>
    <s v="C1733056191"/>
    <n v="1440705.58"/>
    <n v="0"/>
    <s v="C1061971573"/>
    <n v="0"/>
    <n v="1440705.58"/>
    <n v="1"/>
    <n v="0"/>
    <n v="13"/>
    <n v="0"/>
    <n v="1"/>
    <n v="1440705.58"/>
    <n v="5"/>
    <n v="4"/>
    <n v="3.8000000000000003"/>
    <x v="2"/>
  </r>
  <r>
    <n v="85"/>
    <x v="0"/>
    <n v="8924971.5899999999"/>
    <s v="C406938681"/>
    <n v="8924971.5899999999"/>
    <n v="0"/>
    <s v="C579440834"/>
    <n v="0"/>
    <n v="0"/>
    <n v="1"/>
    <n v="0"/>
    <n v="13"/>
    <n v="0"/>
    <n v="1"/>
    <n v="8924971.5899999999"/>
    <n v="5"/>
    <n v="5"/>
    <n v="4.0999999999999996"/>
    <x v="2"/>
  </r>
  <r>
    <n v="85"/>
    <x v="1"/>
    <n v="8924971.5899999999"/>
    <s v="C1227042704"/>
    <n v="8924971.5899999999"/>
    <n v="0"/>
    <s v="C585705042"/>
    <n v="59990.3"/>
    <n v="8984961.8900000006"/>
    <n v="1"/>
    <n v="0"/>
    <n v="13"/>
    <n v="0"/>
    <n v="1"/>
    <n v="8924971.5899999999"/>
    <n v="5"/>
    <n v="4"/>
    <n v="3.8000000000000003"/>
    <x v="2"/>
  </r>
  <r>
    <n v="86"/>
    <x v="0"/>
    <n v="305817.12"/>
    <s v="C1107960128"/>
    <n v="305817.12"/>
    <n v="0"/>
    <s v="C76175380"/>
    <n v="0"/>
    <n v="0"/>
    <n v="1"/>
    <n v="0"/>
    <n v="14"/>
    <n v="0"/>
    <n v="1"/>
    <n v="305817.12"/>
    <n v="5"/>
    <n v="5"/>
    <n v="4.0999999999999996"/>
    <x v="2"/>
  </r>
  <r>
    <n v="86"/>
    <x v="1"/>
    <n v="305817.12"/>
    <s v="C337026029"/>
    <n v="305817.12"/>
    <n v="0"/>
    <s v="C1022926752"/>
    <n v="0"/>
    <n v="305817.12"/>
    <n v="1"/>
    <n v="0"/>
    <n v="14"/>
    <n v="0"/>
    <n v="1"/>
    <n v="305817.12"/>
    <n v="5"/>
    <n v="4"/>
    <n v="3.8000000000000003"/>
    <x v="2"/>
  </r>
  <r>
    <n v="86"/>
    <x v="0"/>
    <n v="10000000"/>
    <s v="C1843531771"/>
    <n v="18900000"/>
    <n v="8931607.8900000006"/>
    <s v="C632110164"/>
    <n v="0"/>
    <n v="0"/>
    <n v="1"/>
    <n v="0"/>
    <n v="14"/>
    <n v="1"/>
    <n v="0"/>
    <n v="9968392.1099999994"/>
    <n v="5"/>
    <n v="5"/>
    <n v="4.0999999999999996"/>
    <x v="2"/>
  </r>
  <r>
    <n v="86"/>
    <x v="1"/>
    <n v="10000000"/>
    <s v="C538142346"/>
    <n v="10000000"/>
    <n v="0"/>
    <s v="C557678014"/>
    <n v="0"/>
    <n v="10000000"/>
    <n v="1"/>
    <n v="0"/>
    <n v="14"/>
    <n v="1"/>
    <n v="1"/>
    <n v="10000000"/>
    <n v="5"/>
    <n v="4"/>
    <n v="3.9000000000000004"/>
    <x v="2"/>
  </r>
  <r>
    <n v="86"/>
    <x v="0"/>
    <n v="8931607.8900000006"/>
    <s v="C1230337572"/>
    <n v="8931607.8900000006"/>
    <n v="0"/>
    <s v="C720836200"/>
    <n v="0"/>
    <n v="0"/>
    <n v="1"/>
    <n v="0"/>
    <n v="14"/>
    <n v="0"/>
    <n v="1"/>
    <n v="8931607.8900000006"/>
    <n v="5"/>
    <n v="5"/>
    <n v="4.0999999999999996"/>
    <x v="2"/>
  </r>
  <r>
    <n v="86"/>
    <x v="1"/>
    <n v="8931607.8900000006"/>
    <s v="C849209216"/>
    <n v="8931607.8900000006"/>
    <n v="0"/>
    <s v="C754619416"/>
    <n v="141515.57"/>
    <n v="9073123.4600000009"/>
    <n v="1"/>
    <n v="0"/>
    <n v="14"/>
    <n v="0"/>
    <n v="1"/>
    <n v="8931607.8900000006"/>
    <n v="5"/>
    <n v="4"/>
    <n v="3.8000000000000003"/>
    <x v="2"/>
  </r>
  <r>
    <n v="86"/>
    <x v="0"/>
    <n v="21829.31"/>
    <s v="C1342024703"/>
    <n v="21829.31"/>
    <n v="0"/>
    <s v="C1828683068"/>
    <n v="0"/>
    <n v="0"/>
    <n v="1"/>
    <n v="0"/>
    <n v="14"/>
    <n v="0"/>
    <n v="1"/>
    <n v="21829.31"/>
    <n v="2"/>
    <n v="5"/>
    <n v="2.6"/>
    <x v="0"/>
  </r>
  <r>
    <n v="86"/>
    <x v="1"/>
    <n v="21829.31"/>
    <s v="C1952555964"/>
    <n v="21829.31"/>
    <n v="0"/>
    <s v="C1702948277"/>
    <n v="357009.54"/>
    <n v="378838.85"/>
    <n v="1"/>
    <n v="0"/>
    <n v="14"/>
    <n v="0"/>
    <n v="1"/>
    <n v="21829.31"/>
    <n v="2"/>
    <n v="4"/>
    <n v="2.3000000000000003"/>
    <x v="0"/>
  </r>
  <r>
    <n v="86"/>
    <x v="0"/>
    <n v="6972164.9699999997"/>
    <s v="C384245570"/>
    <n v="6972164.9699999997"/>
    <n v="0"/>
    <s v="C898480186"/>
    <n v="0"/>
    <n v="0"/>
    <n v="1"/>
    <n v="0"/>
    <n v="14"/>
    <n v="0"/>
    <n v="1"/>
    <n v="6972164.9699999997"/>
    <n v="5"/>
    <n v="5"/>
    <n v="4.0999999999999996"/>
    <x v="2"/>
  </r>
  <r>
    <n v="86"/>
    <x v="1"/>
    <n v="6972164.9699999997"/>
    <s v="C1268472825"/>
    <n v="6972164.9699999997"/>
    <n v="0"/>
    <s v="C2126149202"/>
    <n v="5680.28"/>
    <n v="6977845.25"/>
    <n v="1"/>
    <n v="0"/>
    <n v="14"/>
    <n v="0"/>
    <n v="1"/>
    <n v="6972164.9699999997"/>
    <n v="5"/>
    <n v="4"/>
    <n v="3.8000000000000003"/>
    <x v="2"/>
  </r>
  <r>
    <n v="86"/>
    <x v="0"/>
    <n v="17822.02"/>
    <s v="C1763423014"/>
    <n v="17822.02"/>
    <n v="0"/>
    <s v="C2088891396"/>
    <n v="0"/>
    <n v="0"/>
    <n v="1"/>
    <n v="0"/>
    <n v="14"/>
    <n v="0"/>
    <n v="1"/>
    <n v="17822.02"/>
    <n v="2"/>
    <n v="5"/>
    <n v="2.6"/>
    <x v="0"/>
  </r>
  <r>
    <n v="86"/>
    <x v="1"/>
    <n v="17822.02"/>
    <s v="C270438906"/>
    <n v="17822.02"/>
    <n v="0"/>
    <s v="C976082192"/>
    <n v="2619609.5299999998"/>
    <n v="2637431.5499999998"/>
    <n v="1"/>
    <n v="0"/>
    <n v="14"/>
    <n v="0"/>
    <n v="1"/>
    <n v="17822.02"/>
    <n v="2"/>
    <n v="4"/>
    <n v="2.3000000000000003"/>
    <x v="0"/>
  </r>
  <r>
    <n v="86"/>
    <x v="0"/>
    <n v="88649.1"/>
    <s v="C1043173812"/>
    <n v="88649.1"/>
    <n v="0"/>
    <s v="C1425524479"/>
    <n v="0"/>
    <n v="0"/>
    <n v="1"/>
    <n v="0"/>
    <n v="14"/>
    <n v="0"/>
    <n v="1"/>
    <n v="88649.1"/>
    <n v="3"/>
    <n v="5"/>
    <n v="3.1"/>
    <x v="2"/>
  </r>
  <r>
    <n v="86"/>
    <x v="1"/>
    <n v="88649.1"/>
    <s v="C796414235"/>
    <n v="88649.1"/>
    <n v="0"/>
    <s v="C1743229382"/>
    <n v="2239755.86"/>
    <n v="2328404.96"/>
    <n v="1"/>
    <n v="0"/>
    <n v="14"/>
    <n v="0"/>
    <n v="1"/>
    <n v="88649.1"/>
    <n v="3"/>
    <n v="4"/>
    <n v="2.8000000000000003"/>
    <x v="0"/>
  </r>
  <r>
    <n v="86"/>
    <x v="0"/>
    <n v="372344.58"/>
    <s v="C466502993"/>
    <n v="372344.58"/>
    <n v="0"/>
    <s v="C1376830476"/>
    <n v="0"/>
    <n v="0"/>
    <n v="1"/>
    <n v="0"/>
    <n v="14"/>
    <n v="0"/>
    <n v="1"/>
    <n v="372344.58"/>
    <n v="5"/>
    <n v="5"/>
    <n v="4.0999999999999996"/>
    <x v="2"/>
  </r>
  <r>
    <n v="86"/>
    <x v="1"/>
    <n v="372344.58"/>
    <s v="C2134607507"/>
    <n v="372344.58"/>
    <n v="0"/>
    <s v="C950019767"/>
    <n v="0"/>
    <n v="372344.58"/>
    <n v="1"/>
    <n v="0"/>
    <n v="14"/>
    <n v="0"/>
    <n v="1"/>
    <n v="372344.58"/>
    <n v="5"/>
    <n v="4"/>
    <n v="3.8000000000000003"/>
    <x v="2"/>
  </r>
  <r>
    <n v="86"/>
    <x v="0"/>
    <n v="72547.289999999994"/>
    <s v="C759761137"/>
    <n v="72547.289999999994"/>
    <n v="0"/>
    <s v="C1046167270"/>
    <n v="0"/>
    <n v="0"/>
    <n v="1"/>
    <n v="0"/>
    <n v="14"/>
    <n v="0"/>
    <n v="1"/>
    <n v="72547.289999999994"/>
    <n v="3"/>
    <n v="5"/>
    <n v="3.1"/>
    <x v="2"/>
  </r>
  <r>
    <n v="86"/>
    <x v="1"/>
    <n v="72547.289999999994"/>
    <s v="C1087665354"/>
    <n v="72547.289999999994"/>
    <n v="0"/>
    <s v="C121215038"/>
    <n v="79736.28"/>
    <n v="152283.57"/>
    <n v="1"/>
    <n v="0"/>
    <n v="14"/>
    <n v="0"/>
    <n v="1"/>
    <n v="72547.289999999994"/>
    <n v="3"/>
    <n v="4"/>
    <n v="2.8000000000000003"/>
    <x v="0"/>
  </r>
  <r>
    <n v="87"/>
    <x v="0"/>
    <n v="114339.1"/>
    <s v="C702109004"/>
    <n v="114339.1"/>
    <n v="0"/>
    <s v="C1385287774"/>
    <n v="0"/>
    <n v="0"/>
    <n v="1"/>
    <n v="0"/>
    <n v="15"/>
    <n v="0"/>
    <n v="1"/>
    <n v="114339.1"/>
    <n v="4"/>
    <n v="5"/>
    <n v="3.6"/>
    <x v="2"/>
  </r>
  <r>
    <n v="87"/>
    <x v="1"/>
    <n v="114339.1"/>
    <s v="C183849466"/>
    <n v="114339.1"/>
    <n v="0"/>
    <s v="C1798936808"/>
    <n v="41413.230000000003"/>
    <n v="155752.32999999999"/>
    <n v="1"/>
    <n v="0"/>
    <n v="15"/>
    <n v="0"/>
    <n v="1"/>
    <n v="114339.1"/>
    <n v="4"/>
    <n v="4"/>
    <n v="3.3000000000000003"/>
    <x v="2"/>
  </r>
  <r>
    <n v="87"/>
    <x v="0"/>
    <n v="1083860.21"/>
    <s v="C1872678613"/>
    <n v="1083860.21"/>
    <n v="0"/>
    <s v="C1669827303"/>
    <n v="0"/>
    <n v="0"/>
    <n v="1"/>
    <n v="0"/>
    <n v="15"/>
    <n v="0"/>
    <n v="1"/>
    <n v="1083860.21"/>
    <n v="5"/>
    <n v="5"/>
    <n v="4.0999999999999996"/>
    <x v="2"/>
  </r>
  <r>
    <n v="87"/>
    <x v="1"/>
    <n v="1083860.21"/>
    <s v="C202343880"/>
    <n v="1083860.21"/>
    <n v="0"/>
    <s v="C1389958255"/>
    <n v="0"/>
    <n v="1083860.21"/>
    <n v="1"/>
    <n v="0"/>
    <n v="15"/>
    <n v="0"/>
    <n v="1"/>
    <n v="1083860.21"/>
    <n v="5"/>
    <n v="4"/>
    <n v="3.8000000000000003"/>
    <x v="2"/>
  </r>
  <r>
    <n v="87"/>
    <x v="0"/>
    <n v="115461.48"/>
    <s v="C1864352304"/>
    <n v="115461.48"/>
    <n v="0"/>
    <s v="C238575749"/>
    <n v="0"/>
    <n v="0"/>
    <n v="1"/>
    <n v="0"/>
    <n v="15"/>
    <n v="0"/>
    <n v="1"/>
    <n v="115461.48"/>
    <n v="4"/>
    <n v="5"/>
    <n v="3.6"/>
    <x v="2"/>
  </r>
  <r>
    <n v="87"/>
    <x v="1"/>
    <n v="115461.48"/>
    <s v="C1329935528"/>
    <n v="115461.48"/>
    <n v="0"/>
    <s v="C1434520582"/>
    <n v="21619.279999999999"/>
    <n v="137080.75"/>
    <n v="1"/>
    <n v="0"/>
    <n v="15"/>
    <n v="0"/>
    <n v="1"/>
    <n v="115461.48"/>
    <n v="4"/>
    <n v="4"/>
    <n v="3.3000000000000003"/>
    <x v="2"/>
  </r>
  <r>
    <n v="88"/>
    <x v="0"/>
    <n v="9345700.0700000003"/>
    <s v="C1453976647"/>
    <n v="9345700.0700000003"/>
    <n v="0"/>
    <s v="C1454683123"/>
    <n v="0"/>
    <n v="0"/>
    <n v="1"/>
    <n v="0"/>
    <n v="16"/>
    <n v="0"/>
    <n v="1"/>
    <n v="9345700.0700000003"/>
    <n v="5"/>
    <n v="5"/>
    <n v="4.0999999999999996"/>
    <x v="2"/>
  </r>
  <r>
    <n v="88"/>
    <x v="1"/>
    <n v="9345700.0700000003"/>
    <s v="C399518124"/>
    <n v="9345700.0700000003"/>
    <n v="0"/>
    <s v="C2125071302"/>
    <n v="8922060.4299999997"/>
    <n v="18300000"/>
    <n v="1"/>
    <n v="0"/>
    <n v="16"/>
    <n v="0"/>
    <n v="1"/>
    <n v="9345700.0700000003"/>
    <n v="5"/>
    <n v="4"/>
    <n v="3.8000000000000003"/>
    <x v="2"/>
  </r>
  <r>
    <n v="88"/>
    <x v="0"/>
    <n v="337994.64"/>
    <s v="C425422557"/>
    <n v="337994.64"/>
    <n v="0"/>
    <s v="C1375508405"/>
    <n v="0"/>
    <n v="0"/>
    <n v="1"/>
    <n v="0"/>
    <n v="16"/>
    <n v="0"/>
    <n v="1"/>
    <n v="337994.64"/>
    <n v="5"/>
    <n v="5"/>
    <n v="4.0999999999999996"/>
    <x v="2"/>
  </r>
  <r>
    <n v="88"/>
    <x v="1"/>
    <n v="337994.64"/>
    <s v="C889382301"/>
    <n v="337994.64"/>
    <n v="0"/>
    <s v="C3107126"/>
    <n v="0"/>
    <n v="337994.64"/>
    <n v="1"/>
    <n v="0"/>
    <n v="16"/>
    <n v="0"/>
    <n v="1"/>
    <n v="337994.64"/>
    <n v="5"/>
    <n v="4"/>
    <n v="3.8000000000000003"/>
    <x v="2"/>
  </r>
  <r>
    <n v="88"/>
    <x v="0"/>
    <n v="4022408.76"/>
    <s v="C743505070"/>
    <n v="4022408.76"/>
    <n v="0"/>
    <s v="C1234529860"/>
    <n v="0"/>
    <n v="0"/>
    <n v="1"/>
    <n v="0"/>
    <n v="16"/>
    <n v="0"/>
    <n v="1"/>
    <n v="4022408.76"/>
    <n v="5"/>
    <n v="5"/>
    <n v="4.0999999999999996"/>
    <x v="2"/>
  </r>
  <r>
    <n v="88"/>
    <x v="1"/>
    <n v="4022408.76"/>
    <s v="C987446721"/>
    <n v="4022408.76"/>
    <n v="0"/>
    <s v="C1981613973"/>
    <n v="4542879.5"/>
    <n v="8565288.2599999998"/>
    <n v="1"/>
    <n v="0"/>
    <n v="16"/>
    <n v="0"/>
    <n v="1"/>
    <n v="4022408.76"/>
    <n v="5"/>
    <n v="4"/>
    <n v="3.8000000000000003"/>
    <x v="2"/>
  </r>
  <r>
    <n v="88"/>
    <x v="0"/>
    <n v="3607917.73"/>
    <s v="C2016707009"/>
    <n v="3607917.73"/>
    <n v="0"/>
    <s v="C1883647961"/>
    <n v="0"/>
    <n v="0"/>
    <n v="1"/>
    <n v="0"/>
    <n v="16"/>
    <n v="0"/>
    <n v="1"/>
    <n v="3607917.73"/>
    <n v="5"/>
    <n v="5"/>
    <n v="4.0999999999999996"/>
    <x v="2"/>
  </r>
  <r>
    <n v="88"/>
    <x v="1"/>
    <n v="3607917.73"/>
    <s v="C1513663831"/>
    <n v="3607917.73"/>
    <n v="0"/>
    <s v="C1935735129"/>
    <n v="8391754.1300000008"/>
    <n v="12000000"/>
    <n v="1"/>
    <n v="0"/>
    <n v="16"/>
    <n v="0"/>
    <n v="1"/>
    <n v="3607917.73"/>
    <n v="5"/>
    <n v="4"/>
    <n v="3.8000000000000003"/>
    <x v="2"/>
  </r>
  <r>
    <n v="89"/>
    <x v="0"/>
    <n v="766631.82"/>
    <s v="C112075481"/>
    <n v="766631.82"/>
    <n v="0"/>
    <s v="C1906745138"/>
    <n v="0"/>
    <n v="0"/>
    <n v="1"/>
    <n v="0"/>
    <n v="17"/>
    <n v="0"/>
    <n v="1"/>
    <n v="766631.82"/>
    <n v="5"/>
    <n v="5"/>
    <n v="4.0999999999999996"/>
    <x v="2"/>
  </r>
  <r>
    <n v="89"/>
    <x v="1"/>
    <n v="766631.82"/>
    <s v="C876716683"/>
    <n v="766631.82"/>
    <n v="0"/>
    <s v="C1473416514"/>
    <n v="0"/>
    <n v="766631.82"/>
    <n v="1"/>
    <n v="0"/>
    <n v="17"/>
    <n v="0"/>
    <n v="1"/>
    <n v="766631.82"/>
    <n v="5"/>
    <n v="4"/>
    <n v="3.8000000000000003"/>
    <x v="2"/>
  </r>
  <r>
    <n v="89"/>
    <x v="0"/>
    <n v="43928.31"/>
    <s v="C1832804428"/>
    <n v="43928.31"/>
    <n v="0"/>
    <s v="C1373339236"/>
    <n v="0"/>
    <n v="0"/>
    <n v="1"/>
    <n v="0"/>
    <n v="17"/>
    <n v="0"/>
    <n v="1"/>
    <n v="43928.31"/>
    <n v="2"/>
    <n v="5"/>
    <n v="2.6"/>
    <x v="0"/>
  </r>
  <r>
    <n v="89"/>
    <x v="1"/>
    <n v="43928.31"/>
    <s v="C2129914105"/>
    <n v="43928.31"/>
    <n v="0"/>
    <s v="C170080123"/>
    <n v="0"/>
    <n v="43928.31"/>
    <n v="1"/>
    <n v="0"/>
    <n v="17"/>
    <n v="0"/>
    <n v="1"/>
    <n v="43928.31"/>
    <n v="2"/>
    <n v="4"/>
    <n v="2.3000000000000003"/>
    <x v="0"/>
  </r>
  <r>
    <n v="89"/>
    <x v="0"/>
    <n v="268230.43"/>
    <s v="C163362068"/>
    <n v="268230.43"/>
    <n v="0"/>
    <s v="C2101762472"/>
    <n v="0"/>
    <n v="0"/>
    <n v="1"/>
    <n v="0"/>
    <n v="17"/>
    <n v="0"/>
    <n v="1"/>
    <n v="268230.43"/>
    <n v="5"/>
    <n v="5"/>
    <n v="4.0999999999999996"/>
    <x v="2"/>
  </r>
  <r>
    <n v="89"/>
    <x v="1"/>
    <n v="268230.43"/>
    <s v="C810552146"/>
    <n v="268230.43"/>
    <n v="0"/>
    <s v="C400913352"/>
    <n v="0"/>
    <n v="268230.43"/>
    <n v="1"/>
    <n v="0"/>
    <n v="17"/>
    <n v="0"/>
    <n v="1"/>
    <n v="268230.43"/>
    <n v="5"/>
    <n v="4"/>
    <n v="3.8000000000000003"/>
    <x v="2"/>
  </r>
  <r>
    <n v="90"/>
    <x v="0"/>
    <n v="1182557.97"/>
    <s v="C787624212"/>
    <n v="1182557.97"/>
    <n v="0"/>
    <s v="C707993034"/>
    <n v="0"/>
    <n v="0"/>
    <n v="1"/>
    <n v="0"/>
    <n v="18"/>
    <n v="0"/>
    <n v="1"/>
    <n v="1182557.97"/>
    <n v="5"/>
    <n v="5"/>
    <n v="4.0999999999999996"/>
    <x v="2"/>
  </r>
  <r>
    <n v="90"/>
    <x v="1"/>
    <n v="1182557.97"/>
    <s v="C1336389651"/>
    <n v="1182557.97"/>
    <n v="0"/>
    <s v="C4347362"/>
    <n v="141273.74"/>
    <n v="1323831.71"/>
    <n v="1"/>
    <n v="0"/>
    <n v="18"/>
    <n v="0"/>
    <n v="1"/>
    <n v="1182557.97"/>
    <n v="5"/>
    <n v="4"/>
    <n v="3.8000000000000003"/>
    <x v="2"/>
  </r>
  <r>
    <n v="90"/>
    <x v="0"/>
    <n v="113309.55"/>
    <s v="C20934995"/>
    <n v="113309.55"/>
    <n v="0"/>
    <s v="C601864422"/>
    <n v="0"/>
    <n v="0"/>
    <n v="1"/>
    <n v="0"/>
    <n v="18"/>
    <n v="0"/>
    <n v="1"/>
    <n v="113309.55"/>
    <n v="4"/>
    <n v="5"/>
    <n v="3.6"/>
    <x v="2"/>
  </r>
  <r>
    <n v="90"/>
    <x v="1"/>
    <n v="113309.55"/>
    <s v="C1936469791"/>
    <n v="113309.55"/>
    <n v="0"/>
    <s v="C471979620"/>
    <n v="0"/>
    <n v="113309.55"/>
    <n v="1"/>
    <n v="0"/>
    <n v="18"/>
    <n v="0"/>
    <n v="1"/>
    <n v="113309.55"/>
    <n v="4"/>
    <n v="4"/>
    <n v="3.3000000000000003"/>
    <x v="2"/>
  </r>
  <r>
    <n v="90"/>
    <x v="0"/>
    <n v="703833.48"/>
    <s v="C199695016"/>
    <n v="703833.48"/>
    <n v="0"/>
    <s v="C1584778754"/>
    <n v="0"/>
    <n v="0"/>
    <n v="1"/>
    <n v="0"/>
    <n v="18"/>
    <n v="0"/>
    <n v="1"/>
    <n v="703833.48"/>
    <n v="5"/>
    <n v="5"/>
    <n v="4.0999999999999996"/>
    <x v="2"/>
  </r>
  <r>
    <n v="90"/>
    <x v="1"/>
    <n v="703833.48"/>
    <s v="C973257095"/>
    <n v="703833.48"/>
    <n v="0"/>
    <s v="C782817814"/>
    <n v="0"/>
    <n v="703833.48"/>
    <n v="1"/>
    <n v="0"/>
    <n v="18"/>
    <n v="0"/>
    <n v="1"/>
    <n v="703833.48"/>
    <n v="5"/>
    <n v="4"/>
    <n v="3.8000000000000003"/>
    <x v="2"/>
  </r>
  <r>
    <n v="90"/>
    <x v="0"/>
    <n v="134515.35999999999"/>
    <s v="C1087234685"/>
    <n v="134515.35999999999"/>
    <n v="0"/>
    <s v="C271149484"/>
    <n v="0"/>
    <n v="0"/>
    <n v="1"/>
    <n v="0"/>
    <n v="18"/>
    <n v="0"/>
    <n v="1"/>
    <n v="134515.35999999999"/>
    <n v="4"/>
    <n v="5"/>
    <n v="3.6"/>
    <x v="2"/>
  </r>
  <r>
    <n v="90"/>
    <x v="1"/>
    <n v="134515.35999999999"/>
    <s v="C1389046188"/>
    <n v="134515.35999999999"/>
    <n v="0"/>
    <s v="C257288692"/>
    <n v="29488.06"/>
    <n v="164003.41"/>
    <n v="1"/>
    <n v="0"/>
    <n v="18"/>
    <n v="0"/>
    <n v="1"/>
    <n v="134515.35999999999"/>
    <n v="4"/>
    <n v="4"/>
    <n v="3.3000000000000003"/>
    <x v="2"/>
  </r>
  <r>
    <n v="90"/>
    <x v="0"/>
    <n v="266746.42"/>
    <s v="C1640647431"/>
    <n v="266746.42"/>
    <n v="0"/>
    <s v="C1995045376"/>
    <n v="0"/>
    <n v="0"/>
    <n v="1"/>
    <n v="0"/>
    <n v="18"/>
    <n v="0"/>
    <n v="1"/>
    <n v="266746.42"/>
    <n v="5"/>
    <n v="5"/>
    <n v="4.0999999999999996"/>
    <x v="2"/>
  </r>
  <r>
    <n v="90"/>
    <x v="1"/>
    <n v="266746.42"/>
    <s v="C1311443000"/>
    <n v="266746.42"/>
    <n v="0"/>
    <s v="C1414013313"/>
    <n v="4433931.7699999996"/>
    <n v="4700678.1900000004"/>
    <n v="1"/>
    <n v="0"/>
    <n v="18"/>
    <n v="0"/>
    <n v="1"/>
    <n v="266746.42"/>
    <n v="5"/>
    <n v="4"/>
    <n v="3.8000000000000003"/>
    <x v="2"/>
  </r>
  <r>
    <n v="90"/>
    <x v="0"/>
    <n v="7696836.3499999996"/>
    <s v="C1641731466"/>
    <n v="7696836.3499999996"/>
    <n v="0"/>
    <s v="C290559240"/>
    <n v="0"/>
    <n v="0"/>
    <n v="1"/>
    <n v="0"/>
    <n v="18"/>
    <n v="0"/>
    <n v="1"/>
    <n v="7696836.3499999996"/>
    <n v="5"/>
    <n v="5"/>
    <n v="4.0999999999999996"/>
    <x v="2"/>
  </r>
  <r>
    <n v="90"/>
    <x v="1"/>
    <n v="7696836.3499999996"/>
    <s v="C1784092244"/>
    <n v="7696836.3499999996"/>
    <n v="0"/>
    <s v="C646123724"/>
    <n v="180993.45"/>
    <n v="7877829.7999999998"/>
    <n v="1"/>
    <n v="0"/>
    <n v="18"/>
    <n v="0"/>
    <n v="1"/>
    <n v="7696836.3499999996"/>
    <n v="5"/>
    <n v="4"/>
    <n v="3.8000000000000003"/>
    <x v="2"/>
  </r>
  <r>
    <n v="90"/>
    <x v="0"/>
    <n v="39664.74"/>
    <s v="C1509358186"/>
    <n v="39664.74"/>
    <n v="0"/>
    <s v="C2068734277"/>
    <n v="0"/>
    <n v="0"/>
    <n v="1"/>
    <n v="0"/>
    <n v="18"/>
    <n v="0"/>
    <n v="1"/>
    <n v="39664.74"/>
    <n v="2"/>
    <n v="5"/>
    <n v="2.6"/>
    <x v="0"/>
  </r>
  <r>
    <n v="90"/>
    <x v="1"/>
    <n v="39664.74"/>
    <s v="C1334465444"/>
    <n v="39664.74"/>
    <n v="0"/>
    <s v="C247088283"/>
    <n v="0"/>
    <n v="39664.74"/>
    <n v="1"/>
    <n v="0"/>
    <n v="18"/>
    <n v="0"/>
    <n v="1"/>
    <n v="39664.74"/>
    <n v="2"/>
    <n v="4"/>
    <n v="2.3000000000000003"/>
    <x v="0"/>
  </r>
  <r>
    <n v="90"/>
    <x v="0"/>
    <n v="249791.3"/>
    <s v="C2018224474"/>
    <n v="249791.3"/>
    <n v="0"/>
    <s v="C1562137241"/>
    <n v="0"/>
    <n v="0"/>
    <n v="1"/>
    <n v="0"/>
    <n v="18"/>
    <n v="0"/>
    <n v="1"/>
    <n v="249791.3"/>
    <n v="5"/>
    <n v="5"/>
    <n v="4.0999999999999996"/>
    <x v="2"/>
  </r>
  <r>
    <n v="90"/>
    <x v="1"/>
    <n v="249791.3"/>
    <s v="C712828337"/>
    <n v="249791.3"/>
    <n v="0"/>
    <s v="C1973032153"/>
    <n v="0"/>
    <n v="249791.3"/>
    <n v="1"/>
    <n v="0"/>
    <n v="18"/>
    <n v="0"/>
    <n v="1"/>
    <n v="249791.3"/>
    <n v="5"/>
    <n v="4"/>
    <n v="3.8000000000000003"/>
    <x v="2"/>
  </r>
  <r>
    <n v="91"/>
    <x v="0"/>
    <n v="921668.95"/>
    <s v="C1152872254"/>
    <n v="921668.95"/>
    <n v="0"/>
    <s v="C1484049545"/>
    <n v="0"/>
    <n v="0"/>
    <n v="1"/>
    <n v="0"/>
    <n v="19"/>
    <n v="0"/>
    <n v="1"/>
    <n v="921668.95"/>
    <n v="5"/>
    <n v="5"/>
    <n v="4.0999999999999996"/>
    <x v="2"/>
  </r>
  <r>
    <n v="91"/>
    <x v="1"/>
    <n v="921668.95"/>
    <s v="C1505563519"/>
    <n v="921668.95"/>
    <n v="0"/>
    <s v="C863042157"/>
    <n v="96395.54"/>
    <n v="1018064.5"/>
    <n v="1"/>
    <n v="0"/>
    <n v="19"/>
    <n v="0"/>
    <n v="1"/>
    <n v="921668.95"/>
    <n v="5"/>
    <n v="4"/>
    <n v="3.8000000000000003"/>
    <x v="2"/>
  </r>
  <r>
    <n v="91"/>
    <x v="0"/>
    <n v="737285.03"/>
    <s v="C2082041963"/>
    <n v="737285.03"/>
    <n v="0"/>
    <s v="C484298628"/>
    <n v="0"/>
    <n v="0"/>
    <n v="1"/>
    <n v="0"/>
    <n v="19"/>
    <n v="0"/>
    <n v="1"/>
    <n v="737285.03"/>
    <n v="5"/>
    <n v="5"/>
    <n v="4.0999999999999996"/>
    <x v="2"/>
  </r>
  <r>
    <n v="91"/>
    <x v="1"/>
    <n v="737285.03"/>
    <s v="C830817076"/>
    <n v="737285.03"/>
    <n v="0"/>
    <s v="C235145980"/>
    <n v="0"/>
    <n v="737285.03"/>
    <n v="1"/>
    <n v="0"/>
    <n v="19"/>
    <n v="0"/>
    <n v="1"/>
    <n v="737285.03"/>
    <n v="5"/>
    <n v="4"/>
    <n v="3.8000000000000003"/>
    <x v="2"/>
  </r>
  <r>
    <n v="91"/>
    <x v="0"/>
    <n v="28308.97"/>
    <s v="C531625667"/>
    <n v="28308.97"/>
    <n v="0"/>
    <s v="C1312031909"/>
    <n v="0"/>
    <n v="0"/>
    <n v="1"/>
    <n v="0"/>
    <n v="19"/>
    <n v="0"/>
    <n v="1"/>
    <n v="28308.97"/>
    <n v="2"/>
    <n v="5"/>
    <n v="2.6"/>
    <x v="0"/>
  </r>
  <r>
    <n v="91"/>
    <x v="1"/>
    <n v="28308.97"/>
    <s v="C1851254039"/>
    <n v="28308.97"/>
    <n v="0"/>
    <s v="C1151857075"/>
    <n v="0"/>
    <n v="28308.97"/>
    <n v="1"/>
    <n v="0"/>
    <n v="19"/>
    <n v="0"/>
    <n v="1"/>
    <n v="28308.97"/>
    <n v="2"/>
    <n v="4"/>
    <n v="2.3000000000000003"/>
    <x v="0"/>
  </r>
  <r>
    <n v="91"/>
    <x v="0"/>
    <n v="482679.6"/>
    <s v="C822183230"/>
    <n v="482679.6"/>
    <n v="0"/>
    <s v="C1393101702"/>
    <n v="0"/>
    <n v="0"/>
    <n v="1"/>
    <n v="0"/>
    <n v="19"/>
    <n v="0"/>
    <n v="1"/>
    <n v="482679.6"/>
    <n v="5"/>
    <n v="5"/>
    <n v="4.0999999999999996"/>
    <x v="2"/>
  </r>
  <r>
    <n v="91"/>
    <x v="1"/>
    <n v="482679.6"/>
    <s v="C1126237876"/>
    <n v="482679.6"/>
    <n v="0"/>
    <s v="C842293503"/>
    <n v="0"/>
    <n v="482679.6"/>
    <n v="1"/>
    <n v="0"/>
    <n v="19"/>
    <n v="0"/>
    <n v="1"/>
    <n v="482679.6"/>
    <n v="5"/>
    <n v="4"/>
    <n v="3.8000000000000003"/>
    <x v="2"/>
  </r>
  <r>
    <n v="92"/>
    <x v="0"/>
    <n v="1461930.03"/>
    <s v="C593029629"/>
    <n v="1461930.03"/>
    <n v="0"/>
    <s v="C1743578484"/>
    <n v="0"/>
    <n v="0"/>
    <n v="1"/>
    <n v="0"/>
    <n v="20"/>
    <n v="0"/>
    <n v="1"/>
    <n v="1461930.03"/>
    <n v="5"/>
    <n v="5"/>
    <n v="4.0999999999999996"/>
    <x v="2"/>
  </r>
  <r>
    <n v="92"/>
    <x v="1"/>
    <n v="1461930.03"/>
    <s v="C1928781788"/>
    <n v="1461930.03"/>
    <n v="0"/>
    <s v="C1636281428"/>
    <n v="3762496.73"/>
    <n v="5224426.76"/>
    <n v="1"/>
    <n v="0"/>
    <n v="20"/>
    <n v="0"/>
    <n v="1"/>
    <n v="1461930.03"/>
    <n v="5"/>
    <n v="4"/>
    <n v="3.8000000000000003"/>
    <x v="2"/>
  </r>
  <r>
    <n v="92"/>
    <x v="0"/>
    <n v="271908.40000000002"/>
    <s v="C1340312777"/>
    <n v="271908.40000000002"/>
    <n v="0"/>
    <s v="C863062485"/>
    <n v="0"/>
    <n v="0"/>
    <n v="1"/>
    <n v="0"/>
    <n v="20"/>
    <n v="0"/>
    <n v="1"/>
    <n v="271908.40000000002"/>
    <n v="5"/>
    <n v="5"/>
    <n v="4.0999999999999996"/>
    <x v="2"/>
  </r>
  <r>
    <n v="92"/>
    <x v="1"/>
    <n v="271908.40000000002"/>
    <s v="C71055143"/>
    <n v="271908.40000000002"/>
    <n v="0"/>
    <s v="C1732817669"/>
    <n v="1488088.26"/>
    <n v="1759996.66"/>
    <n v="1"/>
    <n v="0"/>
    <n v="20"/>
    <n v="0"/>
    <n v="1"/>
    <n v="271908.40000000002"/>
    <n v="5"/>
    <n v="4"/>
    <n v="3.8000000000000003"/>
    <x v="2"/>
  </r>
  <r>
    <n v="92"/>
    <x v="0"/>
    <n v="101903.69"/>
    <s v="C1615802716"/>
    <n v="101903.69"/>
    <n v="0"/>
    <s v="C1977391812"/>
    <n v="0"/>
    <n v="0"/>
    <n v="1"/>
    <n v="0"/>
    <n v="20"/>
    <n v="0"/>
    <n v="1"/>
    <n v="101903.69"/>
    <n v="4"/>
    <n v="5"/>
    <n v="3.6"/>
    <x v="2"/>
  </r>
  <r>
    <n v="92"/>
    <x v="1"/>
    <n v="101903.69"/>
    <s v="C612571830"/>
    <n v="101903.69"/>
    <n v="0"/>
    <s v="C544677509"/>
    <n v="280117.63"/>
    <n v="382021.32"/>
    <n v="1"/>
    <n v="0"/>
    <n v="20"/>
    <n v="0"/>
    <n v="1"/>
    <n v="101903.69"/>
    <n v="4"/>
    <n v="4"/>
    <n v="3.3000000000000003"/>
    <x v="2"/>
  </r>
  <r>
    <n v="92"/>
    <x v="0"/>
    <n v="21574.55"/>
    <s v="C2002083627"/>
    <n v="21574.55"/>
    <n v="0"/>
    <s v="C1024161943"/>
    <n v="0"/>
    <n v="0"/>
    <n v="1"/>
    <n v="0"/>
    <n v="20"/>
    <n v="0"/>
    <n v="1"/>
    <n v="21574.55"/>
    <n v="2"/>
    <n v="5"/>
    <n v="2.6"/>
    <x v="0"/>
  </r>
  <r>
    <n v="92"/>
    <x v="1"/>
    <n v="21574.55"/>
    <s v="C313908201"/>
    <n v="21574.55"/>
    <n v="0"/>
    <s v="C1295977505"/>
    <n v="0"/>
    <n v="21574.55"/>
    <n v="1"/>
    <n v="0"/>
    <n v="20"/>
    <n v="0"/>
    <n v="1"/>
    <n v="21574.55"/>
    <n v="2"/>
    <n v="4"/>
    <n v="2.3000000000000003"/>
    <x v="0"/>
  </r>
  <r>
    <n v="92"/>
    <x v="0"/>
    <n v="19742.71"/>
    <s v="C199871794"/>
    <n v="19742.71"/>
    <n v="0"/>
    <s v="C1396988344"/>
    <n v="0"/>
    <n v="0"/>
    <n v="1"/>
    <n v="0"/>
    <n v="20"/>
    <n v="0"/>
    <n v="1"/>
    <n v="19742.71"/>
    <n v="2"/>
    <n v="5"/>
    <n v="2.6"/>
    <x v="0"/>
  </r>
  <r>
    <n v="92"/>
    <x v="1"/>
    <n v="19742.71"/>
    <s v="C931340371"/>
    <n v="19742.71"/>
    <n v="0"/>
    <s v="C781083195"/>
    <n v="2098671.6800000002"/>
    <n v="2118414.39"/>
    <n v="1"/>
    <n v="0"/>
    <n v="20"/>
    <n v="0"/>
    <n v="1"/>
    <n v="19742.71"/>
    <n v="2"/>
    <n v="4"/>
    <n v="2.3000000000000003"/>
    <x v="0"/>
  </r>
  <r>
    <n v="93"/>
    <x v="0"/>
    <n v="38150.22"/>
    <s v="C1961802855"/>
    <n v="38150.22"/>
    <n v="0"/>
    <s v="C315895571"/>
    <n v="0"/>
    <n v="0"/>
    <n v="1"/>
    <n v="0"/>
    <n v="21"/>
    <n v="0"/>
    <n v="1"/>
    <n v="38150.22"/>
    <n v="2"/>
    <n v="5"/>
    <n v="2.6"/>
    <x v="0"/>
  </r>
  <r>
    <n v="93"/>
    <x v="1"/>
    <n v="38150.22"/>
    <s v="C458914580"/>
    <n v="38150.22"/>
    <n v="0"/>
    <s v="C1918475530"/>
    <n v="30220.14"/>
    <n v="68370.36"/>
    <n v="1"/>
    <n v="0"/>
    <n v="21"/>
    <n v="0"/>
    <n v="1"/>
    <n v="38150.22"/>
    <n v="2"/>
    <n v="4"/>
    <n v="2.3000000000000003"/>
    <x v="0"/>
  </r>
  <r>
    <n v="93"/>
    <x v="0"/>
    <n v="886588.02"/>
    <s v="C391100177"/>
    <n v="886588.02"/>
    <n v="0"/>
    <s v="C1603792241"/>
    <n v="0"/>
    <n v="0"/>
    <n v="1"/>
    <n v="0"/>
    <n v="21"/>
    <n v="0"/>
    <n v="1"/>
    <n v="886588.02"/>
    <n v="5"/>
    <n v="5"/>
    <n v="4.0999999999999996"/>
    <x v="2"/>
  </r>
  <r>
    <n v="93"/>
    <x v="1"/>
    <n v="886588.02"/>
    <s v="C700848378"/>
    <n v="886588.02"/>
    <n v="0"/>
    <s v="C1731783280"/>
    <n v="0"/>
    <n v="886588.02"/>
    <n v="1"/>
    <n v="0"/>
    <n v="21"/>
    <n v="0"/>
    <n v="1"/>
    <n v="886588.02"/>
    <n v="5"/>
    <n v="4"/>
    <n v="3.8000000000000003"/>
    <x v="2"/>
  </r>
  <r>
    <n v="93"/>
    <x v="0"/>
    <n v="4120.1400000000003"/>
    <s v="C2002472710"/>
    <n v="4120.1400000000003"/>
    <n v="0"/>
    <s v="C2023856876"/>
    <n v="0"/>
    <n v="0"/>
    <n v="1"/>
    <n v="0"/>
    <n v="21"/>
    <n v="0"/>
    <n v="1"/>
    <n v="4120.1400000000003"/>
    <n v="1"/>
    <n v="5"/>
    <n v="2.1"/>
    <x v="0"/>
  </r>
  <r>
    <n v="93"/>
    <x v="1"/>
    <n v="4120.1400000000003"/>
    <s v="C861292985"/>
    <n v="4120.1400000000003"/>
    <n v="0"/>
    <s v="C1762318733"/>
    <n v="0"/>
    <n v="4120.1400000000003"/>
    <n v="1"/>
    <n v="0"/>
    <n v="21"/>
    <n v="0"/>
    <n v="1"/>
    <n v="4120.1400000000003"/>
    <n v="1"/>
    <n v="4"/>
    <n v="1.8"/>
    <x v="1"/>
  </r>
  <r>
    <n v="93"/>
    <x v="0"/>
    <n v="3206623.39"/>
    <s v="C1022498421"/>
    <n v="3206623.39"/>
    <n v="0"/>
    <s v="C1697378157"/>
    <n v="0"/>
    <n v="0"/>
    <n v="1"/>
    <n v="0"/>
    <n v="21"/>
    <n v="0"/>
    <n v="1"/>
    <n v="3206623.39"/>
    <n v="5"/>
    <n v="5"/>
    <n v="4.0999999999999996"/>
    <x v="2"/>
  </r>
  <r>
    <n v="93"/>
    <x v="1"/>
    <n v="3206623.39"/>
    <s v="C1011158272"/>
    <n v="3206623.39"/>
    <n v="0"/>
    <s v="C1883340818"/>
    <n v="3449811.9"/>
    <n v="6965506.6699999999"/>
    <n v="1"/>
    <n v="0"/>
    <n v="21"/>
    <n v="0"/>
    <n v="1"/>
    <n v="3206623.39"/>
    <n v="5"/>
    <n v="4"/>
    <n v="3.8000000000000003"/>
    <x v="2"/>
  </r>
  <r>
    <n v="93"/>
    <x v="0"/>
    <n v="315654.19"/>
    <s v="C676090557"/>
    <n v="315654.19"/>
    <n v="0"/>
    <s v="C1516512243"/>
    <n v="0"/>
    <n v="0"/>
    <n v="1"/>
    <n v="0"/>
    <n v="21"/>
    <n v="0"/>
    <n v="1"/>
    <n v="315654.19"/>
    <n v="5"/>
    <n v="5"/>
    <n v="4.0999999999999996"/>
    <x v="2"/>
  </r>
  <r>
    <n v="93"/>
    <x v="1"/>
    <n v="315654.19"/>
    <s v="C137902575"/>
    <n v="315654.19"/>
    <n v="0"/>
    <s v="C1643523023"/>
    <n v="0"/>
    <n v="315654.19"/>
    <n v="1"/>
    <n v="0"/>
    <n v="21"/>
    <n v="0"/>
    <n v="1"/>
    <n v="315654.19"/>
    <n v="5"/>
    <n v="4"/>
    <n v="3.8000000000000003"/>
    <x v="2"/>
  </r>
  <r>
    <n v="93"/>
    <x v="0"/>
    <n v="175313.96"/>
    <s v="C1863782967"/>
    <n v="175313.96"/>
    <n v="0"/>
    <s v="C1170590191"/>
    <n v="0"/>
    <n v="0"/>
    <n v="1"/>
    <n v="0"/>
    <n v="21"/>
    <n v="0"/>
    <n v="1"/>
    <n v="175313.96"/>
    <n v="4"/>
    <n v="5"/>
    <n v="3.6"/>
    <x v="2"/>
  </r>
  <r>
    <n v="93"/>
    <x v="1"/>
    <n v="175313.96"/>
    <s v="C1532820276"/>
    <n v="175313.96"/>
    <n v="0"/>
    <s v="C1326115881"/>
    <n v="2911229.9"/>
    <n v="3086543.86"/>
    <n v="1"/>
    <n v="0"/>
    <n v="21"/>
    <n v="0"/>
    <n v="1"/>
    <n v="175313.96"/>
    <n v="4"/>
    <n v="4"/>
    <n v="3.3000000000000003"/>
    <x v="2"/>
  </r>
  <r>
    <n v="93"/>
    <x v="0"/>
    <n v="3723738.06"/>
    <s v="C1553979696"/>
    <n v="3723738.06"/>
    <n v="0"/>
    <s v="C537828065"/>
    <n v="0"/>
    <n v="0"/>
    <n v="1"/>
    <n v="0"/>
    <n v="21"/>
    <n v="0"/>
    <n v="1"/>
    <n v="3723738.06"/>
    <n v="5"/>
    <n v="5"/>
    <n v="4.0999999999999996"/>
    <x v="2"/>
  </r>
  <r>
    <n v="93"/>
    <x v="1"/>
    <n v="3723738.06"/>
    <s v="C1143980021"/>
    <n v="3723738.06"/>
    <n v="0"/>
    <s v="C1219235880"/>
    <n v="3216391.21"/>
    <n v="6940129.2699999996"/>
    <n v="1"/>
    <n v="0"/>
    <n v="21"/>
    <n v="0"/>
    <n v="1"/>
    <n v="3723738.06"/>
    <n v="5"/>
    <n v="4"/>
    <n v="3.8000000000000003"/>
    <x v="2"/>
  </r>
  <r>
    <n v="93"/>
    <x v="0"/>
    <n v="269545.63"/>
    <s v="C1904367873"/>
    <n v="269545.63"/>
    <n v="0"/>
    <s v="C156002993"/>
    <n v="0"/>
    <n v="0"/>
    <n v="1"/>
    <n v="0"/>
    <n v="21"/>
    <n v="0"/>
    <n v="1"/>
    <n v="269545.63"/>
    <n v="5"/>
    <n v="5"/>
    <n v="4.0999999999999996"/>
    <x v="2"/>
  </r>
  <r>
    <n v="93"/>
    <x v="1"/>
    <n v="269545.63"/>
    <s v="C1309775985"/>
    <n v="269545.63"/>
    <n v="0"/>
    <s v="C1771620140"/>
    <n v="905690.55"/>
    <n v="1175236.17"/>
    <n v="1"/>
    <n v="0"/>
    <n v="21"/>
    <n v="0"/>
    <n v="1"/>
    <n v="269545.63"/>
    <n v="5"/>
    <n v="4"/>
    <n v="3.8000000000000003"/>
    <x v="2"/>
  </r>
  <r>
    <n v="94"/>
    <x v="0"/>
    <n v="2169679.91"/>
    <s v="C358188091"/>
    <n v="2169679.91"/>
    <n v="0"/>
    <s v="C329029721"/>
    <n v="0"/>
    <n v="0"/>
    <n v="1"/>
    <n v="0"/>
    <n v="22"/>
    <n v="0"/>
    <n v="1"/>
    <n v="2169679.91"/>
    <n v="5"/>
    <n v="5"/>
    <n v="4.0999999999999996"/>
    <x v="2"/>
  </r>
  <r>
    <n v="94"/>
    <x v="1"/>
    <n v="2169679.91"/>
    <s v="C395839623"/>
    <n v="2169679.91"/>
    <n v="0"/>
    <s v="C925758982"/>
    <n v="0"/>
    <n v="2169679.91"/>
    <n v="1"/>
    <n v="0"/>
    <n v="22"/>
    <n v="0"/>
    <n v="1"/>
    <n v="2169679.91"/>
    <n v="5"/>
    <n v="4"/>
    <n v="3.8000000000000003"/>
    <x v="2"/>
  </r>
  <r>
    <n v="94"/>
    <x v="0"/>
    <n v="1454592.61"/>
    <s v="C708686257"/>
    <n v="1454592.61"/>
    <n v="0"/>
    <s v="C191950817"/>
    <n v="0"/>
    <n v="0"/>
    <n v="1"/>
    <n v="0"/>
    <n v="22"/>
    <n v="0"/>
    <n v="1"/>
    <n v="1454592.61"/>
    <n v="5"/>
    <n v="5"/>
    <n v="4.0999999999999996"/>
    <x v="2"/>
  </r>
  <r>
    <n v="94"/>
    <x v="1"/>
    <n v="1454592.61"/>
    <s v="C824268591"/>
    <n v="1454592.61"/>
    <n v="0"/>
    <s v="C819390198"/>
    <n v="264042.92"/>
    <n v="1718635.53"/>
    <n v="1"/>
    <n v="0"/>
    <n v="22"/>
    <n v="0"/>
    <n v="1"/>
    <n v="1454592.61"/>
    <n v="5"/>
    <n v="4"/>
    <n v="3.8000000000000003"/>
    <x v="2"/>
  </r>
  <r>
    <n v="94"/>
    <x v="0"/>
    <n v="460635.82"/>
    <s v="C1586676521"/>
    <n v="460635.82"/>
    <n v="0"/>
    <s v="C94475674"/>
    <n v="0"/>
    <n v="0"/>
    <n v="1"/>
    <n v="0"/>
    <n v="22"/>
    <n v="0"/>
    <n v="1"/>
    <n v="460635.82"/>
    <n v="5"/>
    <n v="5"/>
    <n v="4.0999999999999996"/>
    <x v="2"/>
  </r>
  <r>
    <n v="94"/>
    <x v="1"/>
    <n v="460635.82"/>
    <s v="C1563063305"/>
    <n v="460635.82"/>
    <n v="0"/>
    <s v="C262427288"/>
    <n v="544728.68999999994"/>
    <n v="1005364.51"/>
    <n v="1"/>
    <n v="0"/>
    <n v="22"/>
    <n v="0"/>
    <n v="1"/>
    <n v="460635.82"/>
    <n v="5"/>
    <n v="4"/>
    <n v="3.8000000000000003"/>
    <x v="2"/>
  </r>
  <r>
    <n v="94"/>
    <x v="0"/>
    <n v="2393539.65"/>
    <s v="C211205523"/>
    <n v="2393539.65"/>
    <n v="0"/>
    <s v="C1430994246"/>
    <n v="0"/>
    <n v="0"/>
    <n v="1"/>
    <n v="0"/>
    <n v="22"/>
    <n v="0"/>
    <n v="1"/>
    <n v="2393539.65"/>
    <n v="5"/>
    <n v="5"/>
    <n v="4.0999999999999996"/>
    <x v="2"/>
  </r>
  <r>
    <n v="94"/>
    <x v="1"/>
    <n v="2393539.65"/>
    <s v="C1767333284"/>
    <n v="2393539.65"/>
    <n v="0"/>
    <s v="C610460069"/>
    <n v="5157128.07"/>
    <n v="7550667.7300000004"/>
    <n v="1"/>
    <n v="0"/>
    <n v="22"/>
    <n v="0"/>
    <n v="1"/>
    <n v="2393539.65"/>
    <n v="5"/>
    <n v="4"/>
    <n v="3.8000000000000003"/>
    <x v="2"/>
  </r>
  <r>
    <n v="94"/>
    <x v="0"/>
    <n v="445257.43"/>
    <s v="C1313587911"/>
    <n v="445257.43"/>
    <n v="0"/>
    <s v="C1637506717"/>
    <n v="0"/>
    <n v="0"/>
    <n v="1"/>
    <n v="0"/>
    <n v="22"/>
    <n v="0"/>
    <n v="1"/>
    <n v="445257.43"/>
    <n v="5"/>
    <n v="5"/>
    <n v="4.0999999999999996"/>
    <x v="2"/>
  </r>
  <r>
    <n v="94"/>
    <x v="1"/>
    <n v="445257.43"/>
    <s v="C1527777491"/>
    <n v="445257.43"/>
    <n v="0"/>
    <s v="C1215602275"/>
    <n v="0"/>
    <n v="445257.43"/>
    <n v="1"/>
    <n v="0"/>
    <n v="22"/>
    <n v="0"/>
    <n v="1"/>
    <n v="445257.43"/>
    <n v="5"/>
    <n v="4"/>
    <n v="3.8000000000000003"/>
    <x v="2"/>
  </r>
  <r>
    <n v="94"/>
    <x v="0"/>
    <n v="363378.75"/>
    <s v="C998593582"/>
    <n v="363378.75"/>
    <n v="0"/>
    <s v="C855256022"/>
    <n v="0"/>
    <n v="0"/>
    <n v="1"/>
    <n v="0"/>
    <n v="22"/>
    <n v="0"/>
    <n v="1"/>
    <n v="363378.75"/>
    <n v="5"/>
    <n v="5"/>
    <n v="4.0999999999999996"/>
    <x v="2"/>
  </r>
  <r>
    <n v="94"/>
    <x v="1"/>
    <n v="363378.75"/>
    <s v="C1736832400"/>
    <n v="363378.75"/>
    <n v="0"/>
    <s v="C2124923090"/>
    <n v="3609871.44"/>
    <n v="3973250.18"/>
    <n v="1"/>
    <n v="0"/>
    <n v="22"/>
    <n v="0"/>
    <n v="1"/>
    <n v="363378.75"/>
    <n v="5"/>
    <n v="4"/>
    <n v="3.8000000000000003"/>
    <x v="2"/>
  </r>
  <r>
    <n v="95"/>
    <x v="0"/>
    <n v="655676.97"/>
    <s v="C428343058"/>
    <n v="655676.97"/>
    <n v="0"/>
    <s v="C1518840126"/>
    <n v="0"/>
    <n v="0"/>
    <n v="1"/>
    <n v="0"/>
    <n v="23"/>
    <n v="0"/>
    <n v="1"/>
    <n v="655676.97"/>
    <n v="5"/>
    <n v="5"/>
    <n v="4.0999999999999996"/>
    <x v="2"/>
  </r>
  <r>
    <n v="95"/>
    <x v="1"/>
    <n v="655676.97"/>
    <s v="C1072220674"/>
    <n v="655676.97"/>
    <n v="0"/>
    <s v="C2110200242"/>
    <n v="53614.28"/>
    <n v="709291.25"/>
    <n v="1"/>
    <n v="0"/>
    <n v="23"/>
    <n v="0"/>
    <n v="1"/>
    <n v="655676.97"/>
    <n v="5"/>
    <n v="4"/>
    <n v="3.8000000000000003"/>
    <x v="2"/>
  </r>
  <r>
    <n v="95"/>
    <x v="0"/>
    <n v="56745.14"/>
    <s v="C872526349"/>
    <n v="56745.14"/>
    <n v="0"/>
    <s v="C1824885183"/>
    <n v="0"/>
    <n v="0"/>
    <n v="1"/>
    <n v="0"/>
    <n v="23"/>
    <n v="0"/>
    <n v="1"/>
    <n v="56745.14"/>
    <n v="3"/>
    <n v="5"/>
    <n v="3.1"/>
    <x v="2"/>
  </r>
  <r>
    <n v="95"/>
    <x v="1"/>
    <n v="56745.14"/>
    <s v="C526144262"/>
    <n v="56745.14"/>
    <n v="0"/>
    <s v="C79051264"/>
    <n v="51433.88"/>
    <n v="108179.02"/>
    <n v="1"/>
    <n v="0"/>
    <n v="23"/>
    <n v="0"/>
    <n v="1"/>
    <n v="56745.14"/>
    <n v="3"/>
    <n v="4"/>
    <n v="2.8000000000000003"/>
    <x v="0"/>
  </r>
  <r>
    <n v="95"/>
    <x v="0"/>
    <n v="33676.589999999997"/>
    <s v="C732111322"/>
    <n v="33676.589999999997"/>
    <n v="0"/>
    <s v="C1140210295"/>
    <n v="0"/>
    <n v="0"/>
    <n v="1"/>
    <n v="0"/>
    <n v="23"/>
    <n v="0"/>
    <n v="1"/>
    <n v="33676.589999999997"/>
    <n v="2"/>
    <n v="5"/>
    <n v="2.6"/>
    <x v="0"/>
  </r>
  <r>
    <n v="95"/>
    <x v="1"/>
    <n v="33676.589999999997"/>
    <s v="C1000086512"/>
    <n v="33676.589999999997"/>
    <n v="0"/>
    <s v="C1759363094"/>
    <n v="0"/>
    <n v="33676.589999999997"/>
    <n v="1"/>
    <n v="0"/>
    <n v="23"/>
    <n v="0"/>
    <n v="1"/>
    <n v="33676.589999999997"/>
    <n v="2"/>
    <n v="4"/>
    <n v="2.3000000000000003"/>
    <x v="0"/>
  </r>
  <r>
    <n v="95"/>
    <x v="0"/>
    <n v="87999.25"/>
    <s v="C927181710"/>
    <n v="87999.25"/>
    <n v="0"/>
    <s v="C757947873"/>
    <n v="0"/>
    <n v="0"/>
    <n v="1"/>
    <n v="0"/>
    <n v="23"/>
    <n v="0"/>
    <n v="1"/>
    <n v="87999.25"/>
    <n v="3"/>
    <n v="5"/>
    <n v="3.1"/>
    <x v="2"/>
  </r>
  <r>
    <n v="95"/>
    <x v="1"/>
    <n v="87999.25"/>
    <s v="C409531429"/>
    <n v="87999.25"/>
    <n v="0"/>
    <s v="C1827219533"/>
    <n v="0"/>
    <n v="87999.25"/>
    <n v="1"/>
    <n v="0"/>
    <n v="23"/>
    <n v="0"/>
    <n v="1"/>
    <n v="87999.25"/>
    <n v="3"/>
    <n v="4"/>
    <n v="2.800000000000000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76B6D-74BB-4BD2-8F30-BB8D7C70C377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E7" firstHeaderRow="1" firstDataRow="2" firstDataCol="1"/>
  <pivotFields count="19">
    <pivotField showAll="0"/>
    <pivotField axis="axisRow" showAll="0">
      <items count="3"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Count of amount" fld="2" subtotal="count" baseField="1" baseItem="0"/>
  </dataFields>
  <chartFormats count="3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C132C28-D26A-4A25-812A-645653D41E1B}" autoFormatId="16" applyNumberFormats="0" applyBorderFormats="0" applyFontFormats="0" applyPatternFormats="0" applyAlignmentFormats="0" applyWidthHeightFormats="0">
  <queryTableRefresh nextId="16">
    <queryTableFields count="15">
      <queryTableField id="1" name="step" tableColumnId="1"/>
      <queryTableField id="2" name="type" tableColumnId="2"/>
      <queryTableField id="3" name="amount" tableColumnId="3"/>
      <queryTableField id="4" name="nameOrig" tableColumnId="4"/>
      <queryTableField id="5" name="oldbalanceOrg" tableColumnId="5"/>
      <queryTableField id="6" name="newbalanceOrig" tableColumnId="6"/>
      <queryTableField id="7" name="nameDest" tableColumnId="7"/>
      <queryTableField id="8" name="oldbalanceDest" tableColumnId="8"/>
      <queryTableField id="9" name="newbalanceDest" tableColumnId="9"/>
      <queryTableField id="10" name="isFraud" tableColumnId="10"/>
      <queryTableField id="11" name="isFlaggedFraud" tableColumnId="11"/>
      <queryTableField id="12" name="hour_of_day" tableColumnId="12"/>
      <queryTableField id="13" name="is_round_number" tableColumnId="13"/>
      <queryTableField id="14" name="balance_drain" tableColumnId="14"/>
      <queryTableField id="15" name="balance_change_orig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845C7B8-FDB9-4ABA-A35A-668316BE8B3C}" autoFormatId="16" applyNumberFormats="0" applyBorderFormats="0" applyFontFormats="0" applyPatternFormats="0" applyAlignmentFormats="0" applyWidthHeightFormats="0">
  <queryTableRefresh nextId="6">
    <queryTableFields count="5">
      <queryTableField id="1" name="type" tableColumnId="1"/>
      <queryTableField id="2" name="total_count" tableColumnId="2"/>
      <queryTableField id="3" name="fraud_count" tableColumnId="3"/>
      <queryTableField id="4" name="fraud_rate_pct" tableColumnId="4"/>
      <queryTableField id="5" name="avg_am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754557B4-E877-43B4-B000-EDFE541A3D28}" autoFormatId="16" applyNumberFormats="0" applyBorderFormats="0" applyFontFormats="0" applyPatternFormats="0" applyAlignmentFormats="0" applyWidthHeightFormats="0">
  <queryTableRefresh nextId="6">
    <queryTableFields count="5">
      <queryTableField id="1" name="hour_of_day" tableColumnId="1"/>
      <queryTableField id="2" name="total_transactions" tableColumnId="2"/>
      <queryTableField id="3" name="fraud_count" tableColumnId="3"/>
      <queryTableField id="4" name="fraud_rate_pct" tableColumnId="4"/>
      <queryTableField id="5" name="running_fraud_total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659F2-00BB-4D8F-898D-D4E9E5309586}" name="flagged_transactions" displayName="flagged_transactions" ref="A1:O1143" tableType="queryTable" totalsRowShown="0">
  <autoFilter ref="A1:O1143" xr:uid="{6BB659F2-00BB-4D8F-898D-D4E9E5309586}"/>
  <tableColumns count="15">
    <tableColumn id="1" xr3:uid="{51218EF8-FC41-4490-AB11-5D90D096ECED}" uniqueName="1" name="step" queryTableFieldId="1"/>
    <tableColumn id="2" xr3:uid="{F1A6BFAE-10AF-496C-9C6C-555CA5253EC8}" uniqueName="2" name="type" queryTableFieldId="2" dataDxfId="8"/>
    <tableColumn id="3" xr3:uid="{38720284-B053-4A88-8D27-D422CF51EAFE}" uniqueName="3" name="amount" queryTableFieldId="3"/>
    <tableColumn id="4" xr3:uid="{5A4909EE-0D3C-47A7-AAEB-E7CBFCF81251}" uniqueName="4" name="nameOrig" queryTableFieldId="4" dataDxfId="7"/>
    <tableColumn id="5" xr3:uid="{BD38804F-25B3-44F6-A67D-13487272DA82}" uniqueName="5" name="oldbalanceOrg" queryTableFieldId="5"/>
    <tableColumn id="6" xr3:uid="{B8575A1A-EB01-47E6-8716-91CC510A8CD0}" uniqueName="6" name="newbalanceOrig" queryTableFieldId="6"/>
    <tableColumn id="7" xr3:uid="{5A89DCAB-6D92-431C-BA75-2B9D8A7C176F}" uniqueName="7" name="nameDest" queryTableFieldId="7" dataDxfId="6"/>
    <tableColumn id="8" xr3:uid="{F778856C-D9F8-4D70-B0E8-3AA0083A934B}" uniqueName="8" name="oldbalanceDest" queryTableFieldId="8"/>
    <tableColumn id="9" xr3:uid="{086DC5A5-1EE2-4648-BFD5-570FD1F4DF05}" uniqueName="9" name="newbalanceDest" queryTableFieldId="9"/>
    <tableColumn id="10" xr3:uid="{962245AA-7BA7-4EBE-80CE-50808C14469E}" uniqueName="10" name="isFraud" queryTableFieldId="10"/>
    <tableColumn id="11" xr3:uid="{3D8C0D25-6E41-4B09-B748-9BC0FEC7613B}" uniqueName="11" name="isFlaggedFraud" queryTableFieldId="11"/>
    <tableColumn id="12" xr3:uid="{0DE1638E-0264-45B9-81C9-DD07360E9BC2}" uniqueName="12" name="hour_of_day" queryTableFieldId="12"/>
    <tableColumn id="13" xr3:uid="{4150C26D-BBBD-49F8-AEFF-90A2301C499C}" uniqueName="13" name="is_round_number" queryTableFieldId="13"/>
    <tableColumn id="14" xr3:uid="{5ADA6ABC-F1E9-4ACE-A68A-8ED1008D531E}" uniqueName="14" name="balance_drain" queryTableFieldId="14"/>
    <tableColumn id="15" xr3:uid="{3F0838F5-C799-4DB5-BED9-A076D6B7A70F}" uniqueName="15" name="balance_change_orig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7C152-EBB0-48DF-904C-5BAFFFDD8454}" name="sql_fraud_by_type" displayName="sql_fraud_by_type" ref="A1:E6" tableType="queryTable" totalsRowShown="0">
  <autoFilter ref="A1:E6" xr:uid="{CD37C152-EBB0-48DF-904C-5BAFFFDD8454}"/>
  <tableColumns count="5">
    <tableColumn id="1" xr3:uid="{108813A1-1B54-4354-AB12-C8877532FA08}" uniqueName="1" name="type" queryTableFieldId="1" dataDxfId="9"/>
    <tableColumn id="2" xr3:uid="{D9BDE9EE-587A-486B-9077-ECF92F0CD046}" uniqueName="2" name="total_count" queryTableFieldId="2"/>
    <tableColumn id="3" xr3:uid="{48FC5087-DE57-4B47-A6B6-800FC17A4240}" uniqueName="3" name="fraud_count" queryTableFieldId="3"/>
    <tableColumn id="4" xr3:uid="{502BDD60-D2CD-4227-9224-8589A72FF26E}" uniqueName="4" name="fraud_rate_pct" queryTableFieldId="4"/>
    <tableColumn id="5" xr3:uid="{2CE94EDC-A122-4854-8CD4-01880EC33BAE}" uniqueName="5" name="avg_am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3D73D6-4071-481B-92C4-2E8101868B4F}" name="sql_hourly_pattern" displayName="sql_hourly_pattern" ref="A1:E25" tableType="queryTable" totalsRowShown="0">
  <autoFilter ref="A1:E25" xr:uid="{F03D73D6-4071-481B-92C4-2E8101868B4F}"/>
  <tableColumns count="5">
    <tableColumn id="1" xr3:uid="{1A15A01F-61BF-40D9-96B4-1C36772FFC01}" uniqueName="1" name="hour_of_day" queryTableFieldId="1"/>
    <tableColumn id="2" xr3:uid="{7E2F7700-2296-4653-84DF-D62214ADC120}" uniqueName="2" name="total_transactions" queryTableFieldId="2"/>
    <tableColumn id="3" xr3:uid="{B569E0D7-BB20-402F-9131-E1A28423EDA9}" uniqueName="3" name="fraud_count" queryTableFieldId="3"/>
    <tableColumn id="4" xr3:uid="{E4C236D0-E168-44FE-825B-A67D69619549}" uniqueName="4" name="fraud_rate_pct" queryTableFieldId="4"/>
    <tableColumn id="5" xr3:uid="{A1390DF7-0B5A-4607-87F6-F25C5746405F}" uniqueName="5" name="running_fraud_total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EFB0-A75D-4D17-BFB6-3679B2437AB1}">
  <dimension ref="A1:O1143"/>
  <sheetViews>
    <sheetView topLeftCell="F1113" workbookViewId="0">
      <selection sqref="A1:O1143"/>
    </sheetView>
  </sheetViews>
  <sheetFormatPr defaultRowHeight="14.4" x14ac:dyDescent="0.3"/>
  <cols>
    <col min="1" max="1" width="6.77734375" bestFit="1" customWidth="1"/>
    <col min="2" max="2" width="10" bestFit="1" customWidth="1"/>
    <col min="3" max="3" width="11" bestFit="1" customWidth="1"/>
    <col min="4" max="4" width="12.109375" bestFit="1" customWidth="1"/>
    <col min="5" max="5" width="15.5546875" bestFit="1" customWidth="1"/>
    <col min="6" max="6" width="16.88671875" bestFit="1" customWidth="1"/>
    <col min="7" max="7" width="12.109375" bestFit="1" customWidth="1"/>
    <col min="8" max="8" width="16.21875" bestFit="1" customWidth="1"/>
    <col min="9" max="9" width="17.109375" bestFit="1" customWidth="1"/>
    <col min="10" max="10" width="9.21875" bestFit="1" customWidth="1"/>
    <col min="11" max="11" width="15.77734375" bestFit="1" customWidth="1"/>
    <col min="12" max="12" width="14.109375" bestFit="1" customWidth="1"/>
    <col min="13" max="13" width="18.33203125" bestFit="1" customWidth="1"/>
    <col min="14" max="14" width="15.109375" bestFit="1" customWidth="1"/>
    <col min="15" max="15" width="21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15</v>
      </c>
      <c r="C2">
        <v>181</v>
      </c>
      <c r="D2" s="1" t="s">
        <v>16</v>
      </c>
      <c r="E2">
        <v>181</v>
      </c>
      <c r="F2">
        <v>0</v>
      </c>
      <c r="G2" s="1" t="s">
        <v>17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181</v>
      </c>
    </row>
    <row r="3" spans="1:15" x14ac:dyDescent="0.3">
      <c r="A3">
        <v>1</v>
      </c>
      <c r="B3" s="1" t="s">
        <v>18</v>
      </c>
      <c r="C3">
        <v>181</v>
      </c>
      <c r="D3" s="1" t="s">
        <v>19</v>
      </c>
      <c r="E3">
        <v>181</v>
      </c>
      <c r="F3">
        <v>0</v>
      </c>
      <c r="G3" s="1" t="s">
        <v>20</v>
      </c>
      <c r="H3">
        <v>21182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181</v>
      </c>
    </row>
    <row r="4" spans="1:15" x14ac:dyDescent="0.3">
      <c r="A4">
        <v>1</v>
      </c>
      <c r="B4" s="1" t="s">
        <v>15</v>
      </c>
      <c r="C4">
        <v>2806</v>
      </c>
      <c r="D4" s="1" t="s">
        <v>21</v>
      </c>
      <c r="E4">
        <v>2806</v>
      </c>
      <c r="F4">
        <v>0</v>
      </c>
      <c r="G4" s="1" t="s">
        <v>22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2806</v>
      </c>
    </row>
    <row r="5" spans="1:15" x14ac:dyDescent="0.3">
      <c r="A5">
        <v>1</v>
      </c>
      <c r="B5" s="1" t="s">
        <v>18</v>
      </c>
      <c r="C5">
        <v>2806</v>
      </c>
      <c r="D5" s="1" t="s">
        <v>23</v>
      </c>
      <c r="E5">
        <v>2806</v>
      </c>
      <c r="F5">
        <v>0</v>
      </c>
      <c r="G5" s="1" t="s">
        <v>24</v>
      </c>
      <c r="H5">
        <v>26202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2806</v>
      </c>
    </row>
    <row r="6" spans="1:15" x14ac:dyDescent="0.3">
      <c r="A6">
        <v>1</v>
      </c>
      <c r="B6" s="1" t="s">
        <v>15</v>
      </c>
      <c r="C6">
        <v>20128</v>
      </c>
      <c r="D6" s="1" t="s">
        <v>25</v>
      </c>
      <c r="E6">
        <v>20128</v>
      </c>
      <c r="F6">
        <v>0</v>
      </c>
      <c r="G6" s="1" t="s">
        <v>26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20128</v>
      </c>
    </row>
    <row r="7" spans="1:15" x14ac:dyDescent="0.3">
      <c r="A7">
        <v>1</v>
      </c>
      <c r="B7" s="1" t="s">
        <v>18</v>
      </c>
      <c r="C7">
        <v>20128</v>
      </c>
      <c r="D7" s="1" t="s">
        <v>27</v>
      </c>
      <c r="E7">
        <v>20128</v>
      </c>
      <c r="F7">
        <v>0</v>
      </c>
      <c r="G7" s="1" t="s">
        <v>28</v>
      </c>
      <c r="H7">
        <v>6268</v>
      </c>
      <c r="I7">
        <v>12145.85</v>
      </c>
      <c r="J7">
        <v>1</v>
      </c>
      <c r="K7">
        <v>0</v>
      </c>
      <c r="L7">
        <v>1</v>
      </c>
      <c r="M7">
        <v>0</v>
      </c>
      <c r="N7">
        <v>1</v>
      </c>
      <c r="O7">
        <v>20128</v>
      </c>
    </row>
    <row r="8" spans="1:15" x14ac:dyDescent="0.3">
      <c r="A8">
        <v>1</v>
      </c>
      <c r="B8" s="1" t="s">
        <v>18</v>
      </c>
      <c r="C8">
        <v>416001.33</v>
      </c>
      <c r="D8" s="1" t="s">
        <v>29</v>
      </c>
      <c r="E8">
        <v>0</v>
      </c>
      <c r="F8">
        <v>0</v>
      </c>
      <c r="G8" s="1" t="s">
        <v>30</v>
      </c>
      <c r="H8">
        <v>102</v>
      </c>
      <c r="I8">
        <v>9291619.6199999992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</row>
    <row r="9" spans="1:15" x14ac:dyDescent="0.3">
      <c r="A9">
        <v>1</v>
      </c>
      <c r="B9" s="1" t="s">
        <v>15</v>
      </c>
      <c r="C9">
        <v>1277212.77</v>
      </c>
      <c r="D9" s="1" t="s">
        <v>31</v>
      </c>
      <c r="E9">
        <v>1277212.77</v>
      </c>
      <c r="F9">
        <v>0</v>
      </c>
      <c r="G9" s="1" t="s">
        <v>32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1277212.77</v>
      </c>
    </row>
    <row r="10" spans="1:15" x14ac:dyDescent="0.3">
      <c r="A10">
        <v>1</v>
      </c>
      <c r="B10" s="1" t="s">
        <v>18</v>
      </c>
      <c r="C10">
        <v>1277212.77</v>
      </c>
      <c r="D10" s="1" t="s">
        <v>33</v>
      </c>
      <c r="E10">
        <v>1277212.77</v>
      </c>
      <c r="F10">
        <v>0</v>
      </c>
      <c r="G10" s="1" t="s">
        <v>34</v>
      </c>
      <c r="H10">
        <v>0</v>
      </c>
      <c r="I10">
        <v>2444985.19</v>
      </c>
      <c r="J10">
        <v>1</v>
      </c>
      <c r="K10">
        <v>0</v>
      </c>
      <c r="L10">
        <v>1</v>
      </c>
      <c r="M10">
        <v>0</v>
      </c>
      <c r="N10">
        <v>1</v>
      </c>
      <c r="O10">
        <v>1277212.77</v>
      </c>
    </row>
    <row r="11" spans="1:15" x14ac:dyDescent="0.3">
      <c r="A11">
        <v>1</v>
      </c>
      <c r="B11" s="1" t="s">
        <v>15</v>
      </c>
      <c r="C11">
        <v>35063.629999999997</v>
      </c>
      <c r="D11" s="1" t="s">
        <v>35</v>
      </c>
      <c r="E11">
        <v>35063.629999999997</v>
      </c>
      <c r="F11">
        <v>0</v>
      </c>
      <c r="G11" s="1" t="s">
        <v>36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35063.629999999997</v>
      </c>
    </row>
    <row r="12" spans="1:15" x14ac:dyDescent="0.3">
      <c r="A12">
        <v>1</v>
      </c>
      <c r="B12" s="1" t="s">
        <v>18</v>
      </c>
      <c r="C12">
        <v>35063.629999999997</v>
      </c>
      <c r="D12" s="1" t="s">
        <v>37</v>
      </c>
      <c r="E12">
        <v>35063.629999999997</v>
      </c>
      <c r="F12">
        <v>0</v>
      </c>
      <c r="G12" s="1" t="s">
        <v>38</v>
      </c>
      <c r="H12">
        <v>31140</v>
      </c>
      <c r="I12">
        <v>7550.03</v>
      </c>
      <c r="J12">
        <v>1</v>
      </c>
      <c r="K12">
        <v>0</v>
      </c>
      <c r="L12">
        <v>1</v>
      </c>
      <c r="M12">
        <v>0</v>
      </c>
      <c r="N12">
        <v>1</v>
      </c>
      <c r="O12">
        <v>35063.629999999997</v>
      </c>
    </row>
    <row r="13" spans="1:15" x14ac:dyDescent="0.3">
      <c r="A13">
        <v>1</v>
      </c>
      <c r="B13" s="1" t="s">
        <v>15</v>
      </c>
      <c r="C13">
        <v>25071.46</v>
      </c>
      <c r="D13" s="1" t="s">
        <v>39</v>
      </c>
      <c r="E13">
        <v>25071.46</v>
      </c>
      <c r="F13">
        <v>0</v>
      </c>
      <c r="G13" s="1" t="s">
        <v>40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25071.46</v>
      </c>
    </row>
    <row r="14" spans="1:15" x14ac:dyDescent="0.3">
      <c r="A14">
        <v>1</v>
      </c>
      <c r="B14" s="1" t="s">
        <v>18</v>
      </c>
      <c r="C14">
        <v>25071.46</v>
      </c>
      <c r="D14" s="1" t="s">
        <v>41</v>
      </c>
      <c r="E14">
        <v>25071.46</v>
      </c>
      <c r="F14">
        <v>0</v>
      </c>
      <c r="G14" s="1" t="s">
        <v>42</v>
      </c>
      <c r="H14">
        <v>9083.76</v>
      </c>
      <c r="I14">
        <v>34155.22</v>
      </c>
      <c r="J14">
        <v>1</v>
      </c>
      <c r="K14">
        <v>0</v>
      </c>
      <c r="L14">
        <v>1</v>
      </c>
      <c r="M14">
        <v>0</v>
      </c>
      <c r="N14">
        <v>1</v>
      </c>
      <c r="O14">
        <v>25071.46</v>
      </c>
    </row>
    <row r="15" spans="1:15" x14ac:dyDescent="0.3">
      <c r="A15">
        <v>1</v>
      </c>
      <c r="B15" s="1" t="s">
        <v>18</v>
      </c>
      <c r="C15">
        <v>132842.64000000001</v>
      </c>
      <c r="D15" s="1" t="s">
        <v>43</v>
      </c>
      <c r="E15">
        <v>4499.08</v>
      </c>
      <c r="F15">
        <v>0</v>
      </c>
      <c r="G15" s="1" t="s">
        <v>44</v>
      </c>
      <c r="H15">
        <v>0</v>
      </c>
      <c r="I15">
        <v>132842.64000000001</v>
      </c>
      <c r="J15">
        <v>1</v>
      </c>
      <c r="K15">
        <v>0</v>
      </c>
      <c r="L15">
        <v>1</v>
      </c>
      <c r="M15">
        <v>0</v>
      </c>
      <c r="N15">
        <v>1</v>
      </c>
      <c r="O15">
        <v>4499.08</v>
      </c>
    </row>
    <row r="16" spans="1:15" x14ac:dyDescent="0.3">
      <c r="A16">
        <v>1</v>
      </c>
      <c r="B16" s="1" t="s">
        <v>15</v>
      </c>
      <c r="C16">
        <v>235238.66</v>
      </c>
      <c r="D16" s="1" t="s">
        <v>45</v>
      </c>
      <c r="E16">
        <v>235238.66</v>
      </c>
      <c r="F16">
        <v>0</v>
      </c>
      <c r="G16" s="1" t="s">
        <v>46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235238.66</v>
      </c>
    </row>
    <row r="17" spans="1:15" x14ac:dyDescent="0.3">
      <c r="A17">
        <v>1</v>
      </c>
      <c r="B17" s="1" t="s">
        <v>18</v>
      </c>
      <c r="C17">
        <v>235238.66</v>
      </c>
      <c r="D17" s="1" t="s">
        <v>47</v>
      </c>
      <c r="E17">
        <v>235238.66</v>
      </c>
      <c r="F17">
        <v>0</v>
      </c>
      <c r="G17" s="1" t="s">
        <v>48</v>
      </c>
      <c r="H17">
        <v>0</v>
      </c>
      <c r="I17">
        <v>235238.66</v>
      </c>
      <c r="J17">
        <v>1</v>
      </c>
      <c r="K17">
        <v>0</v>
      </c>
      <c r="L17">
        <v>1</v>
      </c>
      <c r="M17">
        <v>0</v>
      </c>
      <c r="N17">
        <v>1</v>
      </c>
      <c r="O17">
        <v>235238.66</v>
      </c>
    </row>
    <row r="18" spans="1:15" x14ac:dyDescent="0.3">
      <c r="A18">
        <v>2</v>
      </c>
      <c r="B18" s="1" t="s">
        <v>15</v>
      </c>
      <c r="C18">
        <v>1096187.24</v>
      </c>
      <c r="D18" s="1" t="s">
        <v>49</v>
      </c>
      <c r="E18">
        <v>1096187.24</v>
      </c>
      <c r="F18">
        <v>0</v>
      </c>
      <c r="G18" s="1" t="s">
        <v>50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1096187.24</v>
      </c>
    </row>
    <row r="19" spans="1:15" x14ac:dyDescent="0.3">
      <c r="A19">
        <v>2</v>
      </c>
      <c r="B19" s="1" t="s">
        <v>18</v>
      </c>
      <c r="C19">
        <v>1096187.24</v>
      </c>
      <c r="D19" s="1" t="s">
        <v>51</v>
      </c>
      <c r="E19">
        <v>1096187.24</v>
      </c>
      <c r="F19">
        <v>0</v>
      </c>
      <c r="G19" s="1" t="s">
        <v>52</v>
      </c>
      <c r="H19">
        <v>0</v>
      </c>
      <c r="I19">
        <v>1096187.24</v>
      </c>
      <c r="J19">
        <v>1</v>
      </c>
      <c r="K19">
        <v>0</v>
      </c>
      <c r="L19">
        <v>2</v>
      </c>
      <c r="M19">
        <v>0</v>
      </c>
      <c r="N19">
        <v>1</v>
      </c>
      <c r="O19">
        <v>1096187.24</v>
      </c>
    </row>
    <row r="20" spans="1:15" x14ac:dyDescent="0.3">
      <c r="A20">
        <v>2</v>
      </c>
      <c r="B20" s="1" t="s">
        <v>15</v>
      </c>
      <c r="C20">
        <v>963532.14</v>
      </c>
      <c r="D20" s="1" t="s">
        <v>53</v>
      </c>
      <c r="E20">
        <v>963532.14</v>
      </c>
      <c r="F20">
        <v>0</v>
      </c>
      <c r="G20" s="1" t="s">
        <v>54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1</v>
      </c>
      <c r="O20">
        <v>963532.14</v>
      </c>
    </row>
    <row r="21" spans="1:15" x14ac:dyDescent="0.3">
      <c r="A21">
        <v>2</v>
      </c>
      <c r="B21" s="1" t="s">
        <v>18</v>
      </c>
      <c r="C21">
        <v>963532.14</v>
      </c>
      <c r="D21" s="1" t="s">
        <v>55</v>
      </c>
      <c r="E21">
        <v>963532.14</v>
      </c>
      <c r="F21">
        <v>0</v>
      </c>
      <c r="G21" s="1" t="s">
        <v>56</v>
      </c>
      <c r="H21">
        <v>132382.57</v>
      </c>
      <c r="I21">
        <v>1095914.71</v>
      </c>
      <c r="J21">
        <v>1</v>
      </c>
      <c r="K21">
        <v>0</v>
      </c>
      <c r="L21">
        <v>2</v>
      </c>
      <c r="M21">
        <v>0</v>
      </c>
      <c r="N21">
        <v>1</v>
      </c>
      <c r="O21">
        <v>963532.14</v>
      </c>
    </row>
    <row r="22" spans="1:15" x14ac:dyDescent="0.3">
      <c r="A22">
        <v>2</v>
      </c>
      <c r="B22" s="1" t="s">
        <v>15</v>
      </c>
      <c r="C22">
        <v>14949.84</v>
      </c>
      <c r="D22" s="1" t="s">
        <v>57</v>
      </c>
      <c r="E22">
        <v>14949.84</v>
      </c>
      <c r="F22">
        <v>0</v>
      </c>
      <c r="G22" s="1" t="s">
        <v>58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14949.84</v>
      </c>
    </row>
    <row r="23" spans="1:15" x14ac:dyDescent="0.3">
      <c r="A23">
        <v>2</v>
      </c>
      <c r="B23" s="1" t="s">
        <v>18</v>
      </c>
      <c r="C23">
        <v>14949.84</v>
      </c>
      <c r="D23" s="1" t="s">
        <v>59</v>
      </c>
      <c r="E23">
        <v>14949.84</v>
      </c>
      <c r="F23">
        <v>0</v>
      </c>
      <c r="G23" s="1" t="s">
        <v>60</v>
      </c>
      <c r="H23">
        <v>18161.79</v>
      </c>
      <c r="I23">
        <v>33111.629999999997</v>
      </c>
      <c r="J23">
        <v>1</v>
      </c>
      <c r="K23">
        <v>0</v>
      </c>
      <c r="L23">
        <v>2</v>
      </c>
      <c r="M23">
        <v>0</v>
      </c>
      <c r="N23">
        <v>1</v>
      </c>
      <c r="O23">
        <v>14949.84</v>
      </c>
    </row>
    <row r="24" spans="1:15" x14ac:dyDescent="0.3">
      <c r="A24">
        <v>2</v>
      </c>
      <c r="B24" s="1" t="s">
        <v>15</v>
      </c>
      <c r="C24">
        <v>18627.02</v>
      </c>
      <c r="D24" s="1" t="s">
        <v>61</v>
      </c>
      <c r="E24">
        <v>18627.02</v>
      </c>
      <c r="F24">
        <v>0</v>
      </c>
      <c r="G24" s="1" t="s">
        <v>62</v>
      </c>
      <c r="H24">
        <v>0</v>
      </c>
      <c r="I24">
        <v>0</v>
      </c>
      <c r="J24">
        <v>1</v>
      </c>
      <c r="K24">
        <v>0</v>
      </c>
      <c r="L24">
        <v>2</v>
      </c>
      <c r="M24">
        <v>0</v>
      </c>
      <c r="N24">
        <v>1</v>
      </c>
      <c r="O24">
        <v>18627.02</v>
      </c>
    </row>
    <row r="25" spans="1:15" x14ac:dyDescent="0.3">
      <c r="A25">
        <v>2</v>
      </c>
      <c r="B25" s="1" t="s">
        <v>18</v>
      </c>
      <c r="C25">
        <v>18627.02</v>
      </c>
      <c r="D25" s="1" t="s">
        <v>63</v>
      </c>
      <c r="E25">
        <v>18627.02</v>
      </c>
      <c r="F25">
        <v>0</v>
      </c>
      <c r="G25" s="1" t="s">
        <v>64</v>
      </c>
      <c r="H25">
        <v>147251.57999999999</v>
      </c>
      <c r="I25">
        <v>165878.6</v>
      </c>
      <c r="J25">
        <v>1</v>
      </c>
      <c r="K25">
        <v>0</v>
      </c>
      <c r="L25">
        <v>2</v>
      </c>
      <c r="M25">
        <v>0</v>
      </c>
      <c r="N25">
        <v>1</v>
      </c>
      <c r="O25">
        <v>18627.02</v>
      </c>
    </row>
    <row r="26" spans="1:15" x14ac:dyDescent="0.3">
      <c r="A26">
        <v>3</v>
      </c>
      <c r="B26" s="1" t="s">
        <v>15</v>
      </c>
      <c r="C26">
        <v>10539.37</v>
      </c>
      <c r="D26" s="1" t="s">
        <v>65</v>
      </c>
      <c r="E26">
        <v>10539.37</v>
      </c>
      <c r="F26">
        <v>0</v>
      </c>
      <c r="G26" s="1" t="s">
        <v>66</v>
      </c>
      <c r="H26">
        <v>0</v>
      </c>
      <c r="I26">
        <v>0</v>
      </c>
      <c r="J26">
        <v>1</v>
      </c>
      <c r="K26">
        <v>0</v>
      </c>
      <c r="L26">
        <v>3</v>
      </c>
      <c r="M26">
        <v>0</v>
      </c>
      <c r="N26">
        <v>1</v>
      </c>
      <c r="O26">
        <v>10539.37</v>
      </c>
    </row>
    <row r="27" spans="1:15" x14ac:dyDescent="0.3">
      <c r="A27">
        <v>3</v>
      </c>
      <c r="B27" s="1" t="s">
        <v>18</v>
      </c>
      <c r="C27">
        <v>10539.37</v>
      </c>
      <c r="D27" s="1" t="s">
        <v>67</v>
      </c>
      <c r="E27">
        <v>10539.37</v>
      </c>
      <c r="F27">
        <v>0</v>
      </c>
      <c r="G27" s="1" t="s">
        <v>68</v>
      </c>
      <c r="H27">
        <v>0</v>
      </c>
      <c r="I27">
        <v>10539.37</v>
      </c>
      <c r="J27">
        <v>1</v>
      </c>
      <c r="K27">
        <v>0</v>
      </c>
      <c r="L27">
        <v>3</v>
      </c>
      <c r="M27">
        <v>0</v>
      </c>
      <c r="N27">
        <v>1</v>
      </c>
      <c r="O27">
        <v>10539.37</v>
      </c>
    </row>
    <row r="28" spans="1:15" x14ac:dyDescent="0.3">
      <c r="A28">
        <v>3</v>
      </c>
      <c r="B28" s="1" t="s">
        <v>15</v>
      </c>
      <c r="C28">
        <v>22877</v>
      </c>
      <c r="D28" s="1" t="s">
        <v>69</v>
      </c>
      <c r="E28">
        <v>22877</v>
      </c>
      <c r="F28">
        <v>0</v>
      </c>
      <c r="G28" s="1" t="s">
        <v>70</v>
      </c>
      <c r="H28">
        <v>0</v>
      </c>
      <c r="I28">
        <v>0</v>
      </c>
      <c r="J28">
        <v>1</v>
      </c>
      <c r="K28">
        <v>0</v>
      </c>
      <c r="L28">
        <v>3</v>
      </c>
      <c r="M28">
        <v>0</v>
      </c>
      <c r="N28">
        <v>1</v>
      </c>
      <c r="O28">
        <v>22877</v>
      </c>
    </row>
    <row r="29" spans="1:15" x14ac:dyDescent="0.3">
      <c r="A29">
        <v>3</v>
      </c>
      <c r="B29" s="1" t="s">
        <v>18</v>
      </c>
      <c r="C29">
        <v>22877</v>
      </c>
      <c r="D29" s="1" t="s">
        <v>71</v>
      </c>
      <c r="E29">
        <v>22877</v>
      </c>
      <c r="F29">
        <v>0</v>
      </c>
      <c r="G29" s="1" t="s">
        <v>72</v>
      </c>
      <c r="H29">
        <v>0</v>
      </c>
      <c r="I29">
        <v>22877</v>
      </c>
      <c r="J29">
        <v>1</v>
      </c>
      <c r="K29">
        <v>0</v>
      </c>
      <c r="L29">
        <v>3</v>
      </c>
      <c r="M29">
        <v>0</v>
      </c>
      <c r="N29">
        <v>1</v>
      </c>
      <c r="O29">
        <v>22877</v>
      </c>
    </row>
    <row r="30" spans="1:15" x14ac:dyDescent="0.3">
      <c r="A30">
        <v>4</v>
      </c>
      <c r="B30" s="1" t="s">
        <v>15</v>
      </c>
      <c r="C30">
        <v>10000000</v>
      </c>
      <c r="D30" s="1" t="s">
        <v>73</v>
      </c>
      <c r="E30">
        <v>12900000</v>
      </c>
      <c r="F30">
        <v>2930418.44</v>
      </c>
      <c r="G30" s="1" t="s">
        <v>74</v>
      </c>
      <c r="H30">
        <v>0</v>
      </c>
      <c r="I30">
        <v>0</v>
      </c>
      <c r="J30">
        <v>1</v>
      </c>
      <c r="K30">
        <v>0</v>
      </c>
      <c r="L30">
        <v>4</v>
      </c>
      <c r="M30">
        <v>1</v>
      </c>
      <c r="N30">
        <v>0</v>
      </c>
      <c r="O30">
        <v>9969581.5600000005</v>
      </c>
    </row>
    <row r="31" spans="1:15" x14ac:dyDescent="0.3">
      <c r="A31">
        <v>4</v>
      </c>
      <c r="B31" s="1" t="s">
        <v>18</v>
      </c>
      <c r="C31">
        <v>10000000</v>
      </c>
      <c r="D31" s="1" t="s">
        <v>75</v>
      </c>
      <c r="E31">
        <v>10000000</v>
      </c>
      <c r="F31">
        <v>0</v>
      </c>
      <c r="G31" s="1" t="s">
        <v>76</v>
      </c>
      <c r="H31">
        <v>0</v>
      </c>
      <c r="I31">
        <v>9941904.2100000009</v>
      </c>
      <c r="J31">
        <v>1</v>
      </c>
      <c r="K31">
        <v>0</v>
      </c>
      <c r="L31">
        <v>4</v>
      </c>
      <c r="M31">
        <v>1</v>
      </c>
      <c r="N31">
        <v>1</v>
      </c>
      <c r="O31">
        <v>10000000</v>
      </c>
    </row>
    <row r="32" spans="1:15" x14ac:dyDescent="0.3">
      <c r="A32">
        <v>4</v>
      </c>
      <c r="B32" s="1" t="s">
        <v>15</v>
      </c>
      <c r="C32">
        <v>2930418.44</v>
      </c>
      <c r="D32" s="1" t="s">
        <v>77</v>
      </c>
      <c r="E32">
        <v>2930418.44</v>
      </c>
      <c r="F32">
        <v>0</v>
      </c>
      <c r="G32" s="1" t="s">
        <v>78</v>
      </c>
      <c r="H32">
        <v>0</v>
      </c>
      <c r="I32">
        <v>0</v>
      </c>
      <c r="J32">
        <v>1</v>
      </c>
      <c r="K32">
        <v>0</v>
      </c>
      <c r="L32">
        <v>4</v>
      </c>
      <c r="M32">
        <v>0</v>
      </c>
      <c r="N32">
        <v>1</v>
      </c>
      <c r="O32">
        <v>2930418.44</v>
      </c>
    </row>
    <row r="33" spans="1:15" x14ac:dyDescent="0.3">
      <c r="A33">
        <v>4</v>
      </c>
      <c r="B33" s="1" t="s">
        <v>18</v>
      </c>
      <c r="C33">
        <v>2930418.44</v>
      </c>
      <c r="D33" s="1" t="s">
        <v>79</v>
      </c>
      <c r="E33">
        <v>2930418.44</v>
      </c>
      <c r="F33">
        <v>0</v>
      </c>
      <c r="G33" s="1" t="s">
        <v>80</v>
      </c>
      <c r="H33">
        <v>3616012.1</v>
      </c>
      <c r="I33">
        <v>6963508.8399999999</v>
      </c>
      <c r="J33">
        <v>1</v>
      </c>
      <c r="K33">
        <v>0</v>
      </c>
      <c r="L33">
        <v>4</v>
      </c>
      <c r="M33">
        <v>0</v>
      </c>
      <c r="N33">
        <v>1</v>
      </c>
      <c r="O33">
        <v>2930418.44</v>
      </c>
    </row>
    <row r="34" spans="1:15" x14ac:dyDescent="0.3">
      <c r="A34">
        <v>4</v>
      </c>
      <c r="B34" s="1" t="s">
        <v>15</v>
      </c>
      <c r="C34">
        <v>169941.73</v>
      </c>
      <c r="D34" s="1" t="s">
        <v>81</v>
      </c>
      <c r="E34">
        <v>169941.73</v>
      </c>
      <c r="F34">
        <v>0</v>
      </c>
      <c r="G34" s="1" t="s">
        <v>82</v>
      </c>
      <c r="H34">
        <v>0</v>
      </c>
      <c r="I34">
        <v>0</v>
      </c>
      <c r="J34">
        <v>1</v>
      </c>
      <c r="K34">
        <v>0</v>
      </c>
      <c r="L34">
        <v>4</v>
      </c>
      <c r="M34">
        <v>0</v>
      </c>
      <c r="N34">
        <v>1</v>
      </c>
      <c r="O34">
        <v>169941.73</v>
      </c>
    </row>
    <row r="35" spans="1:15" x14ac:dyDescent="0.3">
      <c r="A35">
        <v>4</v>
      </c>
      <c r="B35" s="1" t="s">
        <v>18</v>
      </c>
      <c r="C35">
        <v>169941.73</v>
      </c>
      <c r="D35" s="1" t="s">
        <v>83</v>
      </c>
      <c r="E35">
        <v>169941.73</v>
      </c>
      <c r="F35">
        <v>0</v>
      </c>
      <c r="G35" s="1" t="s">
        <v>84</v>
      </c>
      <c r="H35">
        <v>0</v>
      </c>
      <c r="I35">
        <v>169941.73</v>
      </c>
      <c r="J35">
        <v>1</v>
      </c>
      <c r="K35">
        <v>0</v>
      </c>
      <c r="L35">
        <v>4</v>
      </c>
      <c r="M35">
        <v>0</v>
      </c>
      <c r="N35">
        <v>1</v>
      </c>
      <c r="O35">
        <v>169941.73</v>
      </c>
    </row>
    <row r="36" spans="1:15" x14ac:dyDescent="0.3">
      <c r="A36">
        <v>4</v>
      </c>
      <c r="B36" s="1" t="s">
        <v>15</v>
      </c>
      <c r="C36">
        <v>13707.11</v>
      </c>
      <c r="D36" s="1" t="s">
        <v>85</v>
      </c>
      <c r="E36">
        <v>13707.11</v>
      </c>
      <c r="F36">
        <v>0</v>
      </c>
      <c r="G36" s="1" t="s">
        <v>86</v>
      </c>
      <c r="H36">
        <v>0</v>
      </c>
      <c r="I36">
        <v>0</v>
      </c>
      <c r="J36">
        <v>1</v>
      </c>
      <c r="K36">
        <v>0</v>
      </c>
      <c r="L36">
        <v>4</v>
      </c>
      <c r="M36">
        <v>0</v>
      </c>
      <c r="N36">
        <v>1</v>
      </c>
      <c r="O36">
        <v>13707.11</v>
      </c>
    </row>
    <row r="37" spans="1:15" x14ac:dyDescent="0.3">
      <c r="A37">
        <v>4</v>
      </c>
      <c r="B37" s="1" t="s">
        <v>18</v>
      </c>
      <c r="C37">
        <v>13707.11</v>
      </c>
      <c r="D37" s="1" t="s">
        <v>87</v>
      </c>
      <c r="E37">
        <v>13707.11</v>
      </c>
      <c r="F37">
        <v>0</v>
      </c>
      <c r="G37" s="1" t="s">
        <v>88</v>
      </c>
      <c r="H37">
        <v>0</v>
      </c>
      <c r="I37">
        <v>13707.11</v>
      </c>
      <c r="J37">
        <v>1</v>
      </c>
      <c r="K37">
        <v>0</v>
      </c>
      <c r="L37">
        <v>4</v>
      </c>
      <c r="M37">
        <v>0</v>
      </c>
      <c r="N37">
        <v>1</v>
      </c>
      <c r="O37">
        <v>13707.11</v>
      </c>
    </row>
    <row r="38" spans="1:15" x14ac:dyDescent="0.3">
      <c r="A38">
        <v>4</v>
      </c>
      <c r="B38" s="1" t="s">
        <v>15</v>
      </c>
      <c r="C38">
        <v>86070.17</v>
      </c>
      <c r="D38" s="1" t="s">
        <v>89</v>
      </c>
      <c r="E38">
        <v>86070.17</v>
      </c>
      <c r="F38">
        <v>0</v>
      </c>
      <c r="G38" s="1" t="s">
        <v>90</v>
      </c>
      <c r="H38">
        <v>0</v>
      </c>
      <c r="I38">
        <v>0</v>
      </c>
      <c r="J38">
        <v>1</v>
      </c>
      <c r="K38">
        <v>0</v>
      </c>
      <c r="L38">
        <v>4</v>
      </c>
      <c r="M38">
        <v>0</v>
      </c>
      <c r="N38">
        <v>1</v>
      </c>
      <c r="O38">
        <v>86070.17</v>
      </c>
    </row>
    <row r="39" spans="1:15" x14ac:dyDescent="0.3">
      <c r="A39">
        <v>4</v>
      </c>
      <c r="B39" s="1" t="s">
        <v>18</v>
      </c>
      <c r="C39">
        <v>86070.17</v>
      </c>
      <c r="D39" s="1" t="s">
        <v>91</v>
      </c>
      <c r="E39">
        <v>86070.17</v>
      </c>
      <c r="F39">
        <v>0</v>
      </c>
      <c r="G39" s="1" t="s">
        <v>92</v>
      </c>
      <c r="H39">
        <v>0</v>
      </c>
      <c r="I39">
        <v>86070.17</v>
      </c>
      <c r="J39">
        <v>1</v>
      </c>
      <c r="K39">
        <v>0</v>
      </c>
      <c r="L39">
        <v>4</v>
      </c>
      <c r="M39">
        <v>0</v>
      </c>
      <c r="N39">
        <v>1</v>
      </c>
      <c r="O39">
        <v>86070.17</v>
      </c>
    </row>
    <row r="40" spans="1:15" x14ac:dyDescent="0.3">
      <c r="A40">
        <v>5</v>
      </c>
      <c r="B40" s="1" t="s">
        <v>15</v>
      </c>
      <c r="C40">
        <v>120074.73</v>
      </c>
      <c r="D40" s="1" t="s">
        <v>93</v>
      </c>
      <c r="E40">
        <v>120074.73</v>
      </c>
      <c r="F40">
        <v>0</v>
      </c>
      <c r="G40" s="1" t="s">
        <v>94</v>
      </c>
      <c r="H40">
        <v>0</v>
      </c>
      <c r="I40">
        <v>0</v>
      </c>
      <c r="J40">
        <v>1</v>
      </c>
      <c r="K40">
        <v>0</v>
      </c>
      <c r="L40">
        <v>5</v>
      </c>
      <c r="M40">
        <v>0</v>
      </c>
      <c r="N40">
        <v>1</v>
      </c>
      <c r="O40">
        <v>120074.73</v>
      </c>
    </row>
    <row r="41" spans="1:15" x14ac:dyDescent="0.3">
      <c r="A41">
        <v>5</v>
      </c>
      <c r="B41" s="1" t="s">
        <v>18</v>
      </c>
      <c r="C41">
        <v>120074.73</v>
      </c>
      <c r="D41" s="1" t="s">
        <v>95</v>
      </c>
      <c r="E41">
        <v>120074.73</v>
      </c>
      <c r="F41">
        <v>0</v>
      </c>
      <c r="G41" s="1" t="s">
        <v>86</v>
      </c>
      <c r="H41">
        <v>0</v>
      </c>
      <c r="I41">
        <v>120074.73</v>
      </c>
      <c r="J41">
        <v>1</v>
      </c>
      <c r="K41">
        <v>0</v>
      </c>
      <c r="L41">
        <v>5</v>
      </c>
      <c r="M41">
        <v>0</v>
      </c>
      <c r="N41">
        <v>1</v>
      </c>
      <c r="O41">
        <v>120074.73</v>
      </c>
    </row>
    <row r="42" spans="1:15" x14ac:dyDescent="0.3">
      <c r="A42">
        <v>5</v>
      </c>
      <c r="B42" s="1" t="s">
        <v>15</v>
      </c>
      <c r="C42">
        <v>60726.57</v>
      </c>
      <c r="D42" s="1" t="s">
        <v>96</v>
      </c>
      <c r="E42">
        <v>60726.57</v>
      </c>
      <c r="F42">
        <v>0</v>
      </c>
      <c r="G42" s="1" t="s">
        <v>97</v>
      </c>
      <c r="H42">
        <v>0</v>
      </c>
      <c r="I42">
        <v>0</v>
      </c>
      <c r="J42">
        <v>1</v>
      </c>
      <c r="K42">
        <v>0</v>
      </c>
      <c r="L42">
        <v>5</v>
      </c>
      <c r="M42">
        <v>0</v>
      </c>
      <c r="N42">
        <v>1</v>
      </c>
      <c r="O42">
        <v>60726.57</v>
      </c>
    </row>
    <row r="43" spans="1:15" x14ac:dyDescent="0.3">
      <c r="A43">
        <v>5</v>
      </c>
      <c r="B43" s="1" t="s">
        <v>18</v>
      </c>
      <c r="C43">
        <v>60726.57</v>
      </c>
      <c r="D43" s="1" t="s">
        <v>98</v>
      </c>
      <c r="E43">
        <v>60726.57</v>
      </c>
      <c r="F43">
        <v>0</v>
      </c>
      <c r="G43" s="1" t="s">
        <v>99</v>
      </c>
      <c r="H43">
        <v>13000000</v>
      </c>
      <c r="I43">
        <v>13100000</v>
      </c>
      <c r="J43">
        <v>1</v>
      </c>
      <c r="K43">
        <v>0</v>
      </c>
      <c r="L43">
        <v>5</v>
      </c>
      <c r="M43">
        <v>0</v>
      </c>
      <c r="N43">
        <v>1</v>
      </c>
      <c r="O43">
        <v>60726.57</v>
      </c>
    </row>
    <row r="44" spans="1:15" x14ac:dyDescent="0.3">
      <c r="A44">
        <v>5</v>
      </c>
      <c r="B44" s="1" t="s">
        <v>15</v>
      </c>
      <c r="C44">
        <v>10119.469999999999</v>
      </c>
      <c r="D44" s="1" t="s">
        <v>100</v>
      </c>
      <c r="E44">
        <v>10119.469999999999</v>
      </c>
      <c r="F44">
        <v>0</v>
      </c>
      <c r="G44" s="1" t="s">
        <v>101</v>
      </c>
      <c r="H44">
        <v>0</v>
      </c>
      <c r="I44">
        <v>0</v>
      </c>
      <c r="J44">
        <v>1</v>
      </c>
      <c r="K44">
        <v>0</v>
      </c>
      <c r="L44">
        <v>5</v>
      </c>
      <c r="M44">
        <v>0</v>
      </c>
      <c r="N44">
        <v>1</v>
      </c>
      <c r="O44">
        <v>10119.469999999999</v>
      </c>
    </row>
    <row r="45" spans="1:15" x14ac:dyDescent="0.3">
      <c r="A45">
        <v>5</v>
      </c>
      <c r="B45" s="1" t="s">
        <v>18</v>
      </c>
      <c r="C45">
        <v>10119.469999999999</v>
      </c>
      <c r="D45" s="1" t="s">
        <v>102</v>
      </c>
      <c r="E45">
        <v>10119.469999999999</v>
      </c>
      <c r="F45">
        <v>0</v>
      </c>
      <c r="G45" s="1" t="s">
        <v>103</v>
      </c>
      <c r="H45">
        <v>0</v>
      </c>
      <c r="I45">
        <v>10119.469999999999</v>
      </c>
      <c r="J45">
        <v>1</v>
      </c>
      <c r="K45">
        <v>0</v>
      </c>
      <c r="L45">
        <v>5</v>
      </c>
      <c r="M45">
        <v>0</v>
      </c>
      <c r="N45">
        <v>1</v>
      </c>
      <c r="O45">
        <v>10119.469999999999</v>
      </c>
    </row>
    <row r="46" spans="1:15" x14ac:dyDescent="0.3">
      <c r="A46">
        <v>6</v>
      </c>
      <c r="B46" s="1" t="s">
        <v>15</v>
      </c>
      <c r="C46">
        <v>33332.86</v>
      </c>
      <c r="D46" s="1" t="s">
        <v>104</v>
      </c>
      <c r="E46">
        <v>33332.86</v>
      </c>
      <c r="F46">
        <v>0</v>
      </c>
      <c r="G46" s="1" t="s">
        <v>105</v>
      </c>
      <c r="H46">
        <v>0</v>
      </c>
      <c r="I46">
        <v>0</v>
      </c>
      <c r="J46">
        <v>1</v>
      </c>
      <c r="K46">
        <v>0</v>
      </c>
      <c r="L46">
        <v>6</v>
      </c>
      <c r="M46">
        <v>0</v>
      </c>
      <c r="N46">
        <v>1</v>
      </c>
      <c r="O46">
        <v>33332.86</v>
      </c>
    </row>
    <row r="47" spans="1:15" x14ac:dyDescent="0.3">
      <c r="A47">
        <v>6</v>
      </c>
      <c r="B47" s="1" t="s">
        <v>18</v>
      </c>
      <c r="C47">
        <v>33332.86</v>
      </c>
      <c r="D47" s="1" t="s">
        <v>106</v>
      </c>
      <c r="E47">
        <v>33332.86</v>
      </c>
      <c r="F47">
        <v>0</v>
      </c>
      <c r="G47" s="1" t="s">
        <v>107</v>
      </c>
      <c r="H47">
        <v>31002</v>
      </c>
      <c r="I47">
        <v>0</v>
      </c>
      <c r="J47">
        <v>1</v>
      </c>
      <c r="K47">
        <v>0</v>
      </c>
      <c r="L47">
        <v>6</v>
      </c>
      <c r="M47">
        <v>0</v>
      </c>
      <c r="N47">
        <v>1</v>
      </c>
      <c r="O47">
        <v>33332.86</v>
      </c>
    </row>
    <row r="48" spans="1:15" x14ac:dyDescent="0.3">
      <c r="A48">
        <v>6</v>
      </c>
      <c r="B48" s="1" t="s">
        <v>15</v>
      </c>
      <c r="C48">
        <v>25975.86</v>
      </c>
      <c r="D48" s="1" t="s">
        <v>108</v>
      </c>
      <c r="E48">
        <v>25975.86</v>
      </c>
      <c r="F48">
        <v>0</v>
      </c>
      <c r="G48" s="1" t="s">
        <v>109</v>
      </c>
      <c r="H48">
        <v>0</v>
      </c>
      <c r="I48">
        <v>0</v>
      </c>
      <c r="J48">
        <v>1</v>
      </c>
      <c r="K48">
        <v>0</v>
      </c>
      <c r="L48">
        <v>6</v>
      </c>
      <c r="M48">
        <v>0</v>
      </c>
      <c r="N48">
        <v>1</v>
      </c>
      <c r="O48">
        <v>25975.86</v>
      </c>
    </row>
    <row r="49" spans="1:15" x14ac:dyDescent="0.3">
      <c r="A49">
        <v>6</v>
      </c>
      <c r="B49" s="1" t="s">
        <v>18</v>
      </c>
      <c r="C49">
        <v>25975.86</v>
      </c>
      <c r="D49" s="1" t="s">
        <v>110</v>
      </c>
      <c r="E49">
        <v>25975.86</v>
      </c>
      <c r="F49">
        <v>0</v>
      </c>
      <c r="G49" s="1" t="s">
        <v>111</v>
      </c>
      <c r="H49">
        <v>98152</v>
      </c>
      <c r="I49">
        <v>28041.27</v>
      </c>
      <c r="J49">
        <v>1</v>
      </c>
      <c r="K49">
        <v>0</v>
      </c>
      <c r="L49">
        <v>6</v>
      </c>
      <c r="M49">
        <v>0</v>
      </c>
      <c r="N49">
        <v>1</v>
      </c>
      <c r="O49">
        <v>25975.86</v>
      </c>
    </row>
    <row r="50" spans="1:15" x14ac:dyDescent="0.3">
      <c r="A50">
        <v>6</v>
      </c>
      <c r="B50" s="1" t="s">
        <v>15</v>
      </c>
      <c r="C50">
        <v>26768.5</v>
      </c>
      <c r="D50" s="1" t="s">
        <v>112</v>
      </c>
      <c r="E50">
        <v>26768.5</v>
      </c>
      <c r="F50">
        <v>0</v>
      </c>
      <c r="G50" s="1" t="s">
        <v>113</v>
      </c>
      <c r="H50">
        <v>0</v>
      </c>
      <c r="I50">
        <v>0</v>
      </c>
      <c r="J50">
        <v>1</v>
      </c>
      <c r="K50">
        <v>0</v>
      </c>
      <c r="L50">
        <v>6</v>
      </c>
      <c r="M50">
        <v>0</v>
      </c>
      <c r="N50">
        <v>1</v>
      </c>
      <c r="O50">
        <v>26768.5</v>
      </c>
    </row>
    <row r="51" spans="1:15" x14ac:dyDescent="0.3">
      <c r="A51">
        <v>6</v>
      </c>
      <c r="B51" s="1" t="s">
        <v>18</v>
      </c>
      <c r="C51">
        <v>26768.5</v>
      </c>
      <c r="D51" s="1" t="s">
        <v>114</v>
      </c>
      <c r="E51">
        <v>26768.5</v>
      </c>
      <c r="F51">
        <v>0</v>
      </c>
      <c r="G51" s="1" t="s">
        <v>115</v>
      </c>
      <c r="H51">
        <v>101976</v>
      </c>
      <c r="I51">
        <v>128744.5</v>
      </c>
      <c r="J51">
        <v>1</v>
      </c>
      <c r="K51">
        <v>0</v>
      </c>
      <c r="L51">
        <v>6</v>
      </c>
      <c r="M51">
        <v>0</v>
      </c>
      <c r="N51">
        <v>1</v>
      </c>
      <c r="O51">
        <v>26768.5</v>
      </c>
    </row>
    <row r="52" spans="1:15" x14ac:dyDescent="0.3">
      <c r="A52">
        <v>6</v>
      </c>
      <c r="B52" s="1" t="s">
        <v>15</v>
      </c>
      <c r="C52">
        <v>30521.02</v>
      </c>
      <c r="D52" s="1" t="s">
        <v>116</v>
      </c>
      <c r="E52">
        <v>30521.02</v>
      </c>
      <c r="F52">
        <v>0</v>
      </c>
      <c r="G52" s="1" t="s">
        <v>117</v>
      </c>
      <c r="H52">
        <v>0</v>
      </c>
      <c r="I52">
        <v>0</v>
      </c>
      <c r="J52">
        <v>1</v>
      </c>
      <c r="K52">
        <v>0</v>
      </c>
      <c r="L52">
        <v>6</v>
      </c>
      <c r="M52">
        <v>0</v>
      </c>
      <c r="N52">
        <v>1</v>
      </c>
      <c r="O52">
        <v>30521.02</v>
      </c>
    </row>
    <row r="53" spans="1:15" x14ac:dyDescent="0.3">
      <c r="A53">
        <v>6</v>
      </c>
      <c r="B53" s="1" t="s">
        <v>18</v>
      </c>
      <c r="C53">
        <v>30521.02</v>
      </c>
      <c r="D53" s="1" t="s">
        <v>118</v>
      </c>
      <c r="E53">
        <v>30521.02</v>
      </c>
      <c r="F53">
        <v>0</v>
      </c>
      <c r="G53" s="1" t="s">
        <v>119</v>
      </c>
      <c r="H53">
        <v>0</v>
      </c>
      <c r="I53">
        <v>30521.02</v>
      </c>
      <c r="J53">
        <v>1</v>
      </c>
      <c r="K53">
        <v>0</v>
      </c>
      <c r="L53">
        <v>6</v>
      </c>
      <c r="M53">
        <v>0</v>
      </c>
      <c r="N53">
        <v>1</v>
      </c>
      <c r="O53">
        <v>30521.02</v>
      </c>
    </row>
    <row r="54" spans="1:15" x14ac:dyDescent="0.3">
      <c r="A54">
        <v>6</v>
      </c>
      <c r="B54" s="1" t="s">
        <v>15</v>
      </c>
      <c r="C54">
        <v>216422</v>
      </c>
      <c r="D54" s="1" t="s">
        <v>120</v>
      </c>
      <c r="E54">
        <v>216422</v>
      </c>
      <c r="F54">
        <v>0</v>
      </c>
      <c r="G54" s="1" t="s">
        <v>121</v>
      </c>
      <c r="H54">
        <v>0</v>
      </c>
      <c r="I54">
        <v>0</v>
      </c>
      <c r="J54">
        <v>1</v>
      </c>
      <c r="K54">
        <v>0</v>
      </c>
      <c r="L54">
        <v>6</v>
      </c>
      <c r="M54">
        <v>0</v>
      </c>
      <c r="N54">
        <v>1</v>
      </c>
      <c r="O54">
        <v>216422</v>
      </c>
    </row>
    <row r="55" spans="1:15" x14ac:dyDescent="0.3">
      <c r="A55">
        <v>6</v>
      </c>
      <c r="B55" s="1" t="s">
        <v>18</v>
      </c>
      <c r="C55">
        <v>216422</v>
      </c>
      <c r="D55" s="1" t="s">
        <v>122</v>
      </c>
      <c r="E55">
        <v>216422</v>
      </c>
      <c r="F55">
        <v>0</v>
      </c>
      <c r="G55" s="1" t="s">
        <v>123</v>
      </c>
      <c r="H55">
        <v>10097</v>
      </c>
      <c r="I55">
        <v>48630.5</v>
      </c>
      <c r="J55">
        <v>1</v>
      </c>
      <c r="K55">
        <v>0</v>
      </c>
      <c r="L55">
        <v>6</v>
      </c>
      <c r="M55">
        <v>0</v>
      </c>
      <c r="N55">
        <v>1</v>
      </c>
      <c r="O55">
        <v>216422</v>
      </c>
    </row>
    <row r="56" spans="1:15" x14ac:dyDescent="0.3">
      <c r="A56">
        <v>6</v>
      </c>
      <c r="B56" s="1" t="s">
        <v>15</v>
      </c>
      <c r="C56">
        <v>17320.91</v>
      </c>
      <c r="D56" s="1" t="s">
        <v>124</v>
      </c>
      <c r="E56">
        <v>17320.91</v>
      </c>
      <c r="F56">
        <v>0</v>
      </c>
      <c r="G56" s="1" t="s">
        <v>125</v>
      </c>
      <c r="H56">
        <v>0</v>
      </c>
      <c r="I56">
        <v>0</v>
      </c>
      <c r="J56">
        <v>1</v>
      </c>
      <c r="K56">
        <v>0</v>
      </c>
      <c r="L56">
        <v>6</v>
      </c>
      <c r="M56">
        <v>0</v>
      </c>
      <c r="N56">
        <v>1</v>
      </c>
      <c r="O56">
        <v>17320.91</v>
      </c>
    </row>
    <row r="57" spans="1:15" x14ac:dyDescent="0.3">
      <c r="A57">
        <v>6</v>
      </c>
      <c r="B57" s="1" t="s">
        <v>18</v>
      </c>
      <c r="C57">
        <v>17320.91</v>
      </c>
      <c r="D57" s="1" t="s">
        <v>126</v>
      </c>
      <c r="E57">
        <v>17320.91</v>
      </c>
      <c r="F57">
        <v>0</v>
      </c>
      <c r="G57" s="1" t="s">
        <v>127</v>
      </c>
      <c r="H57">
        <v>6244.44</v>
      </c>
      <c r="I57">
        <v>0</v>
      </c>
      <c r="J57">
        <v>1</v>
      </c>
      <c r="K57">
        <v>0</v>
      </c>
      <c r="L57">
        <v>6</v>
      </c>
      <c r="M57">
        <v>0</v>
      </c>
      <c r="N57">
        <v>1</v>
      </c>
      <c r="O57">
        <v>17320.91</v>
      </c>
    </row>
    <row r="58" spans="1:15" x14ac:dyDescent="0.3">
      <c r="A58">
        <v>6</v>
      </c>
      <c r="B58" s="1" t="s">
        <v>15</v>
      </c>
      <c r="C58">
        <v>17246</v>
      </c>
      <c r="D58" s="1" t="s">
        <v>128</v>
      </c>
      <c r="E58">
        <v>17246</v>
      </c>
      <c r="F58">
        <v>0</v>
      </c>
      <c r="G58" s="1" t="s">
        <v>129</v>
      </c>
      <c r="H58">
        <v>0</v>
      </c>
      <c r="I58">
        <v>101717.84</v>
      </c>
      <c r="J58">
        <v>1</v>
      </c>
      <c r="K58">
        <v>0</v>
      </c>
      <c r="L58">
        <v>6</v>
      </c>
      <c r="M58">
        <v>0</v>
      </c>
      <c r="N58">
        <v>1</v>
      </c>
      <c r="O58">
        <v>17246</v>
      </c>
    </row>
    <row r="59" spans="1:15" x14ac:dyDescent="0.3">
      <c r="A59">
        <v>6</v>
      </c>
      <c r="B59" s="1" t="s">
        <v>18</v>
      </c>
      <c r="C59">
        <v>17246</v>
      </c>
      <c r="D59" s="1" t="s">
        <v>130</v>
      </c>
      <c r="E59">
        <v>17246</v>
      </c>
      <c r="F59">
        <v>0</v>
      </c>
      <c r="G59" s="1" t="s">
        <v>131</v>
      </c>
      <c r="H59">
        <v>0</v>
      </c>
      <c r="I59">
        <v>17246</v>
      </c>
      <c r="J59">
        <v>1</v>
      </c>
      <c r="K59">
        <v>0</v>
      </c>
      <c r="L59">
        <v>6</v>
      </c>
      <c r="M59">
        <v>0</v>
      </c>
      <c r="N59">
        <v>1</v>
      </c>
      <c r="O59">
        <v>17246</v>
      </c>
    </row>
    <row r="60" spans="1:15" x14ac:dyDescent="0.3">
      <c r="A60">
        <v>6</v>
      </c>
      <c r="B60" s="1" t="s">
        <v>15</v>
      </c>
      <c r="C60">
        <v>10565</v>
      </c>
      <c r="D60" s="1" t="s">
        <v>132</v>
      </c>
      <c r="E60">
        <v>10565</v>
      </c>
      <c r="F60">
        <v>0</v>
      </c>
      <c r="G60" s="1" t="s">
        <v>133</v>
      </c>
      <c r="H60">
        <v>0</v>
      </c>
      <c r="I60">
        <v>0</v>
      </c>
      <c r="J60">
        <v>1</v>
      </c>
      <c r="K60">
        <v>0</v>
      </c>
      <c r="L60">
        <v>6</v>
      </c>
      <c r="M60">
        <v>0</v>
      </c>
      <c r="N60">
        <v>1</v>
      </c>
      <c r="O60">
        <v>10565</v>
      </c>
    </row>
    <row r="61" spans="1:15" x14ac:dyDescent="0.3">
      <c r="A61">
        <v>6</v>
      </c>
      <c r="B61" s="1" t="s">
        <v>18</v>
      </c>
      <c r="C61">
        <v>10565</v>
      </c>
      <c r="D61" s="1" t="s">
        <v>134</v>
      </c>
      <c r="E61">
        <v>10565</v>
      </c>
      <c r="F61">
        <v>0</v>
      </c>
      <c r="G61" s="1" t="s">
        <v>135</v>
      </c>
      <c r="H61">
        <v>36275</v>
      </c>
      <c r="I61">
        <v>24380.720000000001</v>
      </c>
      <c r="J61">
        <v>1</v>
      </c>
      <c r="K61">
        <v>0</v>
      </c>
      <c r="L61">
        <v>6</v>
      </c>
      <c r="M61">
        <v>0</v>
      </c>
      <c r="N61">
        <v>1</v>
      </c>
      <c r="O61">
        <v>10565</v>
      </c>
    </row>
    <row r="62" spans="1:15" x14ac:dyDescent="0.3">
      <c r="A62">
        <v>6</v>
      </c>
      <c r="B62" s="1" t="s">
        <v>15</v>
      </c>
      <c r="C62">
        <v>10224</v>
      </c>
      <c r="D62" s="1" t="s">
        <v>136</v>
      </c>
      <c r="E62">
        <v>10224</v>
      </c>
      <c r="F62">
        <v>0</v>
      </c>
      <c r="G62" s="1" t="s">
        <v>137</v>
      </c>
      <c r="H62">
        <v>0</v>
      </c>
      <c r="I62">
        <v>0</v>
      </c>
      <c r="J62">
        <v>1</v>
      </c>
      <c r="K62">
        <v>0</v>
      </c>
      <c r="L62">
        <v>6</v>
      </c>
      <c r="M62">
        <v>0</v>
      </c>
      <c r="N62">
        <v>1</v>
      </c>
      <c r="O62">
        <v>10224</v>
      </c>
    </row>
    <row r="63" spans="1:15" x14ac:dyDescent="0.3">
      <c r="A63">
        <v>6</v>
      </c>
      <c r="B63" s="1" t="s">
        <v>18</v>
      </c>
      <c r="C63">
        <v>10224</v>
      </c>
      <c r="D63" s="1" t="s">
        <v>138</v>
      </c>
      <c r="E63">
        <v>10224</v>
      </c>
      <c r="F63">
        <v>0</v>
      </c>
      <c r="G63" s="1" t="s">
        <v>139</v>
      </c>
      <c r="H63">
        <v>0</v>
      </c>
      <c r="I63">
        <v>10224</v>
      </c>
      <c r="J63">
        <v>1</v>
      </c>
      <c r="K63">
        <v>0</v>
      </c>
      <c r="L63">
        <v>6</v>
      </c>
      <c r="M63">
        <v>0</v>
      </c>
      <c r="N63">
        <v>1</v>
      </c>
      <c r="O63">
        <v>10224</v>
      </c>
    </row>
    <row r="64" spans="1:15" x14ac:dyDescent="0.3">
      <c r="A64">
        <v>6</v>
      </c>
      <c r="B64" s="1" t="s">
        <v>15</v>
      </c>
      <c r="C64">
        <v>85354.69</v>
      </c>
      <c r="D64" s="1" t="s">
        <v>140</v>
      </c>
      <c r="E64">
        <v>85354.69</v>
      </c>
      <c r="F64">
        <v>0</v>
      </c>
      <c r="G64" s="1" t="s">
        <v>141</v>
      </c>
      <c r="H64">
        <v>0</v>
      </c>
      <c r="I64">
        <v>0</v>
      </c>
      <c r="J64">
        <v>1</v>
      </c>
      <c r="K64">
        <v>0</v>
      </c>
      <c r="L64">
        <v>6</v>
      </c>
      <c r="M64">
        <v>0</v>
      </c>
      <c r="N64">
        <v>1</v>
      </c>
      <c r="O64">
        <v>85354.69</v>
      </c>
    </row>
    <row r="65" spans="1:15" x14ac:dyDescent="0.3">
      <c r="A65">
        <v>6</v>
      </c>
      <c r="B65" s="1" t="s">
        <v>18</v>
      </c>
      <c r="C65">
        <v>85354.69</v>
      </c>
      <c r="D65" s="1" t="s">
        <v>142</v>
      </c>
      <c r="E65">
        <v>85354.69</v>
      </c>
      <c r="F65">
        <v>0</v>
      </c>
      <c r="G65" s="1" t="s">
        <v>143</v>
      </c>
      <c r="H65">
        <v>11170</v>
      </c>
      <c r="I65">
        <v>10612.55</v>
      </c>
      <c r="J65">
        <v>1</v>
      </c>
      <c r="K65">
        <v>0</v>
      </c>
      <c r="L65">
        <v>6</v>
      </c>
      <c r="M65">
        <v>0</v>
      </c>
      <c r="N65">
        <v>1</v>
      </c>
      <c r="O65">
        <v>85354.69</v>
      </c>
    </row>
    <row r="66" spans="1:15" x14ac:dyDescent="0.3">
      <c r="A66">
        <v>6</v>
      </c>
      <c r="B66" s="1" t="s">
        <v>15</v>
      </c>
      <c r="C66">
        <v>13704</v>
      </c>
      <c r="D66" s="1" t="s">
        <v>144</v>
      </c>
      <c r="E66">
        <v>13704</v>
      </c>
      <c r="F66">
        <v>0</v>
      </c>
      <c r="G66" s="1" t="s">
        <v>145</v>
      </c>
      <c r="H66">
        <v>0</v>
      </c>
      <c r="I66">
        <v>1658746.09</v>
      </c>
      <c r="J66">
        <v>1</v>
      </c>
      <c r="K66">
        <v>0</v>
      </c>
      <c r="L66">
        <v>6</v>
      </c>
      <c r="M66">
        <v>0</v>
      </c>
      <c r="N66">
        <v>1</v>
      </c>
      <c r="O66">
        <v>13704</v>
      </c>
    </row>
    <row r="67" spans="1:15" x14ac:dyDescent="0.3">
      <c r="A67">
        <v>6</v>
      </c>
      <c r="B67" s="1" t="s">
        <v>18</v>
      </c>
      <c r="C67">
        <v>13704</v>
      </c>
      <c r="D67" s="1" t="s">
        <v>146</v>
      </c>
      <c r="E67">
        <v>13704</v>
      </c>
      <c r="F67">
        <v>0</v>
      </c>
      <c r="G67" s="1" t="s">
        <v>147</v>
      </c>
      <c r="H67">
        <v>3382.84</v>
      </c>
      <c r="I67">
        <v>143675.35</v>
      </c>
      <c r="J67">
        <v>1</v>
      </c>
      <c r="K67">
        <v>0</v>
      </c>
      <c r="L67">
        <v>6</v>
      </c>
      <c r="M67">
        <v>0</v>
      </c>
      <c r="N67">
        <v>1</v>
      </c>
      <c r="O67">
        <v>13704</v>
      </c>
    </row>
    <row r="68" spans="1:15" x14ac:dyDescent="0.3">
      <c r="A68">
        <v>7</v>
      </c>
      <c r="B68" s="1" t="s">
        <v>15</v>
      </c>
      <c r="C68">
        <v>262434.53999999998</v>
      </c>
      <c r="D68" s="1" t="s">
        <v>148</v>
      </c>
      <c r="E68">
        <v>262434.53999999998</v>
      </c>
      <c r="F68">
        <v>0</v>
      </c>
      <c r="G68" s="1" t="s">
        <v>149</v>
      </c>
      <c r="H68">
        <v>0</v>
      </c>
      <c r="I68">
        <v>0</v>
      </c>
      <c r="J68">
        <v>1</v>
      </c>
      <c r="K68">
        <v>0</v>
      </c>
      <c r="L68">
        <v>7</v>
      </c>
      <c r="M68">
        <v>0</v>
      </c>
      <c r="N68">
        <v>1</v>
      </c>
      <c r="O68">
        <v>262434.53999999998</v>
      </c>
    </row>
    <row r="69" spans="1:15" x14ac:dyDescent="0.3">
      <c r="A69">
        <v>7</v>
      </c>
      <c r="B69" s="1" t="s">
        <v>18</v>
      </c>
      <c r="C69">
        <v>262434.53999999998</v>
      </c>
      <c r="D69" s="1" t="s">
        <v>150</v>
      </c>
      <c r="E69">
        <v>262434.53999999998</v>
      </c>
      <c r="F69">
        <v>0</v>
      </c>
      <c r="G69" s="1" t="s">
        <v>151</v>
      </c>
      <c r="H69">
        <v>19525.79</v>
      </c>
      <c r="I69">
        <v>438233.86</v>
      </c>
      <c r="J69">
        <v>1</v>
      </c>
      <c r="K69">
        <v>0</v>
      </c>
      <c r="L69">
        <v>7</v>
      </c>
      <c r="M69">
        <v>0</v>
      </c>
      <c r="N69">
        <v>1</v>
      </c>
      <c r="O69">
        <v>262434.53999999998</v>
      </c>
    </row>
    <row r="70" spans="1:15" x14ac:dyDescent="0.3">
      <c r="A70">
        <v>7</v>
      </c>
      <c r="B70" s="1" t="s">
        <v>15</v>
      </c>
      <c r="C70">
        <v>21729</v>
      </c>
      <c r="D70" s="1" t="s">
        <v>152</v>
      </c>
      <c r="E70">
        <v>21729</v>
      </c>
      <c r="F70">
        <v>0</v>
      </c>
      <c r="G70" s="1" t="s">
        <v>153</v>
      </c>
      <c r="H70">
        <v>0</v>
      </c>
      <c r="I70">
        <v>0</v>
      </c>
      <c r="J70">
        <v>1</v>
      </c>
      <c r="K70">
        <v>0</v>
      </c>
      <c r="L70">
        <v>7</v>
      </c>
      <c r="M70">
        <v>0</v>
      </c>
      <c r="N70">
        <v>1</v>
      </c>
      <c r="O70">
        <v>21729</v>
      </c>
    </row>
    <row r="71" spans="1:15" x14ac:dyDescent="0.3">
      <c r="A71">
        <v>7</v>
      </c>
      <c r="B71" s="1" t="s">
        <v>18</v>
      </c>
      <c r="C71">
        <v>21729</v>
      </c>
      <c r="D71" s="1" t="s">
        <v>154</v>
      </c>
      <c r="E71">
        <v>21729</v>
      </c>
      <c r="F71">
        <v>0</v>
      </c>
      <c r="G71" s="1" t="s">
        <v>155</v>
      </c>
      <c r="H71">
        <v>27335</v>
      </c>
      <c r="I71">
        <v>0</v>
      </c>
      <c r="J71">
        <v>1</v>
      </c>
      <c r="K71">
        <v>0</v>
      </c>
      <c r="L71">
        <v>7</v>
      </c>
      <c r="M71">
        <v>0</v>
      </c>
      <c r="N71">
        <v>1</v>
      </c>
      <c r="O71">
        <v>21729</v>
      </c>
    </row>
    <row r="72" spans="1:15" x14ac:dyDescent="0.3">
      <c r="A72">
        <v>7</v>
      </c>
      <c r="B72" s="1" t="s">
        <v>15</v>
      </c>
      <c r="C72">
        <v>5460002.9100000001</v>
      </c>
      <c r="D72" s="1" t="s">
        <v>156</v>
      </c>
      <c r="E72">
        <v>5460002.9100000001</v>
      </c>
      <c r="F72">
        <v>0</v>
      </c>
      <c r="G72" s="1" t="s">
        <v>157</v>
      </c>
      <c r="H72">
        <v>0</v>
      </c>
      <c r="I72">
        <v>0</v>
      </c>
      <c r="J72">
        <v>1</v>
      </c>
      <c r="K72">
        <v>0</v>
      </c>
      <c r="L72">
        <v>7</v>
      </c>
      <c r="M72">
        <v>0</v>
      </c>
      <c r="N72">
        <v>1</v>
      </c>
      <c r="O72">
        <v>5460002.9100000001</v>
      </c>
    </row>
    <row r="73" spans="1:15" x14ac:dyDescent="0.3">
      <c r="A73">
        <v>7</v>
      </c>
      <c r="B73" s="1" t="s">
        <v>18</v>
      </c>
      <c r="C73">
        <v>5460002.9100000001</v>
      </c>
      <c r="D73" s="1" t="s">
        <v>158</v>
      </c>
      <c r="E73">
        <v>5460002.9100000001</v>
      </c>
      <c r="F73">
        <v>0</v>
      </c>
      <c r="G73" s="1" t="s">
        <v>159</v>
      </c>
      <c r="H73">
        <v>0</v>
      </c>
      <c r="I73">
        <v>9281535.4399999995</v>
      </c>
      <c r="J73">
        <v>1</v>
      </c>
      <c r="K73">
        <v>0</v>
      </c>
      <c r="L73">
        <v>7</v>
      </c>
      <c r="M73">
        <v>0</v>
      </c>
      <c r="N73">
        <v>1</v>
      </c>
      <c r="O73">
        <v>5460002.9100000001</v>
      </c>
    </row>
    <row r="74" spans="1:15" x14ac:dyDescent="0.3">
      <c r="A74">
        <v>7</v>
      </c>
      <c r="B74" s="1" t="s">
        <v>15</v>
      </c>
      <c r="C74">
        <v>164</v>
      </c>
      <c r="D74" s="1" t="s">
        <v>160</v>
      </c>
      <c r="E74">
        <v>164</v>
      </c>
      <c r="F74">
        <v>0</v>
      </c>
      <c r="G74" s="1" t="s">
        <v>161</v>
      </c>
      <c r="H74">
        <v>0</v>
      </c>
      <c r="I74">
        <v>0</v>
      </c>
      <c r="J74">
        <v>1</v>
      </c>
      <c r="K74">
        <v>0</v>
      </c>
      <c r="L74">
        <v>7</v>
      </c>
      <c r="M74">
        <v>0</v>
      </c>
      <c r="N74">
        <v>1</v>
      </c>
      <c r="O74">
        <v>164</v>
      </c>
    </row>
    <row r="75" spans="1:15" x14ac:dyDescent="0.3">
      <c r="A75">
        <v>7</v>
      </c>
      <c r="B75" s="1" t="s">
        <v>18</v>
      </c>
      <c r="C75">
        <v>164</v>
      </c>
      <c r="D75" s="1" t="s">
        <v>162</v>
      </c>
      <c r="E75">
        <v>164</v>
      </c>
      <c r="F75">
        <v>0</v>
      </c>
      <c r="G75" s="1" t="s">
        <v>163</v>
      </c>
      <c r="H75">
        <v>4068</v>
      </c>
      <c r="I75">
        <v>0</v>
      </c>
      <c r="J75">
        <v>1</v>
      </c>
      <c r="K75">
        <v>0</v>
      </c>
      <c r="L75">
        <v>7</v>
      </c>
      <c r="M75">
        <v>0</v>
      </c>
      <c r="N75">
        <v>1</v>
      </c>
      <c r="O75">
        <v>164</v>
      </c>
    </row>
    <row r="76" spans="1:15" x14ac:dyDescent="0.3">
      <c r="A76">
        <v>7</v>
      </c>
      <c r="B76" s="1" t="s">
        <v>15</v>
      </c>
      <c r="C76">
        <v>21571</v>
      </c>
      <c r="D76" s="1" t="s">
        <v>164</v>
      </c>
      <c r="E76">
        <v>21571</v>
      </c>
      <c r="F76">
        <v>0</v>
      </c>
      <c r="G76" s="1" t="s">
        <v>165</v>
      </c>
      <c r="H76">
        <v>0</v>
      </c>
      <c r="I76">
        <v>0</v>
      </c>
      <c r="J76">
        <v>1</v>
      </c>
      <c r="K76">
        <v>0</v>
      </c>
      <c r="L76">
        <v>7</v>
      </c>
      <c r="M76">
        <v>0</v>
      </c>
      <c r="N76">
        <v>1</v>
      </c>
      <c r="O76">
        <v>21571</v>
      </c>
    </row>
    <row r="77" spans="1:15" x14ac:dyDescent="0.3">
      <c r="A77">
        <v>7</v>
      </c>
      <c r="B77" s="1" t="s">
        <v>18</v>
      </c>
      <c r="C77">
        <v>21571</v>
      </c>
      <c r="D77" s="1" t="s">
        <v>166</v>
      </c>
      <c r="E77">
        <v>21571</v>
      </c>
      <c r="F77">
        <v>0</v>
      </c>
      <c r="G77" s="1" t="s">
        <v>167</v>
      </c>
      <c r="H77">
        <v>30797.41</v>
      </c>
      <c r="I77">
        <v>71140.3</v>
      </c>
      <c r="J77">
        <v>1</v>
      </c>
      <c r="K77">
        <v>0</v>
      </c>
      <c r="L77">
        <v>7</v>
      </c>
      <c r="M77">
        <v>0</v>
      </c>
      <c r="N77">
        <v>1</v>
      </c>
      <c r="O77">
        <v>21571</v>
      </c>
    </row>
    <row r="78" spans="1:15" x14ac:dyDescent="0.3">
      <c r="A78">
        <v>7</v>
      </c>
      <c r="B78" s="1" t="s">
        <v>15</v>
      </c>
      <c r="C78">
        <v>441445.58</v>
      </c>
      <c r="D78" s="1" t="s">
        <v>168</v>
      </c>
      <c r="E78">
        <v>441445.58</v>
      </c>
      <c r="F78">
        <v>0</v>
      </c>
      <c r="G78" s="1" t="s">
        <v>169</v>
      </c>
      <c r="H78">
        <v>0</v>
      </c>
      <c r="I78">
        <v>0</v>
      </c>
      <c r="J78">
        <v>1</v>
      </c>
      <c r="K78">
        <v>0</v>
      </c>
      <c r="L78">
        <v>7</v>
      </c>
      <c r="M78">
        <v>0</v>
      </c>
      <c r="N78">
        <v>1</v>
      </c>
      <c r="O78">
        <v>441445.58</v>
      </c>
    </row>
    <row r="79" spans="1:15" x14ac:dyDescent="0.3">
      <c r="A79">
        <v>7</v>
      </c>
      <c r="B79" s="1" t="s">
        <v>18</v>
      </c>
      <c r="C79">
        <v>441445.58</v>
      </c>
      <c r="D79" s="1" t="s">
        <v>170</v>
      </c>
      <c r="E79">
        <v>441445.58</v>
      </c>
      <c r="F79">
        <v>0</v>
      </c>
      <c r="G79" s="1" t="s">
        <v>171</v>
      </c>
      <c r="H79">
        <v>98993.5</v>
      </c>
      <c r="I79">
        <v>0</v>
      </c>
      <c r="J79">
        <v>1</v>
      </c>
      <c r="K79">
        <v>0</v>
      </c>
      <c r="L79">
        <v>7</v>
      </c>
      <c r="M79">
        <v>0</v>
      </c>
      <c r="N79">
        <v>1</v>
      </c>
      <c r="O79">
        <v>441445.58</v>
      </c>
    </row>
    <row r="80" spans="1:15" x14ac:dyDescent="0.3">
      <c r="A80">
        <v>8</v>
      </c>
      <c r="B80" s="1" t="s">
        <v>18</v>
      </c>
      <c r="C80">
        <v>181728.11</v>
      </c>
      <c r="D80" s="1" t="s">
        <v>172</v>
      </c>
      <c r="E80">
        <v>0</v>
      </c>
      <c r="F80">
        <v>0</v>
      </c>
      <c r="G80" s="1" t="s">
        <v>173</v>
      </c>
      <c r="H80">
        <v>11397</v>
      </c>
      <c r="I80">
        <v>184477.77</v>
      </c>
      <c r="J80">
        <v>1</v>
      </c>
      <c r="K80">
        <v>0</v>
      </c>
      <c r="L80">
        <v>8</v>
      </c>
      <c r="M80">
        <v>0</v>
      </c>
      <c r="N80">
        <v>0</v>
      </c>
      <c r="O80">
        <v>0</v>
      </c>
    </row>
    <row r="81" spans="1:15" x14ac:dyDescent="0.3">
      <c r="A81">
        <v>8</v>
      </c>
      <c r="B81" s="1" t="s">
        <v>15</v>
      </c>
      <c r="C81">
        <v>222</v>
      </c>
      <c r="D81" s="1" t="s">
        <v>174</v>
      </c>
      <c r="E81">
        <v>222</v>
      </c>
      <c r="F81">
        <v>0</v>
      </c>
      <c r="G81" s="1" t="s">
        <v>175</v>
      </c>
      <c r="H81">
        <v>0</v>
      </c>
      <c r="I81">
        <v>267095.19</v>
      </c>
      <c r="J81">
        <v>1</v>
      </c>
      <c r="K81">
        <v>0</v>
      </c>
      <c r="L81">
        <v>8</v>
      </c>
      <c r="M81">
        <v>0</v>
      </c>
      <c r="N81">
        <v>1</v>
      </c>
      <c r="O81">
        <v>222</v>
      </c>
    </row>
    <row r="82" spans="1:15" x14ac:dyDescent="0.3">
      <c r="A82">
        <v>8</v>
      </c>
      <c r="B82" s="1" t="s">
        <v>18</v>
      </c>
      <c r="C82">
        <v>222</v>
      </c>
      <c r="D82" s="1" t="s">
        <v>176</v>
      </c>
      <c r="E82">
        <v>222</v>
      </c>
      <c r="F82">
        <v>0</v>
      </c>
      <c r="G82" s="1" t="s">
        <v>177</v>
      </c>
      <c r="H82">
        <v>24708</v>
      </c>
      <c r="I82">
        <v>171647.35</v>
      </c>
      <c r="J82">
        <v>1</v>
      </c>
      <c r="K82">
        <v>0</v>
      </c>
      <c r="L82">
        <v>8</v>
      </c>
      <c r="M82">
        <v>0</v>
      </c>
      <c r="N82">
        <v>1</v>
      </c>
      <c r="O82">
        <v>222</v>
      </c>
    </row>
    <row r="83" spans="1:15" x14ac:dyDescent="0.3">
      <c r="A83">
        <v>8</v>
      </c>
      <c r="B83" s="1" t="s">
        <v>15</v>
      </c>
      <c r="C83">
        <v>1996.17</v>
      </c>
      <c r="D83" s="1" t="s">
        <v>178</v>
      </c>
      <c r="E83">
        <v>1996.17</v>
      </c>
      <c r="F83">
        <v>0</v>
      </c>
      <c r="G83" s="1" t="s">
        <v>179</v>
      </c>
      <c r="H83">
        <v>0</v>
      </c>
      <c r="I83">
        <v>0</v>
      </c>
      <c r="J83">
        <v>1</v>
      </c>
      <c r="K83">
        <v>0</v>
      </c>
      <c r="L83">
        <v>8</v>
      </c>
      <c r="M83">
        <v>0</v>
      </c>
      <c r="N83">
        <v>1</v>
      </c>
      <c r="O83">
        <v>1996.17</v>
      </c>
    </row>
    <row r="84" spans="1:15" x14ac:dyDescent="0.3">
      <c r="A84">
        <v>8</v>
      </c>
      <c r="B84" s="1" t="s">
        <v>18</v>
      </c>
      <c r="C84">
        <v>1996.17</v>
      </c>
      <c r="D84" s="1" t="s">
        <v>180</v>
      </c>
      <c r="E84">
        <v>1996.17</v>
      </c>
      <c r="F84">
        <v>0</v>
      </c>
      <c r="G84" s="1" t="s">
        <v>181</v>
      </c>
      <c r="H84">
        <v>2559.7399999999998</v>
      </c>
      <c r="I84">
        <v>4555.92</v>
      </c>
      <c r="J84">
        <v>1</v>
      </c>
      <c r="K84">
        <v>0</v>
      </c>
      <c r="L84">
        <v>8</v>
      </c>
      <c r="M84">
        <v>0</v>
      </c>
      <c r="N84">
        <v>1</v>
      </c>
      <c r="O84">
        <v>1996.17</v>
      </c>
    </row>
    <row r="85" spans="1:15" x14ac:dyDescent="0.3">
      <c r="A85">
        <v>8</v>
      </c>
      <c r="B85" s="1" t="s">
        <v>15</v>
      </c>
      <c r="C85">
        <v>1078013.76</v>
      </c>
      <c r="D85" s="1" t="s">
        <v>182</v>
      </c>
      <c r="E85">
        <v>0</v>
      </c>
      <c r="F85">
        <v>0</v>
      </c>
      <c r="G85" s="1" t="s">
        <v>183</v>
      </c>
      <c r="H85">
        <v>0</v>
      </c>
      <c r="I85">
        <v>970749.68</v>
      </c>
      <c r="J85">
        <v>1</v>
      </c>
      <c r="K85">
        <v>0</v>
      </c>
      <c r="L85">
        <v>8</v>
      </c>
      <c r="M85">
        <v>0</v>
      </c>
      <c r="N85">
        <v>0</v>
      </c>
      <c r="O85">
        <v>0</v>
      </c>
    </row>
    <row r="86" spans="1:15" x14ac:dyDescent="0.3">
      <c r="A86">
        <v>8</v>
      </c>
      <c r="B86" s="1" t="s">
        <v>15</v>
      </c>
      <c r="C86">
        <v>89631.24</v>
      </c>
      <c r="D86" s="1" t="s">
        <v>184</v>
      </c>
      <c r="E86">
        <v>89631.24</v>
      </c>
      <c r="F86">
        <v>0</v>
      </c>
      <c r="G86" s="1" t="s">
        <v>185</v>
      </c>
      <c r="H86">
        <v>0</v>
      </c>
      <c r="I86">
        <v>0</v>
      </c>
      <c r="J86">
        <v>1</v>
      </c>
      <c r="K86">
        <v>0</v>
      </c>
      <c r="L86">
        <v>8</v>
      </c>
      <c r="M86">
        <v>0</v>
      </c>
      <c r="N86">
        <v>1</v>
      </c>
      <c r="O86">
        <v>89631.24</v>
      </c>
    </row>
    <row r="87" spans="1:15" x14ac:dyDescent="0.3">
      <c r="A87">
        <v>8</v>
      </c>
      <c r="B87" s="1" t="s">
        <v>18</v>
      </c>
      <c r="C87">
        <v>89631.24</v>
      </c>
      <c r="D87" s="1" t="s">
        <v>186</v>
      </c>
      <c r="E87">
        <v>89631.24</v>
      </c>
      <c r="F87">
        <v>0</v>
      </c>
      <c r="G87" s="1" t="s">
        <v>187</v>
      </c>
      <c r="H87">
        <v>21175</v>
      </c>
      <c r="I87">
        <v>0</v>
      </c>
      <c r="J87">
        <v>1</v>
      </c>
      <c r="K87">
        <v>0</v>
      </c>
      <c r="L87">
        <v>8</v>
      </c>
      <c r="M87">
        <v>0</v>
      </c>
      <c r="N87">
        <v>1</v>
      </c>
      <c r="O87">
        <v>89631.24</v>
      </c>
    </row>
    <row r="88" spans="1:15" x14ac:dyDescent="0.3">
      <c r="A88">
        <v>8</v>
      </c>
      <c r="B88" s="1" t="s">
        <v>15</v>
      </c>
      <c r="C88">
        <v>29707.86</v>
      </c>
      <c r="D88" s="1" t="s">
        <v>188</v>
      </c>
      <c r="E88">
        <v>29707.86</v>
      </c>
      <c r="F88">
        <v>0</v>
      </c>
      <c r="G88" s="1" t="s">
        <v>189</v>
      </c>
      <c r="H88">
        <v>0</v>
      </c>
      <c r="I88">
        <v>0</v>
      </c>
      <c r="J88">
        <v>1</v>
      </c>
      <c r="K88">
        <v>0</v>
      </c>
      <c r="L88">
        <v>8</v>
      </c>
      <c r="M88">
        <v>0</v>
      </c>
      <c r="N88">
        <v>1</v>
      </c>
      <c r="O88">
        <v>29707.86</v>
      </c>
    </row>
    <row r="89" spans="1:15" x14ac:dyDescent="0.3">
      <c r="A89">
        <v>8</v>
      </c>
      <c r="B89" s="1" t="s">
        <v>18</v>
      </c>
      <c r="C89">
        <v>29707.86</v>
      </c>
      <c r="D89" s="1" t="s">
        <v>190</v>
      </c>
      <c r="E89">
        <v>29707.86</v>
      </c>
      <c r="F89">
        <v>0</v>
      </c>
      <c r="G89" s="1" t="s">
        <v>191</v>
      </c>
      <c r="H89">
        <v>10935</v>
      </c>
      <c r="I89">
        <v>0</v>
      </c>
      <c r="J89">
        <v>1</v>
      </c>
      <c r="K89">
        <v>0</v>
      </c>
      <c r="L89">
        <v>8</v>
      </c>
      <c r="M89">
        <v>0</v>
      </c>
      <c r="N89">
        <v>1</v>
      </c>
      <c r="O89">
        <v>29707.86</v>
      </c>
    </row>
    <row r="90" spans="1:15" x14ac:dyDescent="0.3">
      <c r="A90">
        <v>8</v>
      </c>
      <c r="B90" s="1" t="s">
        <v>15</v>
      </c>
      <c r="C90">
        <v>43092</v>
      </c>
      <c r="D90" s="1" t="s">
        <v>192</v>
      </c>
      <c r="E90">
        <v>43092</v>
      </c>
      <c r="F90">
        <v>0</v>
      </c>
      <c r="G90" s="1" t="s">
        <v>193</v>
      </c>
      <c r="H90">
        <v>0</v>
      </c>
      <c r="I90">
        <v>0</v>
      </c>
      <c r="J90">
        <v>1</v>
      </c>
      <c r="K90">
        <v>0</v>
      </c>
      <c r="L90">
        <v>8</v>
      </c>
      <c r="M90">
        <v>0</v>
      </c>
      <c r="N90">
        <v>1</v>
      </c>
      <c r="O90">
        <v>43092</v>
      </c>
    </row>
    <row r="91" spans="1:15" x14ac:dyDescent="0.3">
      <c r="A91">
        <v>8</v>
      </c>
      <c r="B91" s="1" t="s">
        <v>18</v>
      </c>
      <c r="C91">
        <v>43092</v>
      </c>
      <c r="D91" s="1" t="s">
        <v>194</v>
      </c>
      <c r="E91">
        <v>43092</v>
      </c>
      <c r="F91">
        <v>0</v>
      </c>
      <c r="G91" s="1" t="s">
        <v>195</v>
      </c>
      <c r="H91">
        <v>660641.74</v>
      </c>
      <c r="I91">
        <v>1158662.8999999999</v>
      </c>
      <c r="J91">
        <v>1</v>
      </c>
      <c r="K91">
        <v>0</v>
      </c>
      <c r="L91">
        <v>8</v>
      </c>
      <c r="M91">
        <v>0</v>
      </c>
      <c r="N91">
        <v>1</v>
      </c>
      <c r="O91">
        <v>43092</v>
      </c>
    </row>
    <row r="92" spans="1:15" x14ac:dyDescent="0.3">
      <c r="A92">
        <v>9</v>
      </c>
      <c r="B92" s="1" t="s">
        <v>15</v>
      </c>
      <c r="C92">
        <v>556218.01</v>
      </c>
      <c r="D92" s="1" t="s">
        <v>196</v>
      </c>
      <c r="E92">
        <v>556218.01</v>
      </c>
      <c r="F92">
        <v>0</v>
      </c>
      <c r="G92" s="1" t="s">
        <v>197</v>
      </c>
      <c r="H92">
        <v>0</v>
      </c>
      <c r="I92">
        <v>0</v>
      </c>
      <c r="J92">
        <v>1</v>
      </c>
      <c r="K92">
        <v>0</v>
      </c>
      <c r="L92">
        <v>9</v>
      </c>
      <c r="M92">
        <v>0</v>
      </c>
      <c r="N92">
        <v>1</v>
      </c>
      <c r="O92">
        <v>556218.01</v>
      </c>
    </row>
    <row r="93" spans="1:15" x14ac:dyDescent="0.3">
      <c r="A93">
        <v>9</v>
      </c>
      <c r="B93" s="1" t="s">
        <v>18</v>
      </c>
      <c r="C93">
        <v>556218.01</v>
      </c>
      <c r="D93" s="1" t="s">
        <v>198</v>
      </c>
      <c r="E93">
        <v>556218.01</v>
      </c>
      <c r="F93">
        <v>0</v>
      </c>
      <c r="G93" s="1" t="s">
        <v>199</v>
      </c>
      <c r="H93">
        <v>0</v>
      </c>
      <c r="I93">
        <v>582265.81000000006</v>
      </c>
      <c r="J93">
        <v>1</v>
      </c>
      <c r="K93">
        <v>0</v>
      </c>
      <c r="L93">
        <v>9</v>
      </c>
      <c r="M93">
        <v>0</v>
      </c>
      <c r="N93">
        <v>1</v>
      </c>
      <c r="O93">
        <v>556218.01</v>
      </c>
    </row>
    <row r="94" spans="1:15" x14ac:dyDescent="0.3">
      <c r="A94">
        <v>9</v>
      </c>
      <c r="B94" s="1" t="s">
        <v>15</v>
      </c>
      <c r="C94">
        <v>11308</v>
      </c>
      <c r="D94" s="1" t="s">
        <v>200</v>
      </c>
      <c r="E94">
        <v>11308</v>
      </c>
      <c r="F94">
        <v>0</v>
      </c>
      <c r="G94" s="1" t="s">
        <v>201</v>
      </c>
      <c r="H94">
        <v>0</v>
      </c>
      <c r="I94">
        <v>0</v>
      </c>
      <c r="J94">
        <v>1</v>
      </c>
      <c r="K94">
        <v>0</v>
      </c>
      <c r="L94">
        <v>9</v>
      </c>
      <c r="M94">
        <v>0</v>
      </c>
      <c r="N94">
        <v>1</v>
      </c>
      <c r="O94">
        <v>11308</v>
      </c>
    </row>
    <row r="95" spans="1:15" x14ac:dyDescent="0.3">
      <c r="A95">
        <v>9</v>
      </c>
      <c r="B95" s="1" t="s">
        <v>18</v>
      </c>
      <c r="C95">
        <v>11308</v>
      </c>
      <c r="D95" s="1" t="s">
        <v>202</v>
      </c>
      <c r="E95">
        <v>11308</v>
      </c>
      <c r="F95">
        <v>0</v>
      </c>
      <c r="G95" s="1" t="s">
        <v>203</v>
      </c>
      <c r="H95">
        <v>0</v>
      </c>
      <c r="I95">
        <v>302550.56</v>
      </c>
      <c r="J95">
        <v>1</v>
      </c>
      <c r="K95">
        <v>0</v>
      </c>
      <c r="L95">
        <v>9</v>
      </c>
      <c r="M95">
        <v>0</v>
      </c>
      <c r="N95">
        <v>1</v>
      </c>
      <c r="O95">
        <v>11308</v>
      </c>
    </row>
    <row r="96" spans="1:15" x14ac:dyDescent="0.3">
      <c r="A96">
        <v>9</v>
      </c>
      <c r="B96" s="1" t="s">
        <v>15</v>
      </c>
      <c r="C96">
        <v>350705.74</v>
      </c>
      <c r="D96" s="1" t="s">
        <v>204</v>
      </c>
      <c r="E96">
        <v>350705.74</v>
      </c>
      <c r="F96">
        <v>0</v>
      </c>
      <c r="G96" s="1" t="s">
        <v>205</v>
      </c>
      <c r="H96">
        <v>0</v>
      </c>
      <c r="I96">
        <v>1184633.07</v>
      </c>
      <c r="J96">
        <v>1</v>
      </c>
      <c r="K96">
        <v>0</v>
      </c>
      <c r="L96">
        <v>9</v>
      </c>
      <c r="M96">
        <v>0</v>
      </c>
      <c r="N96">
        <v>1</v>
      </c>
      <c r="O96">
        <v>350705.74</v>
      </c>
    </row>
    <row r="97" spans="1:15" x14ac:dyDescent="0.3">
      <c r="A97">
        <v>9</v>
      </c>
      <c r="B97" s="1" t="s">
        <v>18</v>
      </c>
      <c r="C97">
        <v>350705.74</v>
      </c>
      <c r="D97" s="1" t="s">
        <v>206</v>
      </c>
      <c r="E97">
        <v>350705.74</v>
      </c>
      <c r="F97">
        <v>0</v>
      </c>
      <c r="G97" s="1" t="s">
        <v>207</v>
      </c>
      <c r="H97">
        <v>894760.68</v>
      </c>
      <c r="I97">
        <v>1794033.65</v>
      </c>
      <c r="J97">
        <v>1</v>
      </c>
      <c r="K97">
        <v>0</v>
      </c>
      <c r="L97">
        <v>9</v>
      </c>
      <c r="M97">
        <v>0</v>
      </c>
      <c r="N97">
        <v>1</v>
      </c>
      <c r="O97">
        <v>350705.74</v>
      </c>
    </row>
    <row r="98" spans="1:15" x14ac:dyDescent="0.3">
      <c r="A98">
        <v>9</v>
      </c>
      <c r="B98" s="1" t="s">
        <v>15</v>
      </c>
      <c r="C98">
        <v>2539898.0699999998</v>
      </c>
      <c r="D98" s="1" t="s">
        <v>208</v>
      </c>
      <c r="E98">
        <v>2539898.0699999998</v>
      </c>
      <c r="F98">
        <v>0</v>
      </c>
      <c r="G98" s="1" t="s">
        <v>209</v>
      </c>
      <c r="H98">
        <v>0</v>
      </c>
      <c r="I98">
        <v>261290.69</v>
      </c>
      <c r="J98">
        <v>1</v>
      </c>
      <c r="K98">
        <v>0</v>
      </c>
      <c r="L98">
        <v>9</v>
      </c>
      <c r="M98">
        <v>0</v>
      </c>
      <c r="N98">
        <v>1</v>
      </c>
      <c r="O98">
        <v>2539898.0699999998</v>
      </c>
    </row>
    <row r="99" spans="1:15" x14ac:dyDescent="0.3">
      <c r="A99">
        <v>9</v>
      </c>
      <c r="B99" s="1" t="s">
        <v>18</v>
      </c>
      <c r="C99">
        <v>2539898.0699999998</v>
      </c>
      <c r="D99" s="1" t="s">
        <v>210</v>
      </c>
      <c r="E99">
        <v>2539898.0699999998</v>
      </c>
      <c r="F99">
        <v>0</v>
      </c>
      <c r="G99" s="1" t="s">
        <v>211</v>
      </c>
      <c r="H99">
        <v>968</v>
      </c>
      <c r="I99">
        <v>1842864.22</v>
      </c>
      <c r="J99">
        <v>1</v>
      </c>
      <c r="K99">
        <v>0</v>
      </c>
      <c r="L99">
        <v>9</v>
      </c>
      <c r="M99">
        <v>0</v>
      </c>
      <c r="N99">
        <v>1</v>
      </c>
      <c r="O99">
        <v>2539898.0699999998</v>
      </c>
    </row>
    <row r="100" spans="1:15" x14ac:dyDescent="0.3">
      <c r="A100">
        <v>9</v>
      </c>
      <c r="B100" s="1" t="s">
        <v>15</v>
      </c>
      <c r="C100">
        <v>361559.69</v>
      </c>
      <c r="D100" s="1" t="s">
        <v>212</v>
      </c>
      <c r="E100">
        <v>361559.69</v>
      </c>
      <c r="F100">
        <v>0</v>
      </c>
      <c r="G100" s="1" t="s">
        <v>213</v>
      </c>
      <c r="H100">
        <v>0</v>
      </c>
      <c r="I100">
        <v>141302.12</v>
      </c>
      <c r="J100">
        <v>1</v>
      </c>
      <c r="K100">
        <v>0</v>
      </c>
      <c r="L100">
        <v>9</v>
      </c>
      <c r="M100">
        <v>0</v>
      </c>
      <c r="N100">
        <v>1</v>
      </c>
      <c r="O100">
        <v>361559.69</v>
      </c>
    </row>
    <row r="101" spans="1:15" x14ac:dyDescent="0.3">
      <c r="A101">
        <v>9</v>
      </c>
      <c r="B101" s="1" t="s">
        <v>18</v>
      </c>
      <c r="C101">
        <v>361559.69</v>
      </c>
      <c r="D101" s="1" t="s">
        <v>214</v>
      </c>
      <c r="E101">
        <v>361559.69</v>
      </c>
      <c r="F101">
        <v>0</v>
      </c>
      <c r="G101" s="1" t="s">
        <v>215</v>
      </c>
      <c r="H101">
        <v>504667.31</v>
      </c>
      <c r="I101">
        <v>189441.24</v>
      </c>
      <c r="J101">
        <v>1</v>
      </c>
      <c r="K101">
        <v>0</v>
      </c>
      <c r="L101">
        <v>9</v>
      </c>
      <c r="M101">
        <v>0</v>
      </c>
      <c r="N101">
        <v>1</v>
      </c>
      <c r="O101">
        <v>361559.69</v>
      </c>
    </row>
    <row r="102" spans="1:15" x14ac:dyDescent="0.3">
      <c r="A102">
        <v>9</v>
      </c>
      <c r="B102" s="1" t="s">
        <v>15</v>
      </c>
      <c r="C102">
        <v>1154353.99</v>
      </c>
      <c r="D102" s="1" t="s">
        <v>216</v>
      </c>
      <c r="E102">
        <v>1154353.99</v>
      </c>
      <c r="F102">
        <v>0</v>
      </c>
      <c r="G102" s="1" t="s">
        <v>217</v>
      </c>
      <c r="H102">
        <v>0</v>
      </c>
      <c r="I102">
        <v>10872.9</v>
      </c>
      <c r="J102">
        <v>1</v>
      </c>
      <c r="K102">
        <v>0</v>
      </c>
      <c r="L102">
        <v>9</v>
      </c>
      <c r="M102">
        <v>0</v>
      </c>
      <c r="N102">
        <v>1</v>
      </c>
      <c r="O102">
        <v>1154353.99</v>
      </c>
    </row>
    <row r="103" spans="1:15" x14ac:dyDescent="0.3">
      <c r="A103">
        <v>9</v>
      </c>
      <c r="B103" s="1" t="s">
        <v>18</v>
      </c>
      <c r="C103">
        <v>1154353.99</v>
      </c>
      <c r="D103" s="1" t="s">
        <v>218</v>
      </c>
      <c r="E103">
        <v>1154353.99</v>
      </c>
      <c r="F103">
        <v>0</v>
      </c>
      <c r="G103" s="1" t="s">
        <v>219</v>
      </c>
      <c r="H103">
        <v>162222</v>
      </c>
      <c r="I103">
        <v>1965587.6</v>
      </c>
      <c r="J103">
        <v>1</v>
      </c>
      <c r="K103">
        <v>0</v>
      </c>
      <c r="L103">
        <v>9</v>
      </c>
      <c r="M103">
        <v>0</v>
      </c>
      <c r="N103">
        <v>1</v>
      </c>
      <c r="O103">
        <v>1154353.99</v>
      </c>
    </row>
    <row r="104" spans="1:15" x14ac:dyDescent="0.3">
      <c r="A104">
        <v>9</v>
      </c>
      <c r="B104" s="1" t="s">
        <v>15</v>
      </c>
      <c r="C104">
        <v>21922</v>
      </c>
      <c r="D104" s="1" t="s">
        <v>220</v>
      </c>
      <c r="E104">
        <v>21922</v>
      </c>
      <c r="F104">
        <v>0</v>
      </c>
      <c r="G104" s="1" t="s">
        <v>221</v>
      </c>
      <c r="H104">
        <v>0</v>
      </c>
      <c r="I104">
        <v>0</v>
      </c>
      <c r="J104">
        <v>1</v>
      </c>
      <c r="K104">
        <v>0</v>
      </c>
      <c r="L104">
        <v>9</v>
      </c>
      <c r="M104">
        <v>0</v>
      </c>
      <c r="N104">
        <v>1</v>
      </c>
      <c r="O104">
        <v>21922</v>
      </c>
    </row>
    <row r="105" spans="1:15" x14ac:dyDescent="0.3">
      <c r="A105">
        <v>9</v>
      </c>
      <c r="B105" s="1" t="s">
        <v>18</v>
      </c>
      <c r="C105">
        <v>21922</v>
      </c>
      <c r="D105" s="1" t="s">
        <v>222</v>
      </c>
      <c r="E105">
        <v>21922</v>
      </c>
      <c r="F105">
        <v>0</v>
      </c>
      <c r="G105" s="1" t="s">
        <v>223</v>
      </c>
      <c r="H105">
        <v>1929861.61</v>
      </c>
      <c r="I105">
        <v>2046918.8</v>
      </c>
      <c r="J105">
        <v>1</v>
      </c>
      <c r="K105">
        <v>0</v>
      </c>
      <c r="L105">
        <v>9</v>
      </c>
      <c r="M105">
        <v>0</v>
      </c>
      <c r="N105">
        <v>1</v>
      </c>
      <c r="O105">
        <v>21922</v>
      </c>
    </row>
    <row r="106" spans="1:15" x14ac:dyDescent="0.3">
      <c r="A106">
        <v>9</v>
      </c>
      <c r="B106" s="1" t="s">
        <v>15</v>
      </c>
      <c r="C106">
        <v>994453.2</v>
      </c>
      <c r="D106" s="1" t="s">
        <v>224</v>
      </c>
      <c r="E106">
        <v>1437370.87</v>
      </c>
      <c r="F106">
        <v>442917.67</v>
      </c>
      <c r="G106" s="1" t="s">
        <v>225</v>
      </c>
      <c r="H106">
        <v>194812.76</v>
      </c>
      <c r="I106">
        <v>665743.67000000004</v>
      </c>
      <c r="J106">
        <v>1</v>
      </c>
      <c r="K106">
        <v>0</v>
      </c>
      <c r="L106">
        <v>9</v>
      </c>
      <c r="M106">
        <v>0</v>
      </c>
      <c r="N106">
        <v>0</v>
      </c>
      <c r="O106">
        <v>994453.20000000019</v>
      </c>
    </row>
    <row r="107" spans="1:15" x14ac:dyDescent="0.3">
      <c r="A107">
        <v>9</v>
      </c>
      <c r="B107" s="1" t="s">
        <v>15</v>
      </c>
      <c r="C107">
        <v>1055</v>
      </c>
      <c r="D107" s="1" t="s">
        <v>226</v>
      </c>
      <c r="E107">
        <v>1055</v>
      </c>
      <c r="F107">
        <v>0</v>
      </c>
      <c r="G107" s="1" t="s">
        <v>227</v>
      </c>
      <c r="H107">
        <v>0</v>
      </c>
      <c r="I107">
        <v>0</v>
      </c>
      <c r="J107">
        <v>1</v>
      </c>
      <c r="K107">
        <v>0</v>
      </c>
      <c r="L107">
        <v>9</v>
      </c>
      <c r="M107">
        <v>0</v>
      </c>
      <c r="N107">
        <v>1</v>
      </c>
      <c r="O107">
        <v>1055</v>
      </c>
    </row>
    <row r="108" spans="1:15" x14ac:dyDescent="0.3">
      <c r="A108">
        <v>9</v>
      </c>
      <c r="B108" s="1" t="s">
        <v>18</v>
      </c>
      <c r="C108">
        <v>1055</v>
      </c>
      <c r="D108" s="1" t="s">
        <v>228</v>
      </c>
      <c r="E108">
        <v>1055</v>
      </c>
      <c r="F108">
        <v>0</v>
      </c>
      <c r="G108" s="1" t="s">
        <v>229</v>
      </c>
      <c r="H108">
        <v>75179</v>
      </c>
      <c r="I108">
        <v>0</v>
      </c>
      <c r="J108">
        <v>1</v>
      </c>
      <c r="K108">
        <v>0</v>
      </c>
      <c r="L108">
        <v>9</v>
      </c>
      <c r="M108">
        <v>0</v>
      </c>
      <c r="N108">
        <v>1</v>
      </c>
      <c r="O108">
        <v>1055</v>
      </c>
    </row>
    <row r="109" spans="1:15" x14ac:dyDescent="0.3">
      <c r="A109">
        <v>9</v>
      </c>
      <c r="B109" s="1" t="s">
        <v>15</v>
      </c>
      <c r="C109">
        <v>244068.01</v>
      </c>
      <c r="D109" s="1" t="s">
        <v>230</v>
      </c>
      <c r="E109">
        <v>244068.01</v>
      </c>
      <c r="F109">
        <v>0</v>
      </c>
      <c r="G109" s="1" t="s">
        <v>231</v>
      </c>
      <c r="H109">
        <v>0</v>
      </c>
      <c r="I109">
        <v>0</v>
      </c>
      <c r="J109">
        <v>1</v>
      </c>
      <c r="K109">
        <v>0</v>
      </c>
      <c r="L109">
        <v>9</v>
      </c>
      <c r="M109">
        <v>0</v>
      </c>
      <c r="N109">
        <v>1</v>
      </c>
      <c r="O109">
        <v>244068.01</v>
      </c>
    </row>
    <row r="110" spans="1:15" x14ac:dyDescent="0.3">
      <c r="A110">
        <v>9</v>
      </c>
      <c r="B110" s="1" t="s">
        <v>18</v>
      </c>
      <c r="C110">
        <v>244068.01</v>
      </c>
      <c r="D110" s="1" t="s">
        <v>232</v>
      </c>
      <c r="E110">
        <v>244068.01</v>
      </c>
      <c r="F110">
        <v>0</v>
      </c>
      <c r="G110" s="1" t="s">
        <v>233</v>
      </c>
      <c r="H110">
        <v>0</v>
      </c>
      <c r="I110">
        <v>338538.16</v>
      </c>
      <c r="J110">
        <v>1</v>
      </c>
      <c r="K110">
        <v>0</v>
      </c>
      <c r="L110">
        <v>9</v>
      </c>
      <c r="M110">
        <v>0</v>
      </c>
      <c r="N110">
        <v>1</v>
      </c>
      <c r="O110">
        <v>244068.01</v>
      </c>
    </row>
    <row r="111" spans="1:15" x14ac:dyDescent="0.3">
      <c r="A111">
        <v>10</v>
      </c>
      <c r="B111" s="1" t="s">
        <v>15</v>
      </c>
      <c r="C111">
        <v>59835</v>
      </c>
      <c r="D111" s="1" t="s">
        <v>234</v>
      </c>
      <c r="E111">
        <v>59835</v>
      </c>
      <c r="F111">
        <v>0</v>
      </c>
      <c r="G111" s="1" t="s">
        <v>235</v>
      </c>
      <c r="H111">
        <v>0</v>
      </c>
      <c r="I111">
        <v>0</v>
      </c>
      <c r="J111">
        <v>1</v>
      </c>
      <c r="K111">
        <v>0</v>
      </c>
      <c r="L111">
        <v>10</v>
      </c>
      <c r="M111">
        <v>0</v>
      </c>
      <c r="N111">
        <v>1</v>
      </c>
      <c r="O111">
        <v>59835</v>
      </c>
    </row>
    <row r="112" spans="1:15" x14ac:dyDescent="0.3">
      <c r="A112">
        <v>10</v>
      </c>
      <c r="B112" s="1" t="s">
        <v>18</v>
      </c>
      <c r="C112">
        <v>59835</v>
      </c>
      <c r="D112" s="1" t="s">
        <v>236</v>
      </c>
      <c r="E112">
        <v>59835</v>
      </c>
      <c r="F112">
        <v>0</v>
      </c>
      <c r="G112" s="1" t="s">
        <v>237</v>
      </c>
      <c r="H112">
        <v>255480.76</v>
      </c>
      <c r="I112">
        <v>315315.76</v>
      </c>
      <c r="J112">
        <v>1</v>
      </c>
      <c r="K112">
        <v>0</v>
      </c>
      <c r="L112">
        <v>10</v>
      </c>
      <c r="M112">
        <v>0</v>
      </c>
      <c r="N112">
        <v>1</v>
      </c>
      <c r="O112">
        <v>59835</v>
      </c>
    </row>
    <row r="113" spans="1:15" x14ac:dyDescent="0.3">
      <c r="A113">
        <v>10</v>
      </c>
      <c r="B113" s="1" t="s">
        <v>18</v>
      </c>
      <c r="C113">
        <v>277970.88</v>
      </c>
      <c r="D113" s="1" t="s">
        <v>238</v>
      </c>
      <c r="E113">
        <v>0</v>
      </c>
      <c r="F113">
        <v>0</v>
      </c>
      <c r="G113" s="1" t="s">
        <v>239</v>
      </c>
      <c r="H113">
        <v>0</v>
      </c>
      <c r="I113">
        <v>277970.88</v>
      </c>
      <c r="J113">
        <v>1</v>
      </c>
      <c r="K113">
        <v>0</v>
      </c>
      <c r="L113">
        <v>10</v>
      </c>
      <c r="M113">
        <v>0</v>
      </c>
      <c r="N113">
        <v>0</v>
      </c>
      <c r="O113">
        <v>0</v>
      </c>
    </row>
    <row r="114" spans="1:15" x14ac:dyDescent="0.3">
      <c r="A114">
        <v>10</v>
      </c>
      <c r="B114" s="1" t="s">
        <v>15</v>
      </c>
      <c r="C114">
        <v>93810.76</v>
      </c>
      <c r="D114" s="1" t="s">
        <v>240</v>
      </c>
      <c r="E114">
        <v>93810.76</v>
      </c>
      <c r="F114">
        <v>0</v>
      </c>
      <c r="G114" s="1" t="s">
        <v>241</v>
      </c>
      <c r="H114">
        <v>0</v>
      </c>
      <c r="I114">
        <v>0</v>
      </c>
      <c r="J114">
        <v>1</v>
      </c>
      <c r="K114">
        <v>0</v>
      </c>
      <c r="L114">
        <v>10</v>
      </c>
      <c r="M114">
        <v>0</v>
      </c>
      <c r="N114">
        <v>1</v>
      </c>
      <c r="O114">
        <v>93810.76</v>
      </c>
    </row>
    <row r="115" spans="1:15" x14ac:dyDescent="0.3">
      <c r="A115">
        <v>10</v>
      </c>
      <c r="B115" s="1" t="s">
        <v>18</v>
      </c>
      <c r="C115">
        <v>93810.76</v>
      </c>
      <c r="D115" s="1" t="s">
        <v>242</v>
      </c>
      <c r="E115">
        <v>93810.76</v>
      </c>
      <c r="F115">
        <v>0</v>
      </c>
      <c r="G115" s="1" t="s">
        <v>243</v>
      </c>
      <c r="H115">
        <v>4096048.05</v>
      </c>
      <c r="I115">
        <v>4189858.81</v>
      </c>
      <c r="J115">
        <v>1</v>
      </c>
      <c r="K115">
        <v>0</v>
      </c>
      <c r="L115">
        <v>10</v>
      </c>
      <c r="M115">
        <v>0</v>
      </c>
      <c r="N115">
        <v>1</v>
      </c>
      <c r="O115">
        <v>93810.76</v>
      </c>
    </row>
    <row r="116" spans="1:15" x14ac:dyDescent="0.3">
      <c r="A116">
        <v>10</v>
      </c>
      <c r="B116" s="1" t="s">
        <v>15</v>
      </c>
      <c r="C116">
        <v>503405.88</v>
      </c>
      <c r="D116" s="1" t="s">
        <v>244</v>
      </c>
      <c r="E116">
        <v>503405.88</v>
      </c>
      <c r="F116">
        <v>0</v>
      </c>
      <c r="G116" s="1" t="s">
        <v>245</v>
      </c>
      <c r="H116">
        <v>0</v>
      </c>
      <c r="I116">
        <v>0</v>
      </c>
      <c r="J116">
        <v>1</v>
      </c>
      <c r="K116">
        <v>0</v>
      </c>
      <c r="L116">
        <v>10</v>
      </c>
      <c r="M116">
        <v>0</v>
      </c>
      <c r="N116">
        <v>1</v>
      </c>
      <c r="O116">
        <v>503405.88</v>
      </c>
    </row>
    <row r="117" spans="1:15" x14ac:dyDescent="0.3">
      <c r="A117">
        <v>10</v>
      </c>
      <c r="B117" s="1" t="s">
        <v>18</v>
      </c>
      <c r="C117">
        <v>503405.88</v>
      </c>
      <c r="D117" s="1" t="s">
        <v>246</v>
      </c>
      <c r="E117">
        <v>503405.88</v>
      </c>
      <c r="F117">
        <v>0</v>
      </c>
      <c r="G117" s="1" t="s">
        <v>247</v>
      </c>
      <c r="H117">
        <v>29669</v>
      </c>
      <c r="I117">
        <v>533074.88</v>
      </c>
      <c r="J117">
        <v>1</v>
      </c>
      <c r="K117">
        <v>0</v>
      </c>
      <c r="L117">
        <v>10</v>
      </c>
      <c r="M117">
        <v>0</v>
      </c>
      <c r="N117">
        <v>1</v>
      </c>
      <c r="O117">
        <v>503405.88</v>
      </c>
    </row>
    <row r="118" spans="1:15" x14ac:dyDescent="0.3">
      <c r="A118">
        <v>10</v>
      </c>
      <c r="B118" s="1" t="s">
        <v>15</v>
      </c>
      <c r="C118">
        <v>2662734.59</v>
      </c>
      <c r="D118" s="1" t="s">
        <v>248</v>
      </c>
      <c r="E118">
        <v>2662734.59</v>
      </c>
      <c r="F118">
        <v>0</v>
      </c>
      <c r="G118" s="1" t="s">
        <v>249</v>
      </c>
      <c r="H118">
        <v>0</v>
      </c>
      <c r="I118">
        <v>0</v>
      </c>
      <c r="J118">
        <v>1</v>
      </c>
      <c r="K118">
        <v>0</v>
      </c>
      <c r="L118">
        <v>10</v>
      </c>
      <c r="M118">
        <v>0</v>
      </c>
      <c r="N118">
        <v>1</v>
      </c>
      <c r="O118">
        <v>2662734.59</v>
      </c>
    </row>
    <row r="119" spans="1:15" x14ac:dyDescent="0.3">
      <c r="A119">
        <v>10</v>
      </c>
      <c r="B119" s="1" t="s">
        <v>18</v>
      </c>
      <c r="C119">
        <v>2662734.59</v>
      </c>
      <c r="D119" s="1" t="s">
        <v>250</v>
      </c>
      <c r="E119">
        <v>2662734.59</v>
      </c>
      <c r="F119">
        <v>0</v>
      </c>
      <c r="G119" s="1" t="s">
        <v>251</v>
      </c>
      <c r="H119">
        <v>14165.62</v>
      </c>
      <c r="I119">
        <v>2930405.33</v>
      </c>
      <c r="J119">
        <v>1</v>
      </c>
      <c r="K119">
        <v>0</v>
      </c>
      <c r="L119">
        <v>10</v>
      </c>
      <c r="M119">
        <v>0</v>
      </c>
      <c r="N119">
        <v>1</v>
      </c>
      <c r="O119">
        <v>2662734.59</v>
      </c>
    </row>
    <row r="120" spans="1:15" x14ac:dyDescent="0.3">
      <c r="A120">
        <v>10</v>
      </c>
      <c r="B120" s="1" t="s">
        <v>15</v>
      </c>
      <c r="C120">
        <v>9217.19</v>
      </c>
      <c r="D120" s="1" t="s">
        <v>252</v>
      </c>
      <c r="E120">
        <v>9217.19</v>
      </c>
      <c r="F120">
        <v>0</v>
      </c>
      <c r="G120" s="1" t="s">
        <v>253</v>
      </c>
      <c r="H120">
        <v>0</v>
      </c>
      <c r="I120">
        <v>96795.6</v>
      </c>
      <c r="J120">
        <v>1</v>
      </c>
      <c r="K120">
        <v>0</v>
      </c>
      <c r="L120">
        <v>10</v>
      </c>
      <c r="M120">
        <v>0</v>
      </c>
      <c r="N120">
        <v>1</v>
      </c>
      <c r="O120">
        <v>9217.19</v>
      </c>
    </row>
    <row r="121" spans="1:15" x14ac:dyDescent="0.3">
      <c r="A121">
        <v>10</v>
      </c>
      <c r="B121" s="1" t="s">
        <v>18</v>
      </c>
      <c r="C121">
        <v>9217.19</v>
      </c>
      <c r="D121" s="1" t="s">
        <v>254</v>
      </c>
      <c r="E121">
        <v>9217.19</v>
      </c>
      <c r="F121">
        <v>0</v>
      </c>
      <c r="G121" s="1" t="s">
        <v>255</v>
      </c>
      <c r="H121">
        <v>0</v>
      </c>
      <c r="I121">
        <v>9217.19</v>
      </c>
      <c r="J121">
        <v>1</v>
      </c>
      <c r="K121">
        <v>0</v>
      </c>
      <c r="L121">
        <v>10</v>
      </c>
      <c r="M121">
        <v>0</v>
      </c>
      <c r="N121">
        <v>1</v>
      </c>
      <c r="O121">
        <v>9217.19</v>
      </c>
    </row>
    <row r="122" spans="1:15" x14ac:dyDescent="0.3">
      <c r="A122">
        <v>11</v>
      </c>
      <c r="B122" s="1" t="s">
        <v>15</v>
      </c>
      <c r="C122">
        <v>2100</v>
      </c>
      <c r="D122" s="1" t="s">
        <v>256</v>
      </c>
      <c r="E122">
        <v>2100</v>
      </c>
      <c r="F122">
        <v>0</v>
      </c>
      <c r="G122" s="1" t="s">
        <v>257</v>
      </c>
      <c r="H122">
        <v>0</v>
      </c>
      <c r="I122">
        <v>0</v>
      </c>
      <c r="J122">
        <v>1</v>
      </c>
      <c r="K122">
        <v>0</v>
      </c>
      <c r="L122">
        <v>11</v>
      </c>
      <c r="M122">
        <v>0</v>
      </c>
      <c r="N122">
        <v>1</v>
      </c>
      <c r="O122">
        <v>2100</v>
      </c>
    </row>
    <row r="123" spans="1:15" x14ac:dyDescent="0.3">
      <c r="A123">
        <v>11</v>
      </c>
      <c r="B123" s="1" t="s">
        <v>18</v>
      </c>
      <c r="C123">
        <v>2100</v>
      </c>
      <c r="D123" s="1" t="s">
        <v>258</v>
      </c>
      <c r="E123">
        <v>2100</v>
      </c>
      <c r="F123">
        <v>0</v>
      </c>
      <c r="G123" s="1" t="s">
        <v>259</v>
      </c>
      <c r="H123">
        <v>112512.48</v>
      </c>
      <c r="I123">
        <v>114612.48</v>
      </c>
      <c r="J123">
        <v>1</v>
      </c>
      <c r="K123">
        <v>0</v>
      </c>
      <c r="L123">
        <v>11</v>
      </c>
      <c r="M123">
        <v>0</v>
      </c>
      <c r="N123">
        <v>1</v>
      </c>
      <c r="O123">
        <v>2100</v>
      </c>
    </row>
    <row r="124" spans="1:15" x14ac:dyDescent="0.3">
      <c r="A124">
        <v>11</v>
      </c>
      <c r="B124" s="1" t="s">
        <v>15</v>
      </c>
      <c r="C124">
        <v>1933920.8</v>
      </c>
      <c r="D124" s="1" t="s">
        <v>260</v>
      </c>
      <c r="E124">
        <v>0</v>
      </c>
      <c r="F124">
        <v>0</v>
      </c>
      <c r="G124" s="1" t="s">
        <v>261</v>
      </c>
      <c r="H124">
        <v>1283762.8500000001</v>
      </c>
      <c r="I124">
        <v>3217683.65</v>
      </c>
      <c r="J124">
        <v>1</v>
      </c>
      <c r="K124">
        <v>0</v>
      </c>
      <c r="L124">
        <v>11</v>
      </c>
      <c r="M124">
        <v>0</v>
      </c>
      <c r="N124">
        <v>0</v>
      </c>
      <c r="O124">
        <v>0</v>
      </c>
    </row>
    <row r="125" spans="1:15" x14ac:dyDescent="0.3">
      <c r="A125">
        <v>11</v>
      </c>
      <c r="B125" s="1" t="s">
        <v>15</v>
      </c>
      <c r="C125">
        <v>313418.28000000003</v>
      </c>
      <c r="D125" s="1" t="s">
        <v>262</v>
      </c>
      <c r="E125">
        <v>313418.28000000003</v>
      </c>
      <c r="F125">
        <v>0</v>
      </c>
      <c r="G125" s="1" t="s">
        <v>263</v>
      </c>
      <c r="H125">
        <v>0</v>
      </c>
      <c r="I125">
        <v>97980.88</v>
      </c>
      <c r="J125">
        <v>1</v>
      </c>
      <c r="K125">
        <v>0</v>
      </c>
      <c r="L125">
        <v>11</v>
      </c>
      <c r="M125">
        <v>0</v>
      </c>
      <c r="N125">
        <v>1</v>
      </c>
      <c r="O125">
        <v>313418.28000000003</v>
      </c>
    </row>
    <row r="126" spans="1:15" x14ac:dyDescent="0.3">
      <c r="A126">
        <v>11</v>
      </c>
      <c r="B126" s="1" t="s">
        <v>18</v>
      </c>
      <c r="C126">
        <v>313418.28000000003</v>
      </c>
      <c r="D126" s="1" t="s">
        <v>264</v>
      </c>
      <c r="E126">
        <v>313418.28000000003</v>
      </c>
      <c r="F126">
        <v>0</v>
      </c>
      <c r="G126" s="1" t="s">
        <v>265</v>
      </c>
      <c r="H126">
        <v>688164.64</v>
      </c>
      <c r="I126">
        <v>1029922.17</v>
      </c>
      <c r="J126">
        <v>1</v>
      </c>
      <c r="K126">
        <v>0</v>
      </c>
      <c r="L126">
        <v>11</v>
      </c>
      <c r="M126">
        <v>0</v>
      </c>
      <c r="N126">
        <v>1</v>
      </c>
      <c r="O126">
        <v>313418.28000000003</v>
      </c>
    </row>
    <row r="127" spans="1:15" x14ac:dyDescent="0.3">
      <c r="A127">
        <v>11</v>
      </c>
      <c r="B127" s="1" t="s">
        <v>15</v>
      </c>
      <c r="C127">
        <v>12461</v>
      </c>
      <c r="D127" s="1" t="s">
        <v>266</v>
      </c>
      <c r="E127">
        <v>12461</v>
      </c>
      <c r="F127">
        <v>0</v>
      </c>
      <c r="G127" s="1" t="s">
        <v>267</v>
      </c>
      <c r="H127">
        <v>0</v>
      </c>
      <c r="I127">
        <v>0</v>
      </c>
      <c r="J127">
        <v>1</v>
      </c>
      <c r="K127">
        <v>0</v>
      </c>
      <c r="L127">
        <v>11</v>
      </c>
      <c r="M127">
        <v>0</v>
      </c>
      <c r="N127">
        <v>1</v>
      </c>
      <c r="O127">
        <v>12461</v>
      </c>
    </row>
    <row r="128" spans="1:15" x14ac:dyDescent="0.3">
      <c r="A128">
        <v>11</v>
      </c>
      <c r="B128" s="1" t="s">
        <v>18</v>
      </c>
      <c r="C128">
        <v>12461</v>
      </c>
      <c r="D128" s="1" t="s">
        <v>268</v>
      </c>
      <c r="E128">
        <v>12461</v>
      </c>
      <c r="F128">
        <v>0</v>
      </c>
      <c r="G128" s="1" t="s">
        <v>269</v>
      </c>
      <c r="H128">
        <v>27964.11</v>
      </c>
      <c r="I128">
        <v>40425.11</v>
      </c>
      <c r="J128">
        <v>1</v>
      </c>
      <c r="K128">
        <v>0</v>
      </c>
      <c r="L128">
        <v>11</v>
      </c>
      <c r="M128">
        <v>0</v>
      </c>
      <c r="N128">
        <v>1</v>
      </c>
      <c r="O128">
        <v>12461</v>
      </c>
    </row>
    <row r="129" spans="1:15" x14ac:dyDescent="0.3">
      <c r="A129">
        <v>12</v>
      </c>
      <c r="B129" s="1" t="s">
        <v>15</v>
      </c>
      <c r="C129">
        <v>19472</v>
      </c>
      <c r="D129" s="1" t="s">
        <v>270</v>
      </c>
      <c r="E129">
        <v>19472</v>
      </c>
      <c r="F129">
        <v>0</v>
      </c>
      <c r="G129" s="1" t="s">
        <v>271</v>
      </c>
      <c r="H129">
        <v>0</v>
      </c>
      <c r="I129">
        <v>0</v>
      </c>
      <c r="J129">
        <v>1</v>
      </c>
      <c r="K129">
        <v>0</v>
      </c>
      <c r="L129">
        <v>12</v>
      </c>
      <c r="M129">
        <v>0</v>
      </c>
      <c r="N129">
        <v>1</v>
      </c>
      <c r="O129">
        <v>19472</v>
      </c>
    </row>
    <row r="130" spans="1:15" x14ac:dyDescent="0.3">
      <c r="A130">
        <v>12</v>
      </c>
      <c r="B130" s="1" t="s">
        <v>18</v>
      </c>
      <c r="C130">
        <v>19472</v>
      </c>
      <c r="D130" s="1" t="s">
        <v>272</v>
      </c>
      <c r="E130">
        <v>19472</v>
      </c>
      <c r="F130">
        <v>0</v>
      </c>
      <c r="G130" s="1" t="s">
        <v>273</v>
      </c>
      <c r="H130">
        <v>0</v>
      </c>
      <c r="I130">
        <v>19472</v>
      </c>
      <c r="J130">
        <v>1</v>
      </c>
      <c r="K130">
        <v>0</v>
      </c>
      <c r="L130">
        <v>12</v>
      </c>
      <c r="M130">
        <v>0</v>
      </c>
      <c r="N130">
        <v>1</v>
      </c>
      <c r="O130">
        <v>19472</v>
      </c>
    </row>
    <row r="131" spans="1:15" x14ac:dyDescent="0.3">
      <c r="A131">
        <v>12</v>
      </c>
      <c r="B131" s="1" t="s">
        <v>15</v>
      </c>
      <c r="C131">
        <v>3964129.99</v>
      </c>
      <c r="D131" s="1" t="s">
        <v>274</v>
      </c>
      <c r="E131">
        <v>3964129.99</v>
      </c>
      <c r="F131">
        <v>0</v>
      </c>
      <c r="G131" s="1" t="s">
        <v>275</v>
      </c>
      <c r="H131">
        <v>0</v>
      </c>
      <c r="I131">
        <v>0</v>
      </c>
      <c r="J131">
        <v>1</v>
      </c>
      <c r="K131">
        <v>0</v>
      </c>
      <c r="L131">
        <v>12</v>
      </c>
      <c r="M131">
        <v>0</v>
      </c>
      <c r="N131">
        <v>1</v>
      </c>
      <c r="O131">
        <v>3964129.99</v>
      </c>
    </row>
    <row r="132" spans="1:15" x14ac:dyDescent="0.3">
      <c r="A132">
        <v>12</v>
      </c>
      <c r="B132" s="1" t="s">
        <v>18</v>
      </c>
      <c r="C132">
        <v>3964129.99</v>
      </c>
      <c r="D132" s="1" t="s">
        <v>276</v>
      </c>
      <c r="E132">
        <v>3964129.99</v>
      </c>
      <c r="F132">
        <v>0</v>
      </c>
      <c r="G132" s="1" t="s">
        <v>277</v>
      </c>
      <c r="H132">
        <v>1912955.54</v>
      </c>
      <c r="I132">
        <v>5811064.0700000003</v>
      </c>
      <c r="J132">
        <v>1</v>
      </c>
      <c r="K132">
        <v>0</v>
      </c>
      <c r="L132">
        <v>12</v>
      </c>
      <c r="M132">
        <v>0</v>
      </c>
      <c r="N132">
        <v>1</v>
      </c>
      <c r="O132">
        <v>3964129.99</v>
      </c>
    </row>
    <row r="133" spans="1:15" x14ac:dyDescent="0.3">
      <c r="A133">
        <v>12</v>
      </c>
      <c r="B133" s="1" t="s">
        <v>15</v>
      </c>
      <c r="C133">
        <v>1041647.06</v>
      </c>
      <c r="D133" s="1" t="s">
        <v>278</v>
      </c>
      <c r="E133">
        <v>1041647.06</v>
      </c>
      <c r="F133">
        <v>0</v>
      </c>
      <c r="G133" s="1" t="s">
        <v>279</v>
      </c>
      <c r="H133">
        <v>0</v>
      </c>
      <c r="I133">
        <v>0</v>
      </c>
      <c r="J133">
        <v>1</v>
      </c>
      <c r="K133">
        <v>0</v>
      </c>
      <c r="L133">
        <v>12</v>
      </c>
      <c r="M133">
        <v>0</v>
      </c>
      <c r="N133">
        <v>1</v>
      </c>
      <c r="O133">
        <v>1041647.06</v>
      </c>
    </row>
    <row r="134" spans="1:15" x14ac:dyDescent="0.3">
      <c r="A134">
        <v>12</v>
      </c>
      <c r="B134" s="1" t="s">
        <v>18</v>
      </c>
      <c r="C134">
        <v>1041647.06</v>
      </c>
      <c r="D134" s="1" t="s">
        <v>280</v>
      </c>
      <c r="E134">
        <v>1041647.06</v>
      </c>
      <c r="F134">
        <v>0</v>
      </c>
      <c r="G134" s="1" t="s">
        <v>281</v>
      </c>
      <c r="H134">
        <v>52730.33</v>
      </c>
      <c r="I134">
        <v>1094377.3899999999</v>
      </c>
      <c r="J134">
        <v>1</v>
      </c>
      <c r="K134">
        <v>0</v>
      </c>
      <c r="L134">
        <v>12</v>
      </c>
      <c r="M134">
        <v>0</v>
      </c>
      <c r="N134">
        <v>1</v>
      </c>
      <c r="O134">
        <v>1041647.06</v>
      </c>
    </row>
    <row r="135" spans="1:15" x14ac:dyDescent="0.3">
      <c r="A135">
        <v>12</v>
      </c>
      <c r="B135" s="1" t="s">
        <v>15</v>
      </c>
      <c r="C135">
        <v>2066467.64</v>
      </c>
      <c r="D135" s="1" t="s">
        <v>282</v>
      </c>
      <c r="E135">
        <v>2066467.64</v>
      </c>
      <c r="F135">
        <v>0</v>
      </c>
      <c r="G135" s="1" t="s">
        <v>283</v>
      </c>
      <c r="H135">
        <v>0</v>
      </c>
      <c r="I135">
        <v>81209.81</v>
      </c>
      <c r="J135">
        <v>1</v>
      </c>
      <c r="K135">
        <v>0</v>
      </c>
      <c r="L135">
        <v>12</v>
      </c>
      <c r="M135">
        <v>0</v>
      </c>
      <c r="N135">
        <v>1</v>
      </c>
      <c r="O135">
        <v>2066467.64</v>
      </c>
    </row>
    <row r="136" spans="1:15" x14ac:dyDescent="0.3">
      <c r="A136">
        <v>12</v>
      </c>
      <c r="B136" s="1" t="s">
        <v>18</v>
      </c>
      <c r="C136">
        <v>2066467.64</v>
      </c>
      <c r="D136" s="1" t="s">
        <v>284</v>
      </c>
      <c r="E136">
        <v>2066467.64</v>
      </c>
      <c r="F136">
        <v>0</v>
      </c>
      <c r="G136" s="1" t="s">
        <v>285</v>
      </c>
      <c r="H136">
        <v>194510.24</v>
      </c>
      <c r="I136">
        <v>3098566.67</v>
      </c>
      <c r="J136">
        <v>1</v>
      </c>
      <c r="K136">
        <v>0</v>
      </c>
      <c r="L136">
        <v>12</v>
      </c>
      <c r="M136">
        <v>0</v>
      </c>
      <c r="N136">
        <v>1</v>
      </c>
      <c r="O136">
        <v>2066467.64</v>
      </c>
    </row>
    <row r="137" spans="1:15" x14ac:dyDescent="0.3">
      <c r="A137">
        <v>12</v>
      </c>
      <c r="B137" s="1" t="s">
        <v>18</v>
      </c>
      <c r="C137">
        <v>149668.66</v>
      </c>
      <c r="D137" s="1" t="s">
        <v>286</v>
      </c>
      <c r="E137">
        <v>0</v>
      </c>
      <c r="F137">
        <v>0</v>
      </c>
      <c r="G137" s="1" t="s">
        <v>287</v>
      </c>
      <c r="H137">
        <v>44170.11</v>
      </c>
      <c r="I137">
        <v>193838.76</v>
      </c>
      <c r="J137">
        <v>1</v>
      </c>
      <c r="K137">
        <v>0</v>
      </c>
      <c r="L137">
        <v>12</v>
      </c>
      <c r="M137">
        <v>0</v>
      </c>
      <c r="N137">
        <v>0</v>
      </c>
      <c r="O137">
        <v>0</v>
      </c>
    </row>
    <row r="138" spans="1:15" x14ac:dyDescent="0.3">
      <c r="A138">
        <v>12</v>
      </c>
      <c r="B138" s="1" t="s">
        <v>15</v>
      </c>
      <c r="C138">
        <v>2007</v>
      </c>
      <c r="D138" s="1" t="s">
        <v>288</v>
      </c>
      <c r="E138">
        <v>2007</v>
      </c>
      <c r="F138">
        <v>0</v>
      </c>
      <c r="G138" s="1" t="s">
        <v>289</v>
      </c>
      <c r="H138">
        <v>0</v>
      </c>
      <c r="I138">
        <v>0</v>
      </c>
      <c r="J138">
        <v>1</v>
      </c>
      <c r="K138">
        <v>0</v>
      </c>
      <c r="L138">
        <v>12</v>
      </c>
      <c r="M138">
        <v>0</v>
      </c>
      <c r="N138">
        <v>1</v>
      </c>
      <c r="O138">
        <v>2007</v>
      </c>
    </row>
    <row r="139" spans="1:15" x14ac:dyDescent="0.3">
      <c r="A139">
        <v>12</v>
      </c>
      <c r="B139" s="1" t="s">
        <v>18</v>
      </c>
      <c r="C139">
        <v>2007</v>
      </c>
      <c r="D139" s="1" t="s">
        <v>290</v>
      </c>
      <c r="E139">
        <v>2007</v>
      </c>
      <c r="F139">
        <v>0</v>
      </c>
      <c r="G139" s="1" t="s">
        <v>291</v>
      </c>
      <c r="H139">
        <v>129917.8</v>
      </c>
      <c r="I139">
        <v>250910.76</v>
      </c>
      <c r="J139">
        <v>1</v>
      </c>
      <c r="K139">
        <v>0</v>
      </c>
      <c r="L139">
        <v>12</v>
      </c>
      <c r="M139">
        <v>0</v>
      </c>
      <c r="N139">
        <v>1</v>
      </c>
      <c r="O139">
        <v>2007</v>
      </c>
    </row>
    <row r="140" spans="1:15" x14ac:dyDescent="0.3">
      <c r="A140">
        <v>12</v>
      </c>
      <c r="B140" s="1" t="s">
        <v>18</v>
      </c>
      <c r="C140">
        <v>222048.71</v>
      </c>
      <c r="D140" s="1" t="s">
        <v>292</v>
      </c>
      <c r="E140">
        <v>0</v>
      </c>
      <c r="F140">
        <v>0</v>
      </c>
      <c r="G140" s="1" t="s">
        <v>293</v>
      </c>
      <c r="H140">
        <v>2979</v>
      </c>
      <c r="I140">
        <v>225027.71</v>
      </c>
      <c r="J140">
        <v>1</v>
      </c>
      <c r="K140">
        <v>0</v>
      </c>
      <c r="L140">
        <v>12</v>
      </c>
      <c r="M140">
        <v>0</v>
      </c>
      <c r="N140">
        <v>0</v>
      </c>
      <c r="O140">
        <v>0</v>
      </c>
    </row>
    <row r="141" spans="1:15" x14ac:dyDescent="0.3">
      <c r="A141">
        <v>12</v>
      </c>
      <c r="B141" s="1" t="s">
        <v>15</v>
      </c>
      <c r="C141">
        <v>8677</v>
      </c>
      <c r="D141" s="1" t="s">
        <v>294</v>
      </c>
      <c r="E141">
        <v>8677</v>
      </c>
      <c r="F141">
        <v>0</v>
      </c>
      <c r="G141" s="1" t="s">
        <v>295</v>
      </c>
      <c r="H141">
        <v>0</v>
      </c>
      <c r="I141">
        <v>0</v>
      </c>
      <c r="J141">
        <v>1</v>
      </c>
      <c r="K141">
        <v>0</v>
      </c>
      <c r="L141">
        <v>12</v>
      </c>
      <c r="M141">
        <v>0</v>
      </c>
      <c r="N141">
        <v>1</v>
      </c>
      <c r="O141">
        <v>8677</v>
      </c>
    </row>
    <row r="142" spans="1:15" x14ac:dyDescent="0.3">
      <c r="A142">
        <v>12</v>
      </c>
      <c r="B142" s="1" t="s">
        <v>18</v>
      </c>
      <c r="C142">
        <v>8677</v>
      </c>
      <c r="D142" s="1" t="s">
        <v>296</v>
      </c>
      <c r="E142">
        <v>8677</v>
      </c>
      <c r="F142">
        <v>0</v>
      </c>
      <c r="G142" s="1" t="s">
        <v>297</v>
      </c>
      <c r="H142">
        <v>225127.62</v>
      </c>
      <c r="I142">
        <v>233804.62</v>
      </c>
      <c r="J142">
        <v>1</v>
      </c>
      <c r="K142">
        <v>0</v>
      </c>
      <c r="L142">
        <v>12</v>
      </c>
      <c r="M142">
        <v>0</v>
      </c>
      <c r="N142">
        <v>1</v>
      </c>
      <c r="O142">
        <v>8677</v>
      </c>
    </row>
    <row r="143" spans="1:15" x14ac:dyDescent="0.3">
      <c r="A143">
        <v>13</v>
      </c>
      <c r="B143" s="1" t="s">
        <v>15</v>
      </c>
      <c r="C143">
        <v>408</v>
      </c>
      <c r="D143" s="1" t="s">
        <v>298</v>
      </c>
      <c r="E143">
        <v>408</v>
      </c>
      <c r="F143">
        <v>0</v>
      </c>
      <c r="G143" s="1" t="s">
        <v>299</v>
      </c>
      <c r="H143">
        <v>0</v>
      </c>
      <c r="I143">
        <v>226013.18</v>
      </c>
      <c r="J143">
        <v>1</v>
      </c>
      <c r="K143">
        <v>0</v>
      </c>
      <c r="L143">
        <v>13</v>
      </c>
      <c r="M143">
        <v>0</v>
      </c>
      <c r="N143">
        <v>1</v>
      </c>
      <c r="O143">
        <v>408</v>
      </c>
    </row>
    <row r="144" spans="1:15" x14ac:dyDescent="0.3">
      <c r="A144">
        <v>13</v>
      </c>
      <c r="B144" s="1" t="s">
        <v>18</v>
      </c>
      <c r="C144">
        <v>408</v>
      </c>
      <c r="D144" s="1" t="s">
        <v>300</v>
      </c>
      <c r="E144">
        <v>408</v>
      </c>
      <c r="F144">
        <v>0</v>
      </c>
      <c r="G144" s="1" t="s">
        <v>301</v>
      </c>
      <c r="H144">
        <v>898297.85</v>
      </c>
      <c r="I144">
        <v>1075854.1399999999</v>
      </c>
      <c r="J144">
        <v>1</v>
      </c>
      <c r="K144">
        <v>0</v>
      </c>
      <c r="L144">
        <v>13</v>
      </c>
      <c r="M144">
        <v>0</v>
      </c>
      <c r="N144">
        <v>1</v>
      </c>
      <c r="O144">
        <v>408</v>
      </c>
    </row>
    <row r="145" spans="1:15" x14ac:dyDescent="0.3">
      <c r="A145">
        <v>13</v>
      </c>
      <c r="B145" s="1" t="s">
        <v>15</v>
      </c>
      <c r="C145">
        <v>48375.02</v>
      </c>
      <c r="D145" s="1" t="s">
        <v>302</v>
      </c>
      <c r="E145">
        <v>48375.02</v>
      </c>
      <c r="F145">
        <v>0</v>
      </c>
      <c r="G145" s="1" t="s">
        <v>303</v>
      </c>
      <c r="H145">
        <v>0</v>
      </c>
      <c r="I145">
        <v>0</v>
      </c>
      <c r="J145">
        <v>1</v>
      </c>
      <c r="K145">
        <v>0</v>
      </c>
      <c r="L145">
        <v>13</v>
      </c>
      <c r="M145">
        <v>0</v>
      </c>
      <c r="N145">
        <v>1</v>
      </c>
      <c r="O145">
        <v>48375.02</v>
      </c>
    </row>
    <row r="146" spans="1:15" x14ac:dyDescent="0.3">
      <c r="A146">
        <v>13</v>
      </c>
      <c r="B146" s="1" t="s">
        <v>18</v>
      </c>
      <c r="C146">
        <v>48375.02</v>
      </c>
      <c r="D146" s="1" t="s">
        <v>304</v>
      </c>
      <c r="E146">
        <v>48375.02</v>
      </c>
      <c r="F146">
        <v>0</v>
      </c>
      <c r="G146" s="1" t="s">
        <v>305</v>
      </c>
      <c r="H146">
        <v>374803.26</v>
      </c>
      <c r="I146">
        <v>658520.32999999996</v>
      </c>
      <c r="J146">
        <v>1</v>
      </c>
      <c r="K146">
        <v>0</v>
      </c>
      <c r="L146">
        <v>13</v>
      </c>
      <c r="M146">
        <v>0</v>
      </c>
      <c r="N146">
        <v>1</v>
      </c>
      <c r="O146">
        <v>48375.02</v>
      </c>
    </row>
    <row r="147" spans="1:15" x14ac:dyDescent="0.3">
      <c r="A147">
        <v>13</v>
      </c>
      <c r="B147" s="1" t="s">
        <v>15</v>
      </c>
      <c r="C147">
        <v>4022667.54</v>
      </c>
      <c r="D147" s="1" t="s">
        <v>306</v>
      </c>
      <c r="E147">
        <v>4022667.54</v>
      </c>
      <c r="F147">
        <v>0</v>
      </c>
      <c r="G147" s="1" t="s">
        <v>307</v>
      </c>
      <c r="H147">
        <v>0</v>
      </c>
      <c r="I147">
        <v>0</v>
      </c>
      <c r="J147">
        <v>1</v>
      </c>
      <c r="K147">
        <v>0</v>
      </c>
      <c r="L147">
        <v>13</v>
      </c>
      <c r="M147">
        <v>0</v>
      </c>
      <c r="N147">
        <v>1</v>
      </c>
      <c r="O147">
        <v>4022667.54</v>
      </c>
    </row>
    <row r="148" spans="1:15" x14ac:dyDescent="0.3">
      <c r="A148">
        <v>13</v>
      </c>
      <c r="B148" s="1" t="s">
        <v>18</v>
      </c>
      <c r="C148">
        <v>4022667.54</v>
      </c>
      <c r="D148" s="1" t="s">
        <v>308</v>
      </c>
      <c r="E148">
        <v>4022667.54</v>
      </c>
      <c r="F148">
        <v>0</v>
      </c>
      <c r="G148" s="1" t="s">
        <v>309</v>
      </c>
      <c r="H148">
        <v>80136.56</v>
      </c>
      <c r="I148">
        <v>4057191.21</v>
      </c>
      <c r="J148">
        <v>1</v>
      </c>
      <c r="K148">
        <v>0</v>
      </c>
      <c r="L148">
        <v>13</v>
      </c>
      <c r="M148">
        <v>0</v>
      </c>
      <c r="N148">
        <v>1</v>
      </c>
      <c r="O148">
        <v>4022667.54</v>
      </c>
    </row>
    <row r="149" spans="1:15" x14ac:dyDescent="0.3">
      <c r="A149">
        <v>13</v>
      </c>
      <c r="B149" s="1" t="s">
        <v>18</v>
      </c>
      <c r="C149">
        <v>454859.39</v>
      </c>
      <c r="D149" s="1" t="s">
        <v>310</v>
      </c>
      <c r="E149">
        <v>0</v>
      </c>
      <c r="F149">
        <v>0</v>
      </c>
      <c r="G149" s="1" t="s">
        <v>311</v>
      </c>
      <c r="H149">
        <v>0</v>
      </c>
      <c r="I149">
        <v>454859.39</v>
      </c>
      <c r="J149">
        <v>1</v>
      </c>
      <c r="K149">
        <v>0</v>
      </c>
      <c r="L149">
        <v>13</v>
      </c>
      <c r="M149">
        <v>0</v>
      </c>
      <c r="N149">
        <v>0</v>
      </c>
      <c r="O149">
        <v>0</v>
      </c>
    </row>
    <row r="150" spans="1:15" x14ac:dyDescent="0.3">
      <c r="A150">
        <v>13</v>
      </c>
      <c r="B150" s="1" t="s">
        <v>15</v>
      </c>
      <c r="C150">
        <v>1161495.82</v>
      </c>
      <c r="D150" s="1" t="s">
        <v>312</v>
      </c>
      <c r="E150">
        <v>1161495.82</v>
      </c>
      <c r="F150">
        <v>0</v>
      </c>
      <c r="G150" s="1" t="s">
        <v>313</v>
      </c>
      <c r="H150">
        <v>0</v>
      </c>
      <c r="I150">
        <v>0</v>
      </c>
      <c r="J150">
        <v>1</v>
      </c>
      <c r="K150">
        <v>0</v>
      </c>
      <c r="L150">
        <v>13</v>
      </c>
      <c r="M150">
        <v>0</v>
      </c>
      <c r="N150">
        <v>1</v>
      </c>
      <c r="O150">
        <v>1161495.82</v>
      </c>
    </row>
    <row r="151" spans="1:15" x14ac:dyDescent="0.3">
      <c r="A151">
        <v>13</v>
      </c>
      <c r="B151" s="1" t="s">
        <v>18</v>
      </c>
      <c r="C151">
        <v>1161495.82</v>
      </c>
      <c r="D151" s="1" t="s">
        <v>314</v>
      </c>
      <c r="E151">
        <v>1161495.82</v>
      </c>
      <c r="F151">
        <v>0</v>
      </c>
      <c r="G151" s="1" t="s">
        <v>315</v>
      </c>
      <c r="H151">
        <v>319036.02</v>
      </c>
      <c r="I151">
        <v>1565123.81</v>
      </c>
      <c r="J151">
        <v>1</v>
      </c>
      <c r="K151">
        <v>0</v>
      </c>
      <c r="L151">
        <v>13</v>
      </c>
      <c r="M151">
        <v>0</v>
      </c>
      <c r="N151">
        <v>1</v>
      </c>
      <c r="O151">
        <v>1161495.82</v>
      </c>
    </row>
    <row r="152" spans="1:15" x14ac:dyDescent="0.3">
      <c r="A152">
        <v>13</v>
      </c>
      <c r="B152" s="1" t="s">
        <v>15</v>
      </c>
      <c r="C152">
        <v>2686564.04</v>
      </c>
      <c r="D152" s="1" t="s">
        <v>316</v>
      </c>
      <c r="E152">
        <v>2686564.04</v>
      </c>
      <c r="F152">
        <v>0</v>
      </c>
      <c r="G152" s="1" t="s">
        <v>317</v>
      </c>
      <c r="H152">
        <v>0</v>
      </c>
      <c r="I152">
        <v>0</v>
      </c>
      <c r="J152">
        <v>1</v>
      </c>
      <c r="K152">
        <v>0</v>
      </c>
      <c r="L152">
        <v>13</v>
      </c>
      <c r="M152">
        <v>0</v>
      </c>
      <c r="N152">
        <v>1</v>
      </c>
      <c r="O152">
        <v>2686564.04</v>
      </c>
    </row>
    <row r="153" spans="1:15" x14ac:dyDescent="0.3">
      <c r="A153">
        <v>13</v>
      </c>
      <c r="B153" s="1" t="s">
        <v>18</v>
      </c>
      <c r="C153">
        <v>2686564.04</v>
      </c>
      <c r="D153" s="1" t="s">
        <v>318</v>
      </c>
      <c r="E153">
        <v>2686564.04</v>
      </c>
      <c r="F153">
        <v>0</v>
      </c>
      <c r="G153" s="1" t="s">
        <v>319</v>
      </c>
      <c r="H153">
        <v>438199.37</v>
      </c>
      <c r="I153">
        <v>3124763.41</v>
      </c>
      <c r="J153">
        <v>1</v>
      </c>
      <c r="K153">
        <v>0</v>
      </c>
      <c r="L153">
        <v>13</v>
      </c>
      <c r="M153">
        <v>0</v>
      </c>
      <c r="N153">
        <v>1</v>
      </c>
      <c r="O153">
        <v>2686564.04</v>
      </c>
    </row>
    <row r="154" spans="1:15" x14ac:dyDescent="0.3">
      <c r="A154">
        <v>13</v>
      </c>
      <c r="B154" s="1" t="s">
        <v>15</v>
      </c>
      <c r="C154">
        <v>6188514.8099999996</v>
      </c>
      <c r="D154" s="1" t="s">
        <v>320</v>
      </c>
      <c r="E154">
        <v>6188514.8099999996</v>
      </c>
      <c r="F154">
        <v>0</v>
      </c>
      <c r="G154" s="1" t="s">
        <v>321</v>
      </c>
      <c r="H154">
        <v>0</v>
      </c>
      <c r="I154">
        <v>0</v>
      </c>
      <c r="J154">
        <v>1</v>
      </c>
      <c r="K154">
        <v>0</v>
      </c>
      <c r="L154">
        <v>13</v>
      </c>
      <c r="M154">
        <v>0</v>
      </c>
      <c r="N154">
        <v>1</v>
      </c>
      <c r="O154">
        <v>6188514.8099999996</v>
      </c>
    </row>
    <row r="155" spans="1:15" x14ac:dyDescent="0.3">
      <c r="A155">
        <v>13</v>
      </c>
      <c r="B155" s="1" t="s">
        <v>18</v>
      </c>
      <c r="C155">
        <v>6188514.8099999996</v>
      </c>
      <c r="D155" s="1" t="s">
        <v>322</v>
      </c>
      <c r="E155">
        <v>6188514.8099999996</v>
      </c>
      <c r="F155">
        <v>0</v>
      </c>
      <c r="G155" s="1" t="s">
        <v>323</v>
      </c>
      <c r="H155">
        <v>381607.21</v>
      </c>
      <c r="I155">
        <v>6424681.5599999996</v>
      </c>
      <c r="J155">
        <v>1</v>
      </c>
      <c r="K155">
        <v>0</v>
      </c>
      <c r="L155">
        <v>13</v>
      </c>
      <c r="M155">
        <v>0</v>
      </c>
      <c r="N155">
        <v>1</v>
      </c>
      <c r="O155">
        <v>6188514.8099999996</v>
      </c>
    </row>
    <row r="156" spans="1:15" x14ac:dyDescent="0.3">
      <c r="A156">
        <v>13</v>
      </c>
      <c r="B156" s="1" t="s">
        <v>15</v>
      </c>
      <c r="C156">
        <v>123194.95</v>
      </c>
      <c r="D156" s="1" t="s">
        <v>324</v>
      </c>
      <c r="E156">
        <v>79466.45</v>
      </c>
      <c r="F156">
        <v>0</v>
      </c>
      <c r="G156" s="1" t="s">
        <v>325</v>
      </c>
      <c r="H156">
        <v>535933.16</v>
      </c>
      <c r="I156">
        <v>263908.84000000003</v>
      </c>
      <c r="J156">
        <v>1</v>
      </c>
      <c r="K156">
        <v>0</v>
      </c>
      <c r="L156">
        <v>13</v>
      </c>
      <c r="M156">
        <v>0</v>
      </c>
      <c r="N156">
        <v>1</v>
      </c>
      <c r="O156">
        <v>79466.45</v>
      </c>
    </row>
    <row r="157" spans="1:15" x14ac:dyDescent="0.3">
      <c r="A157">
        <v>14</v>
      </c>
      <c r="B157" s="1" t="s">
        <v>15</v>
      </c>
      <c r="C157">
        <v>2093951.47</v>
      </c>
      <c r="D157" s="1" t="s">
        <v>326</v>
      </c>
      <c r="E157">
        <v>2093951.47</v>
      </c>
      <c r="F157">
        <v>0</v>
      </c>
      <c r="G157" s="1" t="s">
        <v>327</v>
      </c>
      <c r="H157">
        <v>0</v>
      </c>
      <c r="I157">
        <v>0</v>
      </c>
      <c r="J157">
        <v>1</v>
      </c>
      <c r="K157">
        <v>0</v>
      </c>
      <c r="L157">
        <v>14</v>
      </c>
      <c r="M157">
        <v>0</v>
      </c>
      <c r="N157">
        <v>1</v>
      </c>
      <c r="O157">
        <v>2093951.47</v>
      </c>
    </row>
    <row r="158" spans="1:15" x14ac:dyDescent="0.3">
      <c r="A158">
        <v>14</v>
      </c>
      <c r="B158" s="1" t="s">
        <v>18</v>
      </c>
      <c r="C158">
        <v>2093951.47</v>
      </c>
      <c r="D158" s="1" t="s">
        <v>328</v>
      </c>
      <c r="E158">
        <v>2093951.47</v>
      </c>
      <c r="F158">
        <v>0</v>
      </c>
      <c r="G158" s="1" t="s">
        <v>329</v>
      </c>
      <c r="H158">
        <v>0</v>
      </c>
      <c r="I158">
        <v>2093951.47</v>
      </c>
      <c r="J158">
        <v>1</v>
      </c>
      <c r="K158">
        <v>0</v>
      </c>
      <c r="L158">
        <v>14</v>
      </c>
      <c r="M158">
        <v>0</v>
      </c>
      <c r="N158">
        <v>1</v>
      </c>
      <c r="O158">
        <v>2093951.47</v>
      </c>
    </row>
    <row r="159" spans="1:15" x14ac:dyDescent="0.3">
      <c r="A159">
        <v>14</v>
      </c>
      <c r="B159" s="1" t="s">
        <v>15</v>
      </c>
      <c r="C159">
        <v>143032</v>
      </c>
      <c r="D159" s="1" t="s">
        <v>330</v>
      </c>
      <c r="E159">
        <v>143032</v>
      </c>
      <c r="F159">
        <v>0</v>
      </c>
      <c r="G159" s="1" t="s">
        <v>331</v>
      </c>
      <c r="H159">
        <v>0</v>
      </c>
      <c r="I159">
        <v>0</v>
      </c>
      <c r="J159">
        <v>1</v>
      </c>
      <c r="K159">
        <v>0</v>
      </c>
      <c r="L159">
        <v>14</v>
      </c>
      <c r="M159">
        <v>0</v>
      </c>
      <c r="N159">
        <v>1</v>
      </c>
      <c r="O159">
        <v>143032</v>
      </c>
    </row>
    <row r="160" spans="1:15" x14ac:dyDescent="0.3">
      <c r="A160">
        <v>14</v>
      </c>
      <c r="B160" s="1" t="s">
        <v>18</v>
      </c>
      <c r="C160">
        <v>143032</v>
      </c>
      <c r="D160" s="1" t="s">
        <v>332</v>
      </c>
      <c r="E160">
        <v>143032</v>
      </c>
      <c r="F160">
        <v>0</v>
      </c>
      <c r="G160" s="1" t="s">
        <v>333</v>
      </c>
      <c r="H160">
        <v>814654.61</v>
      </c>
      <c r="I160">
        <v>1020323.73</v>
      </c>
      <c r="J160">
        <v>1</v>
      </c>
      <c r="K160">
        <v>0</v>
      </c>
      <c r="L160">
        <v>14</v>
      </c>
      <c r="M160">
        <v>0</v>
      </c>
      <c r="N160">
        <v>1</v>
      </c>
      <c r="O160">
        <v>143032</v>
      </c>
    </row>
    <row r="161" spans="1:15" x14ac:dyDescent="0.3">
      <c r="A161">
        <v>14</v>
      </c>
      <c r="B161" s="1" t="s">
        <v>15</v>
      </c>
      <c r="C161">
        <v>2927005.15</v>
      </c>
      <c r="D161" s="1" t="s">
        <v>334</v>
      </c>
      <c r="E161">
        <v>2927005.15</v>
      </c>
      <c r="F161">
        <v>0</v>
      </c>
      <c r="G161" s="1" t="s">
        <v>335</v>
      </c>
      <c r="H161">
        <v>0</v>
      </c>
      <c r="I161">
        <v>0</v>
      </c>
      <c r="J161">
        <v>1</v>
      </c>
      <c r="K161">
        <v>0</v>
      </c>
      <c r="L161">
        <v>14</v>
      </c>
      <c r="M161">
        <v>0</v>
      </c>
      <c r="N161">
        <v>1</v>
      </c>
      <c r="O161">
        <v>2927005.15</v>
      </c>
    </row>
    <row r="162" spans="1:15" x14ac:dyDescent="0.3">
      <c r="A162">
        <v>14</v>
      </c>
      <c r="B162" s="1" t="s">
        <v>18</v>
      </c>
      <c r="C162">
        <v>2927005.15</v>
      </c>
      <c r="D162" s="1" t="s">
        <v>336</v>
      </c>
      <c r="E162">
        <v>2927005.15</v>
      </c>
      <c r="F162">
        <v>0</v>
      </c>
      <c r="G162" s="1" t="s">
        <v>337</v>
      </c>
      <c r="H162">
        <v>0</v>
      </c>
      <c r="I162">
        <v>2994420.07</v>
      </c>
      <c r="J162">
        <v>1</v>
      </c>
      <c r="K162">
        <v>0</v>
      </c>
      <c r="L162">
        <v>14</v>
      </c>
      <c r="M162">
        <v>0</v>
      </c>
      <c r="N162">
        <v>1</v>
      </c>
      <c r="O162">
        <v>2927005.15</v>
      </c>
    </row>
    <row r="163" spans="1:15" x14ac:dyDescent="0.3">
      <c r="A163">
        <v>14</v>
      </c>
      <c r="B163" s="1" t="s">
        <v>15</v>
      </c>
      <c r="C163">
        <v>1832319.42</v>
      </c>
      <c r="D163" s="1" t="s">
        <v>338</v>
      </c>
      <c r="E163">
        <v>1832319.42</v>
      </c>
      <c r="F163">
        <v>0</v>
      </c>
      <c r="G163" s="1" t="s">
        <v>339</v>
      </c>
      <c r="H163">
        <v>0</v>
      </c>
      <c r="I163">
        <v>0</v>
      </c>
      <c r="J163">
        <v>1</v>
      </c>
      <c r="K163">
        <v>0</v>
      </c>
      <c r="L163">
        <v>14</v>
      </c>
      <c r="M163">
        <v>0</v>
      </c>
      <c r="N163">
        <v>1</v>
      </c>
      <c r="O163">
        <v>1832319.42</v>
      </c>
    </row>
    <row r="164" spans="1:15" x14ac:dyDescent="0.3">
      <c r="A164">
        <v>14</v>
      </c>
      <c r="B164" s="1" t="s">
        <v>18</v>
      </c>
      <c r="C164">
        <v>1832319.42</v>
      </c>
      <c r="D164" s="1" t="s">
        <v>340</v>
      </c>
      <c r="E164">
        <v>1832319.42</v>
      </c>
      <c r="F164">
        <v>0</v>
      </c>
      <c r="G164" s="1" t="s">
        <v>341</v>
      </c>
      <c r="H164">
        <v>43962.42</v>
      </c>
      <c r="I164">
        <v>2440139.69</v>
      </c>
      <c r="J164">
        <v>1</v>
      </c>
      <c r="K164">
        <v>0</v>
      </c>
      <c r="L164">
        <v>14</v>
      </c>
      <c r="M164">
        <v>0</v>
      </c>
      <c r="N164">
        <v>1</v>
      </c>
      <c r="O164">
        <v>1832319.42</v>
      </c>
    </row>
    <row r="165" spans="1:15" x14ac:dyDescent="0.3">
      <c r="A165">
        <v>14</v>
      </c>
      <c r="B165" s="1" t="s">
        <v>15</v>
      </c>
      <c r="C165">
        <v>1561891.66</v>
      </c>
      <c r="D165" s="1" t="s">
        <v>342</v>
      </c>
      <c r="E165">
        <v>1561891.66</v>
      </c>
      <c r="F165">
        <v>0</v>
      </c>
      <c r="G165" s="1" t="s">
        <v>343</v>
      </c>
      <c r="H165">
        <v>0</v>
      </c>
      <c r="I165">
        <v>0</v>
      </c>
      <c r="J165">
        <v>1</v>
      </c>
      <c r="K165">
        <v>0</v>
      </c>
      <c r="L165">
        <v>14</v>
      </c>
      <c r="M165">
        <v>0</v>
      </c>
      <c r="N165">
        <v>1</v>
      </c>
      <c r="O165">
        <v>1561891.66</v>
      </c>
    </row>
    <row r="166" spans="1:15" x14ac:dyDescent="0.3">
      <c r="A166">
        <v>14</v>
      </c>
      <c r="B166" s="1" t="s">
        <v>18</v>
      </c>
      <c r="C166">
        <v>1561891.66</v>
      </c>
      <c r="D166" s="1" t="s">
        <v>344</v>
      </c>
      <c r="E166">
        <v>1561891.66</v>
      </c>
      <c r="F166">
        <v>0</v>
      </c>
      <c r="G166" s="1" t="s">
        <v>345</v>
      </c>
      <c r="H166">
        <v>3471928.95</v>
      </c>
      <c r="I166">
        <v>6443177.5599999996</v>
      </c>
      <c r="J166">
        <v>1</v>
      </c>
      <c r="K166">
        <v>0</v>
      </c>
      <c r="L166">
        <v>14</v>
      </c>
      <c r="M166">
        <v>0</v>
      </c>
      <c r="N166">
        <v>1</v>
      </c>
      <c r="O166">
        <v>1561891.66</v>
      </c>
    </row>
    <row r="167" spans="1:15" x14ac:dyDescent="0.3">
      <c r="A167">
        <v>14</v>
      </c>
      <c r="B167" s="1" t="s">
        <v>15</v>
      </c>
      <c r="C167">
        <v>65488.05</v>
      </c>
      <c r="D167" s="1" t="s">
        <v>346</v>
      </c>
      <c r="E167">
        <v>65488.05</v>
      </c>
      <c r="F167">
        <v>0</v>
      </c>
      <c r="G167" s="1" t="s">
        <v>347</v>
      </c>
      <c r="H167">
        <v>0</v>
      </c>
      <c r="I167">
        <v>0</v>
      </c>
      <c r="J167">
        <v>1</v>
      </c>
      <c r="K167">
        <v>0</v>
      </c>
      <c r="L167">
        <v>14</v>
      </c>
      <c r="M167">
        <v>0</v>
      </c>
      <c r="N167">
        <v>1</v>
      </c>
      <c r="O167">
        <v>65488.05</v>
      </c>
    </row>
    <row r="168" spans="1:15" x14ac:dyDescent="0.3">
      <c r="A168">
        <v>14</v>
      </c>
      <c r="B168" s="1" t="s">
        <v>18</v>
      </c>
      <c r="C168">
        <v>65488.05</v>
      </c>
      <c r="D168" s="1" t="s">
        <v>348</v>
      </c>
      <c r="E168">
        <v>65488.05</v>
      </c>
      <c r="F168">
        <v>0</v>
      </c>
      <c r="G168" s="1" t="s">
        <v>349</v>
      </c>
      <c r="H168">
        <v>0</v>
      </c>
      <c r="I168">
        <v>65488.05</v>
      </c>
      <c r="J168">
        <v>1</v>
      </c>
      <c r="K168">
        <v>0</v>
      </c>
      <c r="L168">
        <v>14</v>
      </c>
      <c r="M168">
        <v>0</v>
      </c>
      <c r="N168">
        <v>1</v>
      </c>
      <c r="O168">
        <v>65488.05</v>
      </c>
    </row>
    <row r="169" spans="1:15" x14ac:dyDescent="0.3">
      <c r="A169">
        <v>15</v>
      </c>
      <c r="B169" s="1" t="s">
        <v>15</v>
      </c>
      <c r="C169">
        <v>696763.08</v>
      </c>
      <c r="D169" s="1" t="s">
        <v>350</v>
      </c>
      <c r="E169">
        <v>696763.08</v>
      </c>
      <c r="F169">
        <v>0</v>
      </c>
      <c r="G169" s="1" t="s">
        <v>351</v>
      </c>
      <c r="H169">
        <v>0</v>
      </c>
      <c r="I169">
        <v>69861.259999999995</v>
      </c>
      <c r="J169">
        <v>1</v>
      </c>
      <c r="K169">
        <v>0</v>
      </c>
      <c r="L169">
        <v>15</v>
      </c>
      <c r="M169">
        <v>0</v>
      </c>
      <c r="N169">
        <v>1</v>
      </c>
      <c r="O169">
        <v>696763.08</v>
      </c>
    </row>
    <row r="170" spans="1:15" x14ac:dyDescent="0.3">
      <c r="A170">
        <v>15</v>
      </c>
      <c r="B170" s="1" t="s">
        <v>18</v>
      </c>
      <c r="C170">
        <v>696763.08</v>
      </c>
      <c r="D170" s="1" t="s">
        <v>352</v>
      </c>
      <c r="E170">
        <v>696763.08</v>
      </c>
      <c r="F170">
        <v>0</v>
      </c>
      <c r="G170" s="1" t="s">
        <v>353</v>
      </c>
      <c r="H170">
        <v>366114.58</v>
      </c>
      <c r="I170">
        <v>1347073.81</v>
      </c>
      <c r="J170">
        <v>1</v>
      </c>
      <c r="K170">
        <v>0</v>
      </c>
      <c r="L170">
        <v>15</v>
      </c>
      <c r="M170">
        <v>0</v>
      </c>
      <c r="N170">
        <v>1</v>
      </c>
      <c r="O170">
        <v>696763.08</v>
      </c>
    </row>
    <row r="171" spans="1:15" x14ac:dyDescent="0.3">
      <c r="A171">
        <v>15</v>
      </c>
      <c r="B171" s="1" t="s">
        <v>15</v>
      </c>
      <c r="C171">
        <v>119</v>
      </c>
      <c r="D171" s="1" t="s">
        <v>354</v>
      </c>
      <c r="E171">
        <v>119</v>
      </c>
      <c r="F171">
        <v>0</v>
      </c>
      <c r="G171" s="1" t="s">
        <v>355</v>
      </c>
      <c r="H171">
        <v>0</v>
      </c>
      <c r="I171">
        <v>0</v>
      </c>
      <c r="J171">
        <v>1</v>
      </c>
      <c r="K171">
        <v>0</v>
      </c>
      <c r="L171">
        <v>15</v>
      </c>
      <c r="M171">
        <v>0</v>
      </c>
      <c r="N171">
        <v>1</v>
      </c>
      <c r="O171">
        <v>119</v>
      </c>
    </row>
    <row r="172" spans="1:15" x14ac:dyDescent="0.3">
      <c r="A172">
        <v>15</v>
      </c>
      <c r="B172" s="1" t="s">
        <v>18</v>
      </c>
      <c r="C172">
        <v>119</v>
      </c>
      <c r="D172" s="1" t="s">
        <v>356</v>
      </c>
      <c r="E172">
        <v>119</v>
      </c>
      <c r="F172">
        <v>0</v>
      </c>
      <c r="G172" s="1" t="s">
        <v>357</v>
      </c>
      <c r="H172">
        <v>4844060.13</v>
      </c>
      <c r="I172">
        <v>4844179.13</v>
      </c>
      <c r="J172">
        <v>1</v>
      </c>
      <c r="K172">
        <v>0</v>
      </c>
      <c r="L172">
        <v>15</v>
      </c>
      <c r="M172">
        <v>0</v>
      </c>
      <c r="N172">
        <v>1</v>
      </c>
      <c r="O172">
        <v>119</v>
      </c>
    </row>
    <row r="173" spans="1:15" x14ac:dyDescent="0.3">
      <c r="A173">
        <v>15</v>
      </c>
      <c r="B173" s="1" t="s">
        <v>15</v>
      </c>
      <c r="C173">
        <v>128473.62</v>
      </c>
      <c r="D173" s="1" t="s">
        <v>358</v>
      </c>
      <c r="E173">
        <v>128473.62</v>
      </c>
      <c r="F173">
        <v>0</v>
      </c>
      <c r="G173" s="1" t="s">
        <v>359</v>
      </c>
      <c r="H173">
        <v>0</v>
      </c>
      <c r="I173">
        <v>0</v>
      </c>
      <c r="J173">
        <v>1</v>
      </c>
      <c r="K173">
        <v>0</v>
      </c>
      <c r="L173">
        <v>15</v>
      </c>
      <c r="M173">
        <v>0</v>
      </c>
      <c r="N173">
        <v>1</v>
      </c>
      <c r="O173">
        <v>128473.62</v>
      </c>
    </row>
    <row r="174" spans="1:15" x14ac:dyDescent="0.3">
      <c r="A174">
        <v>15</v>
      </c>
      <c r="B174" s="1" t="s">
        <v>18</v>
      </c>
      <c r="C174">
        <v>128473.62</v>
      </c>
      <c r="D174" s="1" t="s">
        <v>360</v>
      </c>
      <c r="E174">
        <v>128473.62</v>
      </c>
      <c r="F174">
        <v>0</v>
      </c>
      <c r="G174" s="1" t="s">
        <v>361</v>
      </c>
      <c r="H174">
        <v>0</v>
      </c>
      <c r="I174">
        <v>128473.62</v>
      </c>
      <c r="J174">
        <v>1</v>
      </c>
      <c r="K174">
        <v>0</v>
      </c>
      <c r="L174">
        <v>15</v>
      </c>
      <c r="M174">
        <v>0</v>
      </c>
      <c r="N174">
        <v>1</v>
      </c>
      <c r="O174">
        <v>128473.62</v>
      </c>
    </row>
    <row r="175" spans="1:15" x14ac:dyDescent="0.3">
      <c r="A175">
        <v>15</v>
      </c>
      <c r="B175" s="1" t="s">
        <v>15</v>
      </c>
      <c r="C175">
        <v>248056.41</v>
      </c>
      <c r="D175" s="1" t="s">
        <v>362</v>
      </c>
      <c r="E175">
        <v>248056.41</v>
      </c>
      <c r="F175">
        <v>0</v>
      </c>
      <c r="G175" s="1" t="s">
        <v>363</v>
      </c>
      <c r="H175">
        <v>0</v>
      </c>
      <c r="I175">
        <v>0</v>
      </c>
      <c r="J175">
        <v>1</v>
      </c>
      <c r="K175">
        <v>0</v>
      </c>
      <c r="L175">
        <v>15</v>
      </c>
      <c r="M175">
        <v>0</v>
      </c>
      <c r="N175">
        <v>1</v>
      </c>
      <c r="O175">
        <v>248056.41</v>
      </c>
    </row>
    <row r="176" spans="1:15" x14ac:dyDescent="0.3">
      <c r="A176">
        <v>15</v>
      </c>
      <c r="B176" s="1" t="s">
        <v>18</v>
      </c>
      <c r="C176">
        <v>248056.41</v>
      </c>
      <c r="D176" s="1" t="s">
        <v>364</v>
      </c>
      <c r="E176">
        <v>248056.41</v>
      </c>
      <c r="F176">
        <v>0</v>
      </c>
      <c r="G176" s="1" t="s">
        <v>365</v>
      </c>
      <c r="H176">
        <v>0</v>
      </c>
      <c r="I176">
        <v>201427.47</v>
      </c>
      <c r="J176">
        <v>1</v>
      </c>
      <c r="K176">
        <v>0</v>
      </c>
      <c r="L176">
        <v>15</v>
      </c>
      <c r="M176">
        <v>0</v>
      </c>
      <c r="N176">
        <v>1</v>
      </c>
      <c r="O176">
        <v>248056.41</v>
      </c>
    </row>
    <row r="177" spans="1:15" x14ac:dyDescent="0.3">
      <c r="A177">
        <v>15</v>
      </c>
      <c r="B177" s="1" t="s">
        <v>15</v>
      </c>
      <c r="C177">
        <v>164500.81</v>
      </c>
      <c r="D177" s="1" t="s">
        <v>366</v>
      </c>
      <c r="E177">
        <v>164500.81</v>
      </c>
      <c r="F177">
        <v>0</v>
      </c>
      <c r="G177" s="1" t="s">
        <v>367</v>
      </c>
      <c r="H177">
        <v>0</v>
      </c>
      <c r="I177">
        <v>0</v>
      </c>
      <c r="J177">
        <v>1</v>
      </c>
      <c r="K177">
        <v>0</v>
      </c>
      <c r="L177">
        <v>15</v>
      </c>
      <c r="M177">
        <v>0</v>
      </c>
      <c r="N177">
        <v>1</v>
      </c>
      <c r="O177">
        <v>164500.81</v>
      </c>
    </row>
    <row r="178" spans="1:15" x14ac:dyDescent="0.3">
      <c r="A178">
        <v>15</v>
      </c>
      <c r="B178" s="1" t="s">
        <v>18</v>
      </c>
      <c r="C178">
        <v>164500.81</v>
      </c>
      <c r="D178" s="1" t="s">
        <v>368</v>
      </c>
      <c r="E178">
        <v>164500.81</v>
      </c>
      <c r="F178">
        <v>0</v>
      </c>
      <c r="G178" s="1" t="s">
        <v>369</v>
      </c>
      <c r="H178">
        <v>685636.21</v>
      </c>
      <c r="I178">
        <v>850137.02</v>
      </c>
      <c r="J178">
        <v>1</v>
      </c>
      <c r="K178">
        <v>0</v>
      </c>
      <c r="L178">
        <v>15</v>
      </c>
      <c r="M178">
        <v>0</v>
      </c>
      <c r="N178">
        <v>1</v>
      </c>
      <c r="O178">
        <v>164500.81</v>
      </c>
    </row>
    <row r="179" spans="1:15" x14ac:dyDescent="0.3">
      <c r="A179">
        <v>15</v>
      </c>
      <c r="B179" s="1" t="s">
        <v>15</v>
      </c>
      <c r="C179">
        <v>212089.74</v>
      </c>
      <c r="D179" s="1" t="s">
        <v>370</v>
      </c>
      <c r="E179">
        <v>212089.74</v>
      </c>
      <c r="F179">
        <v>0</v>
      </c>
      <c r="G179" s="1" t="s">
        <v>371</v>
      </c>
      <c r="H179">
        <v>0</v>
      </c>
      <c r="I179">
        <v>0</v>
      </c>
      <c r="J179">
        <v>1</v>
      </c>
      <c r="K179">
        <v>0</v>
      </c>
      <c r="L179">
        <v>15</v>
      </c>
      <c r="M179">
        <v>0</v>
      </c>
      <c r="N179">
        <v>1</v>
      </c>
      <c r="O179">
        <v>212089.74</v>
      </c>
    </row>
    <row r="180" spans="1:15" x14ac:dyDescent="0.3">
      <c r="A180">
        <v>15</v>
      </c>
      <c r="B180" s="1" t="s">
        <v>18</v>
      </c>
      <c r="C180">
        <v>212089.74</v>
      </c>
      <c r="D180" s="1" t="s">
        <v>372</v>
      </c>
      <c r="E180">
        <v>212089.74</v>
      </c>
      <c r="F180">
        <v>0</v>
      </c>
      <c r="G180" s="1" t="s">
        <v>373</v>
      </c>
      <c r="H180">
        <v>257758.48</v>
      </c>
      <c r="I180">
        <v>469848.23</v>
      </c>
      <c r="J180">
        <v>1</v>
      </c>
      <c r="K180">
        <v>0</v>
      </c>
      <c r="L180">
        <v>15</v>
      </c>
      <c r="M180">
        <v>0</v>
      </c>
      <c r="N180">
        <v>1</v>
      </c>
      <c r="O180">
        <v>212089.74</v>
      </c>
    </row>
    <row r="181" spans="1:15" x14ac:dyDescent="0.3">
      <c r="A181">
        <v>15</v>
      </c>
      <c r="B181" s="1" t="s">
        <v>18</v>
      </c>
      <c r="C181">
        <v>95428.32</v>
      </c>
      <c r="D181" s="1" t="s">
        <v>374</v>
      </c>
      <c r="E181">
        <v>0</v>
      </c>
      <c r="F181">
        <v>0</v>
      </c>
      <c r="G181" s="1" t="s">
        <v>375</v>
      </c>
      <c r="H181">
        <v>0</v>
      </c>
      <c r="I181">
        <v>95428.32</v>
      </c>
      <c r="J181">
        <v>1</v>
      </c>
      <c r="K181">
        <v>0</v>
      </c>
      <c r="L181">
        <v>15</v>
      </c>
      <c r="M181">
        <v>0</v>
      </c>
      <c r="N181">
        <v>0</v>
      </c>
      <c r="O181">
        <v>0</v>
      </c>
    </row>
    <row r="182" spans="1:15" x14ac:dyDescent="0.3">
      <c r="A182">
        <v>15</v>
      </c>
      <c r="B182" s="1" t="s">
        <v>18</v>
      </c>
      <c r="C182">
        <v>39713.279999999999</v>
      </c>
      <c r="D182" s="1" t="s">
        <v>376</v>
      </c>
      <c r="E182">
        <v>0</v>
      </c>
      <c r="F182">
        <v>0</v>
      </c>
      <c r="G182" s="1" t="s">
        <v>377</v>
      </c>
      <c r="H182">
        <v>1274866.51</v>
      </c>
      <c r="I182">
        <v>1314579.79</v>
      </c>
      <c r="J182">
        <v>1</v>
      </c>
      <c r="K182">
        <v>0</v>
      </c>
      <c r="L182">
        <v>15</v>
      </c>
      <c r="M182">
        <v>0</v>
      </c>
      <c r="N182">
        <v>0</v>
      </c>
      <c r="O182">
        <v>0</v>
      </c>
    </row>
    <row r="183" spans="1:15" x14ac:dyDescent="0.3">
      <c r="A183">
        <v>15</v>
      </c>
      <c r="B183" s="1" t="s">
        <v>15</v>
      </c>
      <c r="C183">
        <v>170</v>
      </c>
      <c r="D183" s="1" t="s">
        <v>378</v>
      </c>
      <c r="E183">
        <v>170</v>
      </c>
      <c r="F183">
        <v>0</v>
      </c>
      <c r="G183" s="1" t="s">
        <v>379</v>
      </c>
      <c r="H183">
        <v>0</v>
      </c>
      <c r="I183">
        <v>0</v>
      </c>
      <c r="J183">
        <v>1</v>
      </c>
      <c r="K183">
        <v>0</v>
      </c>
      <c r="L183">
        <v>15</v>
      </c>
      <c r="M183">
        <v>0</v>
      </c>
      <c r="N183">
        <v>1</v>
      </c>
      <c r="O183">
        <v>170</v>
      </c>
    </row>
    <row r="184" spans="1:15" x14ac:dyDescent="0.3">
      <c r="A184">
        <v>15</v>
      </c>
      <c r="B184" s="1" t="s">
        <v>18</v>
      </c>
      <c r="C184">
        <v>170</v>
      </c>
      <c r="D184" s="1" t="s">
        <v>380</v>
      </c>
      <c r="E184">
        <v>170</v>
      </c>
      <c r="F184">
        <v>0</v>
      </c>
      <c r="G184" s="1" t="s">
        <v>297</v>
      </c>
      <c r="H184">
        <v>413421.36</v>
      </c>
      <c r="I184">
        <v>345764.15</v>
      </c>
      <c r="J184">
        <v>1</v>
      </c>
      <c r="K184">
        <v>0</v>
      </c>
      <c r="L184">
        <v>15</v>
      </c>
      <c r="M184">
        <v>0</v>
      </c>
      <c r="N184">
        <v>1</v>
      </c>
      <c r="O184">
        <v>170</v>
      </c>
    </row>
    <row r="185" spans="1:15" x14ac:dyDescent="0.3">
      <c r="A185">
        <v>15</v>
      </c>
      <c r="B185" s="1" t="s">
        <v>15</v>
      </c>
      <c r="C185">
        <v>747282.4</v>
      </c>
      <c r="D185" s="1" t="s">
        <v>381</v>
      </c>
      <c r="E185">
        <v>747282.4</v>
      </c>
      <c r="F185">
        <v>0</v>
      </c>
      <c r="G185" s="1" t="s">
        <v>382</v>
      </c>
      <c r="H185">
        <v>0</v>
      </c>
      <c r="I185">
        <v>0</v>
      </c>
      <c r="J185">
        <v>1</v>
      </c>
      <c r="K185">
        <v>0</v>
      </c>
      <c r="L185">
        <v>15</v>
      </c>
      <c r="M185">
        <v>0</v>
      </c>
      <c r="N185">
        <v>1</v>
      </c>
      <c r="O185">
        <v>747282.4</v>
      </c>
    </row>
    <row r="186" spans="1:15" x14ac:dyDescent="0.3">
      <c r="A186">
        <v>15</v>
      </c>
      <c r="B186" s="1" t="s">
        <v>18</v>
      </c>
      <c r="C186">
        <v>747282.4</v>
      </c>
      <c r="D186" s="1" t="s">
        <v>383</v>
      </c>
      <c r="E186">
        <v>747282.4</v>
      </c>
      <c r="F186">
        <v>0</v>
      </c>
      <c r="G186" s="1" t="s">
        <v>384</v>
      </c>
      <c r="H186">
        <v>5340917.82</v>
      </c>
      <c r="I186">
        <v>6088200.2199999997</v>
      </c>
      <c r="J186">
        <v>1</v>
      </c>
      <c r="K186">
        <v>0</v>
      </c>
      <c r="L186">
        <v>15</v>
      </c>
      <c r="M186">
        <v>0</v>
      </c>
      <c r="N186">
        <v>1</v>
      </c>
      <c r="O186">
        <v>747282.4</v>
      </c>
    </row>
    <row r="187" spans="1:15" x14ac:dyDescent="0.3">
      <c r="A187">
        <v>15</v>
      </c>
      <c r="B187" s="1" t="s">
        <v>15</v>
      </c>
      <c r="C187">
        <v>59385.67</v>
      </c>
      <c r="D187" s="1" t="s">
        <v>385</v>
      </c>
      <c r="E187">
        <v>59385.67</v>
      </c>
      <c r="F187">
        <v>0</v>
      </c>
      <c r="G187" s="1" t="s">
        <v>386</v>
      </c>
      <c r="H187">
        <v>0</v>
      </c>
      <c r="I187">
        <v>0</v>
      </c>
      <c r="J187">
        <v>1</v>
      </c>
      <c r="K187">
        <v>0</v>
      </c>
      <c r="L187">
        <v>15</v>
      </c>
      <c r="M187">
        <v>0</v>
      </c>
      <c r="N187">
        <v>1</v>
      </c>
      <c r="O187">
        <v>59385.67</v>
      </c>
    </row>
    <row r="188" spans="1:15" x14ac:dyDescent="0.3">
      <c r="A188">
        <v>15</v>
      </c>
      <c r="B188" s="1" t="s">
        <v>18</v>
      </c>
      <c r="C188">
        <v>59385.67</v>
      </c>
      <c r="D188" s="1" t="s">
        <v>387</v>
      </c>
      <c r="E188">
        <v>59385.67</v>
      </c>
      <c r="F188">
        <v>0</v>
      </c>
      <c r="G188" s="1" t="s">
        <v>388</v>
      </c>
      <c r="H188">
        <v>74371</v>
      </c>
      <c r="I188">
        <v>133756.67000000001</v>
      </c>
      <c r="J188">
        <v>1</v>
      </c>
      <c r="K188">
        <v>0</v>
      </c>
      <c r="L188">
        <v>15</v>
      </c>
      <c r="M188">
        <v>0</v>
      </c>
      <c r="N188">
        <v>1</v>
      </c>
      <c r="O188">
        <v>59385.67</v>
      </c>
    </row>
    <row r="189" spans="1:15" x14ac:dyDescent="0.3">
      <c r="A189">
        <v>16</v>
      </c>
      <c r="B189" s="1" t="s">
        <v>15</v>
      </c>
      <c r="C189">
        <v>2198224.71</v>
      </c>
      <c r="D189" s="1" t="s">
        <v>389</v>
      </c>
      <c r="E189">
        <v>2198224.71</v>
      </c>
      <c r="F189">
        <v>0</v>
      </c>
      <c r="G189" s="1" t="s">
        <v>390</v>
      </c>
      <c r="H189">
        <v>0</v>
      </c>
      <c r="I189">
        <v>0</v>
      </c>
      <c r="J189">
        <v>1</v>
      </c>
      <c r="K189">
        <v>0</v>
      </c>
      <c r="L189">
        <v>16</v>
      </c>
      <c r="M189">
        <v>0</v>
      </c>
      <c r="N189">
        <v>1</v>
      </c>
      <c r="O189">
        <v>2198224.71</v>
      </c>
    </row>
    <row r="190" spans="1:15" x14ac:dyDescent="0.3">
      <c r="A190">
        <v>16</v>
      </c>
      <c r="B190" s="1" t="s">
        <v>18</v>
      </c>
      <c r="C190">
        <v>2198224.71</v>
      </c>
      <c r="D190" s="1" t="s">
        <v>391</v>
      </c>
      <c r="E190">
        <v>2198224.71</v>
      </c>
      <c r="F190">
        <v>0</v>
      </c>
      <c r="G190" s="1" t="s">
        <v>392</v>
      </c>
      <c r="H190">
        <v>0</v>
      </c>
      <c r="I190">
        <v>2198224.71</v>
      </c>
      <c r="J190">
        <v>1</v>
      </c>
      <c r="K190">
        <v>0</v>
      </c>
      <c r="L190">
        <v>16</v>
      </c>
      <c r="M190">
        <v>0</v>
      </c>
      <c r="N190">
        <v>1</v>
      </c>
      <c r="O190">
        <v>2198224.71</v>
      </c>
    </row>
    <row r="191" spans="1:15" x14ac:dyDescent="0.3">
      <c r="A191">
        <v>16</v>
      </c>
      <c r="B191" s="1" t="s">
        <v>15</v>
      </c>
      <c r="C191">
        <v>828720.89</v>
      </c>
      <c r="D191" s="1" t="s">
        <v>393</v>
      </c>
      <c r="E191">
        <v>828720.89</v>
      </c>
      <c r="F191">
        <v>0</v>
      </c>
      <c r="G191" s="1" t="s">
        <v>394</v>
      </c>
      <c r="H191">
        <v>0</v>
      </c>
      <c r="I191">
        <v>0</v>
      </c>
      <c r="J191">
        <v>1</v>
      </c>
      <c r="K191">
        <v>0</v>
      </c>
      <c r="L191">
        <v>16</v>
      </c>
      <c r="M191">
        <v>0</v>
      </c>
      <c r="N191">
        <v>1</v>
      </c>
      <c r="O191">
        <v>828720.89</v>
      </c>
    </row>
    <row r="192" spans="1:15" x14ac:dyDescent="0.3">
      <c r="A192">
        <v>16</v>
      </c>
      <c r="B192" s="1" t="s">
        <v>18</v>
      </c>
      <c r="C192">
        <v>828720.89</v>
      </c>
      <c r="D192" s="1" t="s">
        <v>395</v>
      </c>
      <c r="E192">
        <v>828720.89</v>
      </c>
      <c r="F192">
        <v>0</v>
      </c>
      <c r="G192" s="1" t="s">
        <v>396</v>
      </c>
      <c r="H192">
        <v>9142622.5899999999</v>
      </c>
      <c r="I192">
        <v>10200000</v>
      </c>
      <c r="J192">
        <v>1</v>
      </c>
      <c r="K192">
        <v>0</v>
      </c>
      <c r="L192">
        <v>16</v>
      </c>
      <c r="M192">
        <v>0</v>
      </c>
      <c r="N192">
        <v>1</v>
      </c>
      <c r="O192">
        <v>828720.89</v>
      </c>
    </row>
    <row r="193" spans="1:15" x14ac:dyDescent="0.3">
      <c r="A193">
        <v>16</v>
      </c>
      <c r="B193" s="1" t="s">
        <v>15</v>
      </c>
      <c r="C193">
        <v>2701905.3</v>
      </c>
      <c r="D193" s="1" t="s">
        <v>397</v>
      </c>
      <c r="E193">
        <v>2701905.3</v>
      </c>
      <c r="F193">
        <v>0</v>
      </c>
      <c r="G193" s="1" t="s">
        <v>398</v>
      </c>
      <c r="H193">
        <v>0</v>
      </c>
      <c r="I193">
        <v>0</v>
      </c>
      <c r="J193">
        <v>1</v>
      </c>
      <c r="K193">
        <v>0</v>
      </c>
      <c r="L193">
        <v>16</v>
      </c>
      <c r="M193">
        <v>0</v>
      </c>
      <c r="N193">
        <v>1</v>
      </c>
      <c r="O193">
        <v>2701905.3</v>
      </c>
    </row>
    <row r="194" spans="1:15" x14ac:dyDescent="0.3">
      <c r="A194">
        <v>16</v>
      </c>
      <c r="B194" s="1" t="s">
        <v>18</v>
      </c>
      <c r="C194">
        <v>2701905.3</v>
      </c>
      <c r="D194" s="1" t="s">
        <v>399</v>
      </c>
      <c r="E194">
        <v>2701905.3</v>
      </c>
      <c r="F194">
        <v>0</v>
      </c>
      <c r="G194" s="1" t="s">
        <v>400</v>
      </c>
      <c r="H194">
        <v>57418</v>
      </c>
      <c r="I194">
        <v>2759323.3</v>
      </c>
      <c r="J194">
        <v>1</v>
      </c>
      <c r="K194">
        <v>0</v>
      </c>
      <c r="L194">
        <v>16</v>
      </c>
      <c r="M194">
        <v>0</v>
      </c>
      <c r="N194">
        <v>1</v>
      </c>
      <c r="O194">
        <v>2701905.3</v>
      </c>
    </row>
    <row r="195" spans="1:15" x14ac:dyDescent="0.3">
      <c r="A195">
        <v>16</v>
      </c>
      <c r="B195" s="1" t="s">
        <v>15</v>
      </c>
      <c r="C195">
        <v>31074</v>
      </c>
      <c r="D195" s="1" t="s">
        <v>401</v>
      </c>
      <c r="E195">
        <v>31074</v>
      </c>
      <c r="F195">
        <v>0</v>
      </c>
      <c r="G195" s="1" t="s">
        <v>402</v>
      </c>
      <c r="H195">
        <v>0</v>
      </c>
      <c r="I195">
        <v>0</v>
      </c>
      <c r="J195">
        <v>1</v>
      </c>
      <c r="K195">
        <v>0</v>
      </c>
      <c r="L195">
        <v>16</v>
      </c>
      <c r="M195">
        <v>0</v>
      </c>
      <c r="N195">
        <v>1</v>
      </c>
      <c r="O195">
        <v>31074</v>
      </c>
    </row>
    <row r="196" spans="1:15" x14ac:dyDescent="0.3">
      <c r="A196">
        <v>16</v>
      </c>
      <c r="B196" s="1" t="s">
        <v>18</v>
      </c>
      <c r="C196">
        <v>31074</v>
      </c>
      <c r="D196" s="1" t="s">
        <v>403</v>
      </c>
      <c r="E196">
        <v>31074</v>
      </c>
      <c r="F196">
        <v>0</v>
      </c>
      <c r="G196" s="1" t="s">
        <v>404</v>
      </c>
      <c r="H196">
        <v>0</v>
      </c>
      <c r="I196">
        <v>31074</v>
      </c>
      <c r="J196">
        <v>1</v>
      </c>
      <c r="K196">
        <v>0</v>
      </c>
      <c r="L196">
        <v>16</v>
      </c>
      <c r="M196">
        <v>0</v>
      </c>
      <c r="N196">
        <v>1</v>
      </c>
      <c r="O196">
        <v>31074</v>
      </c>
    </row>
    <row r="197" spans="1:15" x14ac:dyDescent="0.3">
      <c r="A197">
        <v>16</v>
      </c>
      <c r="B197" s="1" t="s">
        <v>15</v>
      </c>
      <c r="C197">
        <v>121626.82</v>
      </c>
      <c r="D197" s="1" t="s">
        <v>405</v>
      </c>
      <c r="E197">
        <v>121626.82</v>
      </c>
      <c r="F197">
        <v>0</v>
      </c>
      <c r="G197" s="1" t="s">
        <v>406</v>
      </c>
      <c r="H197">
        <v>0</v>
      </c>
      <c r="I197">
        <v>0</v>
      </c>
      <c r="J197">
        <v>1</v>
      </c>
      <c r="K197">
        <v>0</v>
      </c>
      <c r="L197">
        <v>16</v>
      </c>
      <c r="M197">
        <v>0</v>
      </c>
      <c r="N197">
        <v>1</v>
      </c>
      <c r="O197">
        <v>121626.82</v>
      </c>
    </row>
    <row r="198" spans="1:15" x14ac:dyDescent="0.3">
      <c r="A198">
        <v>16</v>
      </c>
      <c r="B198" s="1" t="s">
        <v>18</v>
      </c>
      <c r="C198">
        <v>121626.82</v>
      </c>
      <c r="D198" s="1" t="s">
        <v>407</v>
      </c>
      <c r="E198">
        <v>121626.82</v>
      </c>
      <c r="F198">
        <v>0</v>
      </c>
      <c r="G198" s="1" t="s">
        <v>408</v>
      </c>
      <c r="H198">
        <v>653744.34</v>
      </c>
      <c r="I198">
        <v>775371.16</v>
      </c>
      <c r="J198">
        <v>1</v>
      </c>
      <c r="K198">
        <v>0</v>
      </c>
      <c r="L198">
        <v>16</v>
      </c>
      <c r="M198">
        <v>0</v>
      </c>
      <c r="N198">
        <v>1</v>
      </c>
      <c r="O198">
        <v>121626.82</v>
      </c>
    </row>
    <row r="199" spans="1:15" x14ac:dyDescent="0.3">
      <c r="A199">
        <v>17</v>
      </c>
      <c r="B199" s="1" t="s">
        <v>15</v>
      </c>
      <c r="C199">
        <v>1639676.27</v>
      </c>
      <c r="D199" s="1" t="s">
        <v>409</v>
      </c>
      <c r="E199">
        <v>1639676.27</v>
      </c>
      <c r="F199">
        <v>0</v>
      </c>
      <c r="G199" s="1" t="s">
        <v>410</v>
      </c>
      <c r="H199">
        <v>0</v>
      </c>
      <c r="I199">
        <v>0</v>
      </c>
      <c r="J199">
        <v>1</v>
      </c>
      <c r="K199">
        <v>0</v>
      </c>
      <c r="L199">
        <v>17</v>
      </c>
      <c r="M199">
        <v>0</v>
      </c>
      <c r="N199">
        <v>1</v>
      </c>
      <c r="O199">
        <v>1639676.27</v>
      </c>
    </row>
    <row r="200" spans="1:15" x14ac:dyDescent="0.3">
      <c r="A200">
        <v>17</v>
      </c>
      <c r="B200" s="1" t="s">
        <v>18</v>
      </c>
      <c r="C200">
        <v>1639676.27</v>
      </c>
      <c r="D200" s="1" t="s">
        <v>411</v>
      </c>
      <c r="E200">
        <v>1639676.27</v>
      </c>
      <c r="F200">
        <v>0</v>
      </c>
      <c r="G200" s="1" t="s">
        <v>412</v>
      </c>
      <c r="H200">
        <v>448954.92</v>
      </c>
      <c r="I200">
        <v>2198318.48</v>
      </c>
      <c r="J200">
        <v>1</v>
      </c>
      <c r="K200">
        <v>0</v>
      </c>
      <c r="L200">
        <v>17</v>
      </c>
      <c r="M200">
        <v>0</v>
      </c>
      <c r="N200">
        <v>1</v>
      </c>
      <c r="O200">
        <v>1639676.27</v>
      </c>
    </row>
    <row r="201" spans="1:15" x14ac:dyDescent="0.3">
      <c r="A201">
        <v>17</v>
      </c>
      <c r="B201" s="1" t="s">
        <v>15</v>
      </c>
      <c r="C201">
        <v>305627</v>
      </c>
      <c r="D201" s="1" t="s">
        <v>413</v>
      </c>
      <c r="E201">
        <v>305627</v>
      </c>
      <c r="F201">
        <v>0</v>
      </c>
      <c r="G201" s="1" t="s">
        <v>414</v>
      </c>
      <c r="H201">
        <v>0</v>
      </c>
      <c r="I201">
        <v>0</v>
      </c>
      <c r="J201">
        <v>1</v>
      </c>
      <c r="K201">
        <v>0</v>
      </c>
      <c r="L201">
        <v>17</v>
      </c>
      <c r="M201">
        <v>0</v>
      </c>
      <c r="N201">
        <v>1</v>
      </c>
      <c r="O201">
        <v>305627</v>
      </c>
    </row>
    <row r="202" spans="1:15" x14ac:dyDescent="0.3">
      <c r="A202">
        <v>17</v>
      </c>
      <c r="B202" s="1" t="s">
        <v>18</v>
      </c>
      <c r="C202">
        <v>305627</v>
      </c>
      <c r="D202" s="1" t="s">
        <v>415</v>
      </c>
      <c r="E202">
        <v>305627</v>
      </c>
      <c r="F202">
        <v>0</v>
      </c>
      <c r="G202" s="1" t="s">
        <v>416</v>
      </c>
      <c r="H202">
        <v>7699847.1600000001</v>
      </c>
      <c r="I202">
        <v>8005474.1600000001</v>
      </c>
      <c r="J202">
        <v>1</v>
      </c>
      <c r="K202">
        <v>0</v>
      </c>
      <c r="L202">
        <v>17</v>
      </c>
      <c r="M202">
        <v>0</v>
      </c>
      <c r="N202">
        <v>1</v>
      </c>
      <c r="O202">
        <v>305627</v>
      </c>
    </row>
    <row r="203" spans="1:15" x14ac:dyDescent="0.3">
      <c r="A203">
        <v>17</v>
      </c>
      <c r="B203" s="1" t="s">
        <v>15</v>
      </c>
      <c r="C203">
        <v>195351.76</v>
      </c>
      <c r="D203" s="1" t="s">
        <v>417</v>
      </c>
      <c r="E203">
        <v>195351.76</v>
      </c>
      <c r="F203">
        <v>0</v>
      </c>
      <c r="G203" s="1" t="s">
        <v>418</v>
      </c>
      <c r="H203">
        <v>0</v>
      </c>
      <c r="I203">
        <v>0</v>
      </c>
      <c r="J203">
        <v>1</v>
      </c>
      <c r="K203">
        <v>0</v>
      </c>
      <c r="L203">
        <v>17</v>
      </c>
      <c r="M203">
        <v>0</v>
      </c>
      <c r="N203">
        <v>1</v>
      </c>
      <c r="O203">
        <v>195351.76</v>
      </c>
    </row>
    <row r="204" spans="1:15" x14ac:dyDescent="0.3">
      <c r="A204">
        <v>17</v>
      </c>
      <c r="B204" s="1" t="s">
        <v>18</v>
      </c>
      <c r="C204">
        <v>195351.76</v>
      </c>
      <c r="D204" s="1" t="s">
        <v>419</v>
      </c>
      <c r="E204">
        <v>195351.76</v>
      </c>
      <c r="F204">
        <v>0</v>
      </c>
      <c r="G204" s="1" t="s">
        <v>420</v>
      </c>
      <c r="H204">
        <v>156408.25</v>
      </c>
      <c r="I204">
        <v>265841</v>
      </c>
      <c r="J204">
        <v>1</v>
      </c>
      <c r="K204">
        <v>0</v>
      </c>
      <c r="L204">
        <v>17</v>
      </c>
      <c r="M204">
        <v>0</v>
      </c>
      <c r="N204">
        <v>1</v>
      </c>
      <c r="O204">
        <v>195351.76</v>
      </c>
    </row>
    <row r="205" spans="1:15" x14ac:dyDescent="0.3">
      <c r="A205">
        <v>17</v>
      </c>
      <c r="B205" s="1" t="s">
        <v>18</v>
      </c>
      <c r="C205">
        <v>42062.82</v>
      </c>
      <c r="D205" s="1" t="s">
        <v>421</v>
      </c>
      <c r="E205">
        <v>340830.43</v>
      </c>
      <c r="F205">
        <v>298767.61</v>
      </c>
      <c r="G205" s="1" t="s">
        <v>422</v>
      </c>
      <c r="H205">
        <v>398931.35</v>
      </c>
      <c r="I205">
        <v>678419.64</v>
      </c>
      <c r="J205">
        <v>1</v>
      </c>
      <c r="K205">
        <v>0</v>
      </c>
      <c r="L205">
        <v>17</v>
      </c>
      <c r="M205">
        <v>0</v>
      </c>
      <c r="N205">
        <v>0</v>
      </c>
      <c r="O205">
        <v>42062.820000000007</v>
      </c>
    </row>
    <row r="206" spans="1:15" x14ac:dyDescent="0.3">
      <c r="A206">
        <v>18</v>
      </c>
      <c r="B206" s="1" t="s">
        <v>15</v>
      </c>
      <c r="C206">
        <v>295664.18</v>
      </c>
      <c r="D206" s="1" t="s">
        <v>423</v>
      </c>
      <c r="E206">
        <v>295664.18</v>
      </c>
      <c r="F206">
        <v>0</v>
      </c>
      <c r="G206" s="1" t="s">
        <v>424</v>
      </c>
      <c r="H206">
        <v>0</v>
      </c>
      <c r="I206">
        <v>0</v>
      </c>
      <c r="J206">
        <v>1</v>
      </c>
      <c r="K206">
        <v>0</v>
      </c>
      <c r="L206">
        <v>18</v>
      </c>
      <c r="M206">
        <v>0</v>
      </c>
      <c r="N206">
        <v>1</v>
      </c>
      <c r="O206">
        <v>295664.18</v>
      </c>
    </row>
    <row r="207" spans="1:15" x14ac:dyDescent="0.3">
      <c r="A207">
        <v>18</v>
      </c>
      <c r="B207" s="1" t="s">
        <v>18</v>
      </c>
      <c r="C207">
        <v>295664.18</v>
      </c>
      <c r="D207" s="1" t="s">
        <v>425</v>
      </c>
      <c r="E207">
        <v>295664.18</v>
      </c>
      <c r="F207">
        <v>0</v>
      </c>
      <c r="G207" s="1" t="s">
        <v>396</v>
      </c>
      <c r="H207">
        <v>10200000</v>
      </c>
      <c r="I207">
        <v>10500000</v>
      </c>
      <c r="J207">
        <v>1</v>
      </c>
      <c r="K207">
        <v>0</v>
      </c>
      <c r="L207">
        <v>18</v>
      </c>
      <c r="M207">
        <v>0</v>
      </c>
      <c r="N207">
        <v>1</v>
      </c>
      <c r="O207">
        <v>295664.18</v>
      </c>
    </row>
    <row r="208" spans="1:15" x14ac:dyDescent="0.3">
      <c r="A208">
        <v>18</v>
      </c>
      <c r="B208" s="1" t="s">
        <v>15</v>
      </c>
      <c r="C208">
        <v>307739.18</v>
      </c>
      <c r="D208" s="1" t="s">
        <v>426</v>
      </c>
      <c r="E208">
        <v>307739.18</v>
      </c>
      <c r="F208">
        <v>0</v>
      </c>
      <c r="G208" s="1" t="s">
        <v>427</v>
      </c>
      <c r="H208">
        <v>0</v>
      </c>
      <c r="I208">
        <v>0</v>
      </c>
      <c r="J208">
        <v>1</v>
      </c>
      <c r="K208">
        <v>0</v>
      </c>
      <c r="L208">
        <v>18</v>
      </c>
      <c r="M208">
        <v>0</v>
      </c>
      <c r="N208">
        <v>1</v>
      </c>
      <c r="O208">
        <v>307739.18</v>
      </c>
    </row>
    <row r="209" spans="1:15" x14ac:dyDescent="0.3">
      <c r="A209">
        <v>18</v>
      </c>
      <c r="B209" s="1" t="s">
        <v>18</v>
      </c>
      <c r="C209">
        <v>307739.18</v>
      </c>
      <c r="D209" s="1" t="s">
        <v>428</v>
      </c>
      <c r="E209">
        <v>307739.18</v>
      </c>
      <c r="F209">
        <v>0</v>
      </c>
      <c r="G209" s="1" t="s">
        <v>429</v>
      </c>
      <c r="H209">
        <v>25326</v>
      </c>
      <c r="I209">
        <v>838246.41</v>
      </c>
      <c r="J209">
        <v>1</v>
      </c>
      <c r="K209">
        <v>0</v>
      </c>
      <c r="L209">
        <v>18</v>
      </c>
      <c r="M209">
        <v>0</v>
      </c>
      <c r="N209">
        <v>1</v>
      </c>
      <c r="O209">
        <v>307739.18</v>
      </c>
    </row>
    <row r="210" spans="1:15" x14ac:dyDescent="0.3">
      <c r="A210">
        <v>18</v>
      </c>
      <c r="B210" s="1" t="s">
        <v>18</v>
      </c>
      <c r="C210">
        <v>314251.58</v>
      </c>
      <c r="D210" s="1" t="s">
        <v>430</v>
      </c>
      <c r="E210">
        <v>75956.47</v>
      </c>
      <c r="F210">
        <v>0</v>
      </c>
      <c r="G210" s="1" t="s">
        <v>431</v>
      </c>
      <c r="H210">
        <v>7962205.25</v>
      </c>
      <c r="I210">
        <v>8276456.8399999999</v>
      </c>
      <c r="J210">
        <v>1</v>
      </c>
      <c r="K210">
        <v>0</v>
      </c>
      <c r="L210">
        <v>18</v>
      </c>
      <c r="M210">
        <v>0</v>
      </c>
      <c r="N210">
        <v>1</v>
      </c>
      <c r="O210">
        <v>75956.47</v>
      </c>
    </row>
    <row r="211" spans="1:15" x14ac:dyDescent="0.3">
      <c r="A211">
        <v>18</v>
      </c>
      <c r="B211" s="1" t="s">
        <v>15</v>
      </c>
      <c r="C211">
        <v>1102133.8999999999</v>
      </c>
      <c r="D211" s="1" t="s">
        <v>432</v>
      </c>
      <c r="E211">
        <v>1102133.8999999999</v>
      </c>
      <c r="F211">
        <v>0</v>
      </c>
      <c r="G211" s="1" t="s">
        <v>433</v>
      </c>
      <c r="H211">
        <v>0</v>
      </c>
      <c r="I211">
        <v>746575.95</v>
      </c>
      <c r="J211">
        <v>1</v>
      </c>
      <c r="K211">
        <v>0</v>
      </c>
      <c r="L211">
        <v>18</v>
      </c>
      <c r="M211">
        <v>0</v>
      </c>
      <c r="N211">
        <v>1</v>
      </c>
      <c r="O211">
        <v>1102133.8999999999</v>
      </c>
    </row>
    <row r="212" spans="1:15" x14ac:dyDescent="0.3">
      <c r="A212">
        <v>18</v>
      </c>
      <c r="B212" s="1" t="s">
        <v>18</v>
      </c>
      <c r="C212">
        <v>1102133.8999999999</v>
      </c>
      <c r="D212" s="1" t="s">
        <v>434</v>
      </c>
      <c r="E212">
        <v>1102133.8999999999</v>
      </c>
      <c r="F212">
        <v>0</v>
      </c>
      <c r="G212" s="1" t="s">
        <v>435</v>
      </c>
      <c r="H212">
        <v>306228.56</v>
      </c>
      <c r="I212">
        <v>1408362.45</v>
      </c>
      <c r="J212">
        <v>1</v>
      </c>
      <c r="K212">
        <v>0</v>
      </c>
      <c r="L212">
        <v>18</v>
      </c>
      <c r="M212">
        <v>0</v>
      </c>
      <c r="N212">
        <v>1</v>
      </c>
      <c r="O212">
        <v>1102133.8999999999</v>
      </c>
    </row>
    <row r="213" spans="1:15" x14ac:dyDescent="0.3">
      <c r="A213">
        <v>18</v>
      </c>
      <c r="B213" s="1" t="s">
        <v>15</v>
      </c>
      <c r="C213">
        <v>1144089.3700000001</v>
      </c>
      <c r="D213" s="1" t="s">
        <v>436</v>
      </c>
      <c r="E213">
        <v>1144089.3700000001</v>
      </c>
      <c r="F213">
        <v>0</v>
      </c>
      <c r="G213" s="1" t="s">
        <v>437</v>
      </c>
      <c r="H213">
        <v>0</v>
      </c>
      <c r="I213">
        <v>0</v>
      </c>
      <c r="J213">
        <v>1</v>
      </c>
      <c r="K213">
        <v>0</v>
      </c>
      <c r="L213">
        <v>18</v>
      </c>
      <c r="M213">
        <v>0</v>
      </c>
      <c r="N213">
        <v>1</v>
      </c>
      <c r="O213">
        <v>1144089.3700000001</v>
      </c>
    </row>
    <row r="214" spans="1:15" x14ac:dyDescent="0.3">
      <c r="A214">
        <v>18</v>
      </c>
      <c r="B214" s="1" t="s">
        <v>18</v>
      </c>
      <c r="C214">
        <v>1144089.3700000001</v>
      </c>
      <c r="D214" s="1" t="s">
        <v>438</v>
      </c>
      <c r="E214">
        <v>1144089.3700000001</v>
      </c>
      <c r="F214">
        <v>0</v>
      </c>
      <c r="G214" s="1" t="s">
        <v>439</v>
      </c>
      <c r="H214">
        <v>2502877.2599999998</v>
      </c>
      <c r="I214">
        <v>3879210.29</v>
      </c>
      <c r="J214">
        <v>1</v>
      </c>
      <c r="K214">
        <v>0</v>
      </c>
      <c r="L214">
        <v>18</v>
      </c>
      <c r="M214">
        <v>0</v>
      </c>
      <c r="N214">
        <v>1</v>
      </c>
      <c r="O214">
        <v>1144089.3700000001</v>
      </c>
    </row>
    <row r="215" spans="1:15" x14ac:dyDescent="0.3">
      <c r="A215">
        <v>18</v>
      </c>
      <c r="B215" s="1" t="s">
        <v>15</v>
      </c>
      <c r="C215">
        <v>1974352.3</v>
      </c>
      <c r="D215" s="1" t="s">
        <v>440</v>
      </c>
      <c r="E215">
        <v>1974352.3</v>
      </c>
      <c r="F215">
        <v>0</v>
      </c>
      <c r="G215" s="1" t="s">
        <v>441</v>
      </c>
      <c r="H215">
        <v>0</v>
      </c>
      <c r="I215">
        <v>0</v>
      </c>
      <c r="J215">
        <v>1</v>
      </c>
      <c r="K215">
        <v>0</v>
      </c>
      <c r="L215">
        <v>18</v>
      </c>
      <c r="M215">
        <v>0</v>
      </c>
      <c r="N215">
        <v>1</v>
      </c>
      <c r="O215">
        <v>1974352.3</v>
      </c>
    </row>
    <row r="216" spans="1:15" x14ac:dyDescent="0.3">
      <c r="A216">
        <v>18</v>
      </c>
      <c r="B216" s="1" t="s">
        <v>18</v>
      </c>
      <c r="C216">
        <v>1974352.3</v>
      </c>
      <c r="D216" s="1" t="s">
        <v>442</v>
      </c>
      <c r="E216">
        <v>1974352.3</v>
      </c>
      <c r="F216">
        <v>0</v>
      </c>
      <c r="G216" s="1" t="s">
        <v>443</v>
      </c>
      <c r="H216">
        <v>15531.71</v>
      </c>
      <c r="I216">
        <v>1989884.01</v>
      </c>
      <c r="J216">
        <v>1</v>
      </c>
      <c r="K216">
        <v>0</v>
      </c>
      <c r="L216">
        <v>18</v>
      </c>
      <c r="M216">
        <v>0</v>
      </c>
      <c r="N216">
        <v>1</v>
      </c>
      <c r="O216">
        <v>1974352.3</v>
      </c>
    </row>
    <row r="217" spans="1:15" x14ac:dyDescent="0.3">
      <c r="A217">
        <v>18</v>
      </c>
      <c r="B217" s="1" t="s">
        <v>15</v>
      </c>
      <c r="C217">
        <v>11481</v>
      </c>
      <c r="D217" s="1" t="s">
        <v>444</v>
      </c>
      <c r="E217">
        <v>11481</v>
      </c>
      <c r="F217">
        <v>0</v>
      </c>
      <c r="G217" s="1" t="s">
        <v>445</v>
      </c>
      <c r="H217">
        <v>0</v>
      </c>
      <c r="I217">
        <v>263492.28000000003</v>
      </c>
      <c r="J217">
        <v>1</v>
      </c>
      <c r="K217">
        <v>0</v>
      </c>
      <c r="L217">
        <v>18</v>
      </c>
      <c r="M217">
        <v>0</v>
      </c>
      <c r="N217">
        <v>1</v>
      </c>
      <c r="O217">
        <v>11481</v>
      </c>
    </row>
    <row r="218" spans="1:15" x14ac:dyDescent="0.3">
      <c r="A218">
        <v>18</v>
      </c>
      <c r="B218" s="1" t="s">
        <v>18</v>
      </c>
      <c r="C218">
        <v>11481</v>
      </c>
      <c r="D218" s="1" t="s">
        <v>446</v>
      </c>
      <c r="E218">
        <v>11481</v>
      </c>
      <c r="F218">
        <v>0</v>
      </c>
      <c r="G218" s="1" t="s">
        <v>447</v>
      </c>
      <c r="H218">
        <v>761417.61</v>
      </c>
      <c r="I218">
        <v>1765080.5</v>
      </c>
      <c r="J218">
        <v>1</v>
      </c>
      <c r="K218">
        <v>0</v>
      </c>
      <c r="L218">
        <v>18</v>
      </c>
      <c r="M218">
        <v>0</v>
      </c>
      <c r="N218">
        <v>1</v>
      </c>
      <c r="O218">
        <v>11481</v>
      </c>
    </row>
    <row r="219" spans="1:15" x14ac:dyDescent="0.3">
      <c r="A219">
        <v>18</v>
      </c>
      <c r="B219" s="1" t="s">
        <v>18</v>
      </c>
      <c r="C219">
        <v>508782.2</v>
      </c>
      <c r="D219" s="1" t="s">
        <v>448</v>
      </c>
      <c r="E219">
        <v>0</v>
      </c>
      <c r="F219">
        <v>0</v>
      </c>
      <c r="G219" s="1" t="s">
        <v>449</v>
      </c>
      <c r="H219">
        <v>1082007.6499999999</v>
      </c>
      <c r="I219">
        <v>1590789.85</v>
      </c>
      <c r="J219">
        <v>1</v>
      </c>
      <c r="K219">
        <v>0</v>
      </c>
      <c r="L219">
        <v>18</v>
      </c>
      <c r="M219">
        <v>0</v>
      </c>
      <c r="N219">
        <v>0</v>
      </c>
      <c r="O219">
        <v>0</v>
      </c>
    </row>
    <row r="220" spans="1:15" x14ac:dyDescent="0.3">
      <c r="A220">
        <v>18</v>
      </c>
      <c r="B220" s="1" t="s">
        <v>15</v>
      </c>
      <c r="C220">
        <v>9131</v>
      </c>
      <c r="D220" s="1" t="s">
        <v>450</v>
      </c>
      <c r="E220">
        <v>9131</v>
      </c>
      <c r="F220">
        <v>0</v>
      </c>
      <c r="G220" s="1" t="s">
        <v>451</v>
      </c>
      <c r="H220">
        <v>0</v>
      </c>
      <c r="I220">
        <v>0</v>
      </c>
      <c r="J220">
        <v>1</v>
      </c>
      <c r="K220">
        <v>0</v>
      </c>
      <c r="L220">
        <v>18</v>
      </c>
      <c r="M220">
        <v>0</v>
      </c>
      <c r="N220">
        <v>1</v>
      </c>
      <c r="O220">
        <v>9131</v>
      </c>
    </row>
    <row r="221" spans="1:15" x14ac:dyDescent="0.3">
      <c r="A221">
        <v>18</v>
      </c>
      <c r="B221" s="1" t="s">
        <v>18</v>
      </c>
      <c r="C221">
        <v>9131</v>
      </c>
      <c r="D221" s="1" t="s">
        <v>452</v>
      </c>
      <c r="E221">
        <v>9131</v>
      </c>
      <c r="F221">
        <v>0</v>
      </c>
      <c r="G221" s="1" t="s">
        <v>453</v>
      </c>
      <c r="H221">
        <v>133084.01999999999</v>
      </c>
      <c r="I221">
        <v>142215.01999999999</v>
      </c>
      <c r="J221">
        <v>1</v>
      </c>
      <c r="K221">
        <v>0</v>
      </c>
      <c r="L221">
        <v>18</v>
      </c>
      <c r="M221">
        <v>0</v>
      </c>
      <c r="N221">
        <v>1</v>
      </c>
      <c r="O221">
        <v>9131</v>
      </c>
    </row>
    <row r="222" spans="1:15" x14ac:dyDescent="0.3">
      <c r="A222">
        <v>19</v>
      </c>
      <c r="B222" s="1" t="s">
        <v>15</v>
      </c>
      <c r="C222">
        <v>143660.10999999999</v>
      </c>
      <c r="D222" s="1" t="s">
        <v>454</v>
      </c>
      <c r="E222">
        <v>143660.10999999999</v>
      </c>
      <c r="F222">
        <v>0</v>
      </c>
      <c r="G222" s="1" t="s">
        <v>455</v>
      </c>
      <c r="H222">
        <v>0</v>
      </c>
      <c r="I222">
        <v>0</v>
      </c>
      <c r="J222">
        <v>1</v>
      </c>
      <c r="K222">
        <v>0</v>
      </c>
      <c r="L222">
        <v>19</v>
      </c>
      <c r="M222">
        <v>0</v>
      </c>
      <c r="N222">
        <v>1</v>
      </c>
      <c r="O222">
        <v>143660.10999999999</v>
      </c>
    </row>
    <row r="223" spans="1:15" x14ac:dyDescent="0.3">
      <c r="A223">
        <v>19</v>
      </c>
      <c r="B223" s="1" t="s">
        <v>18</v>
      </c>
      <c r="C223">
        <v>143660.10999999999</v>
      </c>
      <c r="D223" s="1" t="s">
        <v>456</v>
      </c>
      <c r="E223">
        <v>143660.10999999999</v>
      </c>
      <c r="F223">
        <v>0</v>
      </c>
      <c r="G223" s="1" t="s">
        <v>457</v>
      </c>
      <c r="H223">
        <v>0</v>
      </c>
      <c r="I223">
        <v>143660.10999999999</v>
      </c>
      <c r="J223">
        <v>1</v>
      </c>
      <c r="K223">
        <v>0</v>
      </c>
      <c r="L223">
        <v>19</v>
      </c>
      <c r="M223">
        <v>0</v>
      </c>
      <c r="N223">
        <v>1</v>
      </c>
      <c r="O223">
        <v>143660.10999999999</v>
      </c>
    </row>
    <row r="224" spans="1:15" x14ac:dyDescent="0.3">
      <c r="A224">
        <v>19</v>
      </c>
      <c r="B224" s="1" t="s">
        <v>15</v>
      </c>
      <c r="C224">
        <v>3477438.49</v>
      </c>
      <c r="D224" s="1" t="s">
        <v>458</v>
      </c>
      <c r="E224">
        <v>3477438.49</v>
      </c>
      <c r="F224">
        <v>0</v>
      </c>
      <c r="G224" s="1" t="s">
        <v>459</v>
      </c>
      <c r="H224">
        <v>0</v>
      </c>
      <c r="I224">
        <v>0</v>
      </c>
      <c r="J224">
        <v>1</v>
      </c>
      <c r="K224">
        <v>0</v>
      </c>
      <c r="L224">
        <v>19</v>
      </c>
      <c r="M224">
        <v>0</v>
      </c>
      <c r="N224">
        <v>1</v>
      </c>
      <c r="O224">
        <v>3477438.49</v>
      </c>
    </row>
    <row r="225" spans="1:15" x14ac:dyDescent="0.3">
      <c r="A225">
        <v>19</v>
      </c>
      <c r="B225" s="1" t="s">
        <v>18</v>
      </c>
      <c r="C225">
        <v>3477438.49</v>
      </c>
      <c r="D225" s="1" t="s">
        <v>460</v>
      </c>
      <c r="E225">
        <v>3477438.49</v>
      </c>
      <c r="F225">
        <v>0</v>
      </c>
      <c r="G225" s="1" t="s">
        <v>461</v>
      </c>
      <c r="H225">
        <v>0</v>
      </c>
      <c r="I225">
        <v>3477438.49</v>
      </c>
      <c r="J225">
        <v>1</v>
      </c>
      <c r="K225">
        <v>0</v>
      </c>
      <c r="L225">
        <v>19</v>
      </c>
      <c r="M225">
        <v>0</v>
      </c>
      <c r="N225">
        <v>1</v>
      </c>
      <c r="O225">
        <v>3477438.49</v>
      </c>
    </row>
    <row r="226" spans="1:15" x14ac:dyDescent="0.3">
      <c r="A226">
        <v>19</v>
      </c>
      <c r="B226" s="1" t="s">
        <v>18</v>
      </c>
      <c r="C226">
        <v>122101.57</v>
      </c>
      <c r="D226" s="1" t="s">
        <v>462</v>
      </c>
      <c r="E226">
        <v>0</v>
      </c>
      <c r="F226">
        <v>0</v>
      </c>
      <c r="G226" s="1" t="s">
        <v>463</v>
      </c>
      <c r="H226">
        <v>0</v>
      </c>
      <c r="I226">
        <v>639940.19999999995</v>
      </c>
      <c r="J226">
        <v>1</v>
      </c>
      <c r="K226">
        <v>0</v>
      </c>
      <c r="L226">
        <v>19</v>
      </c>
      <c r="M226">
        <v>0</v>
      </c>
      <c r="N226">
        <v>0</v>
      </c>
      <c r="O226">
        <v>0</v>
      </c>
    </row>
    <row r="227" spans="1:15" x14ac:dyDescent="0.3">
      <c r="A227">
        <v>19</v>
      </c>
      <c r="B227" s="1" t="s">
        <v>15</v>
      </c>
      <c r="C227">
        <v>161939.35999999999</v>
      </c>
      <c r="D227" s="1" t="s">
        <v>464</v>
      </c>
      <c r="E227">
        <v>161939.35999999999</v>
      </c>
      <c r="F227">
        <v>0</v>
      </c>
      <c r="G227" s="1" t="s">
        <v>465</v>
      </c>
      <c r="H227">
        <v>0</v>
      </c>
      <c r="I227">
        <v>0</v>
      </c>
      <c r="J227">
        <v>1</v>
      </c>
      <c r="K227">
        <v>0</v>
      </c>
      <c r="L227">
        <v>19</v>
      </c>
      <c r="M227">
        <v>0</v>
      </c>
      <c r="N227">
        <v>1</v>
      </c>
      <c r="O227">
        <v>161939.35999999999</v>
      </c>
    </row>
    <row r="228" spans="1:15" x14ac:dyDescent="0.3">
      <c r="A228">
        <v>19</v>
      </c>
      <c r="B228" s="1" t="s">
        <v>18</v>
      </c>
      <c r="C228">
        <v>161939.35999999999</v>
      </c>
      <c r="D228" s="1" t="s">
        <v>466</v>
      </c>
      <c r="E228">
        <v>161939.35999999999</v>
      </c>
      <c r="F228">
        <v>0</v>
      </c>
      <c r="G228" s="1" t="s">
        <v>467</v>
      </c>
      <c r="H228">
        <v>628935.02</v>
      </c>
      <c r="I228">
        <v>851972.34</v>
      </c>
      <c r="J228">
        <v>1</v>
      </c>
      <c r="K228">
        <v>0</v>
      </c>
      <c r="L228">
        <v>19</v>
      </c>
      <c r="M228">
        <v>0</v>
      </c>
      <c r="N228">
        <v>1</v>
      </c>
      <c r="O228">
        <v>161939.35999999999</v>
      </c>
    </row>
    <row r="229" spans="1:15" x14ac:dyDescent="0.3">
      <c r="A229">
        <v>19</v>
      </c>
      <c r="B229" s="1" t="s">
        <v>15</v>
      </c>
      <c r="C229">
        <v>10000000</v>
      </c>
      <c r="D229" s="1" t="s">
        <v>468</v>
      </c>
      <c r="E229">
        <v>11900000</v>
      </c>
      <c r="F229">
        <v>1861008.32</v>
      </c>
      <c r="G229" s="1" t="s">
        <v>469</v>
      </c>
      <c r="H229">
        <v>0</v>
      </c>
      <c r="I229">
        <v>0</v>
      </c>
      <c r="J229">
        <v>1</v>
      </c>
      <c r="K229">
        <v>0</v>
      </c>
      <c r="L229">
        <v>19</v>
      </c>
      <c r="M229">
        <v>1</v>
      </c>
      <c r="N229">
        <v>0</v>
      </c>
      <c r="O229">
        <v>10038991.68</v>
      </c>
    </row>
    <row r="230" spans="1:15" x14ac:dyDescent="0.3">
      <c r="A230">
        <v>19</v>
      </c>
      <c r="B230" s="1" t="s">
        <v>18</v>
      </c>
      <c r="C230">
        <v>10000000</v>
      </c>
      <c r="D230" s="1" t="s">
        <v>470</v>
      </c>
      <c r="E230">
        <v>10000000</v>
      </c>
      <c r="F230">
        <v>0</v>
      </c>
      <c r="G230" s="1" t="s">
        <v>471</v>
      </c>
      <c r="H230">
        <v>504326.62</v>
      </c>
      <c r="I230">
        <v>10300000</v>
      </c>
      <c r="J230">
        <v>1</v>
      </c>
      <c r="K230">
        <v>0</v>
      </c>
      <c r="L230">
        <v>19</v>
      </c>
      <c r="M230">
        <v>1</v>
      </c>
      <c r="N230">
        <v>1</v>
      </c>
      <c r="O230">
        <v>10000000</v>
      </c>
    </row>
    <row r="231" spans="1:15" x14ac:dyDescent="0.3">
      <c r="A231">
        <v>19</v>
      </c>
      <c r="B231" s="1" t="s">
        <v>15</v>
      </c>
      <c r="C231">
        <v>1861008.32</v>
      </c>
      <c r="D231" s="1" t="s">
        <v>472</v>
      </c>
      <c r="E231">
        <v>1861008.32</v>
      </c>
      <c r="F231">
        <v>0</v>
      </c>
      <c r="G231" s="1" t="s">
        <v>473</v>
      </c>
      <c r="H231">
        <v>0</v>
      </c>
      <c r="I231">
        <v>0</v>
      </c>
      <c r="J231">
        <v>1</v>
      </c>
      <c r="K231">
        <v>0</v>
      </c>
      <c r="L231">
        <v>19</v>
      </c>
      <c r="M231">
        <v>0</v>
      </c>
      <c r="N231">
        <v>1</v>
      </c>
      <c r="O231">
        <v>1861008.32</v>
      </c>
    </row>
    <row r="232" spans="1:15" x14ac:dyDescent="0.3">
      <c r="A232">
        <v>19</v>
      </c>
      <c r="B232" s="1" t="s">
        <v>18</v>
      </c>
      <c r="C232">
        <v>1861008.32</v>
      </c>
      <c r="D232" s="1" t="s">
        <v>474</v>
      </c>
      <c r="E232">
        <v>1861008.32</v>
      </c>
      <c r="F232">
        <v>0</v>
      </c>
      <c r="G232" s="1" t="s">
        <v>475</v>
      </c>
      <c r="H232">
        <v>0</v>
      </c>
      <c r="I232">
        <v>1789942.62</v>
      </c>
      <c r="J232">
        <v>1</v>
      </c>
      <c r="K232">
        <v>0</v>
      </c>
      <c r="L232">
        <v>19</v>
      </c>
      <c r="M232">
        <v>0</v>
      </c>
      <c r="N232">
        <v>1</v>
      </c>
      <c r="O232">
        <v>1861008.32</v>
      </c>
    </row>
    <row r="233" spans="1:15" x14ac:dyDescent="0.3">
      <c r="A233">
        <v>20</v>
      </c>
      <c r="B233" s="1" t="s">
        <v>15</v>
      </c>
      <c r="C233">
        <v>16614.82</v>
      </c>
      <c r="D233" s="1" t="s">
        <v>476</v>
      </c>
      <c r="E233">
        <v>16614.82</v>
      </c>
      <c r="F233">
        <v>0</v>
      </c>
      <c r="G233" s="1" t="s">
        <v>477</v>
      </c>
      <c r="H233">
        <v>0</v>
      </c>
      <c r="I233">
        <v>0</v>
      </c>
      <c r="J233">
        <v>1</v>
      </c>
      <c r="K233">
        <v>0</v>
      </c>
      <c r="L233">
        <v>20</v>
      </c>
      <c r="M233">
        <v>0</v>
      </c>
      <c r="N233">
        <v>1</v>
      </c>
      <c r="O233">
        <v>16614.82</v>
      </c>
    </row>
    <row r="234" spans="1:15" x14ac:dyDescent="0.3">
      <c r="A234">
        <v>20</v>
      </c>
      <c r="B234" s="1" t="s">
        <v>18</v>
      </c>
      <c r="C234">
        <v>16614.82</v>
      </c>
      <c r="D234" s="1" t="s">
        <v>478</v>
      </c>
      <c r="E234">
        <v>16614.82</v>
      </c>
      <c r="F234">
        <v>0</v>
      </c>
      <c r="G234" s="1" t="s">
        <v>479</v>
      </c>
      <c r="H234">
        <v>904409.29</v>
      </c>
      <c r="I234">
        <v>921024.11</v>
      </c>
      <c r="J234">
        <v>1</v>
      </c>
      <c r="K234">
        <v>0</v>
      </c>
      <c r="L234">
        <v>20</v>
      </c>
      <c r="M234">
        <v>0</v>
      </c>
      <c r="N234">
        <v>1</v>
      </c>
      <c r="O234">
        <v>16614.82</v>
      </c>
    </row>
    <row r="235" spans="1:15" x14ac:dyDescent="0.3">
      <c r="A235">
        <v>20</v>
      </c>
      <c r="B235" s="1" t="s">
        <v>15</v>
      </c>
      <c r="C235">
        <v>448025.06</v>
      </c>
      <c r="D235" s="1" t="s">
        <v>480</v>
      </c>
      <c r="E235">
        <v>448025.06</v>
      </c>
      <c r="F235">
        <v>0</v>
      </c>
      <c r="G235" s="1" t="s">
        <v>481</v>
      </c>
      <c r="H235">
        <v>0</v>
      </c>
      <c r="I235">
        <v>0</v>
      </c>
      <c r="J235">
        <v>1</v>
      </c>
      <c r="K235">
        <v>0</v>
      </c>
      <c r="L235">
        <v>20</v>
      </c>
      <c r="M235">
        <v>0</v>
      </c>
      <c r="N235">
        <v>1</v>
      </c>
      <c r="O235">
        <v>448025.06</v>
      </c>
    </row>
    <row r="236" spans="1:15" x14ac:dyDescent="0.3">
      <c r="A236">
        <v>20</v>
      </c>
      <c r="B236" s="1" t="s">
        <v>18</v>
      </c>
      <c r="C236">
        <v>448025.06</v>
      </c>
      <c r="D236" s="1" t="s">
        <v>482</v>
      </c>
      <c r="E236">
        <v>448025.06</v>
      </c>
      <c r="F236">
        <v>0</v>
      </c>
      <c r="G236" s="1" t="s">
        <v>483</v>
      </c>
      <c r="H236">
        <v>71679.929999999993</v>
      </c>
      <c r="I236">
        <v>519704.99</v>
      </c>
      <c r="J236">
        <v>1</v>
      </c>
      <c r="K236">
        <v>0</v>
      </c>
      <c r="L236">
        <v>20</v>
      </c>
      <c r="M236">
        <v>0</v>
      </c>
      <c r="N236">
        <v>1</v>
      </c>
      <c r="O236">
        <v>448025.06</v>
      </c>
    </row>
    <row r="237" spans="1:15" x14ac:dyDescent="0.3">
      <c r="A237">
        <v>21</v>
      </c>
      <c r="B237" s="1" t="s">
        <v>15</v>
      </c>
      <c r="C237">
        <v>785323</v>
      </c>
      <c r="D237" s="1" t="s">
        <v>484</v>
      </c>
      <c r="E237">
        <v>785323</v>
      </c>
      <c r="F237">
        <v>0</v>
      </c>
      <c r="G237" s="1" t="s">
        <v>485</v>
      </c>
      <c r="H237">
        <v>0</v>
      </c>
      <c r="I237">
        <v>0</v>
      </c>
      <c r="J237">
        <v>1</v>
      </c>
      <c r="K237">
        <v>0</v>
      </c>
      <c r="L237">
        <v>21</v>
      </c>
      <c r="M237">
        <v>0</v>
      </c>
      <c r="N237">
        <v>1</v>
      </c>
      <c r="O237">
        <v>785323</v>
      </c>
    </row>
    <row r="238" spans="1:15" x14ac:dyDescent="0.3">
      <c r="A238">
        <v>21</v>
      </c>
      <c r="B238" s="1" t="s">
        <v>18</v>
      </c>
      <c r="C238">
        <v>785323</v>
      </c>
      <c r="D238" s="1" t="s">
        <v>486</v>
      </c>
      <c r="E238">
        <v>785323</v>
      </c>
      <c r="F238">
        <v>0</v>
      </c>
      <c r="G238" s="1" t="s">
        <v>487</v>
      </c>
      <c r="H238">
        <v>803839.25</v>
      </c>
      <c r="I238">
        <v>1720783.92</v>
      </c>
      <c r="J238">
        <v>1</v>
      </c>
      <c r="K238">
        <v>0</v>
      </c>
      <c r="L238">
        <v>21</v>
      </c>
      <c r="M238">
        <v>0</v>
      </c>
      <c r="N238">
        <v>1</v>
      </c>
      <c r="O238">
        <v>785323</v>
      </c>
    </row>
    <row r="239" spans="1:15" x14ac:dyDescent="0.3">
      <c r="A239">
        <v>21</v>
      </c>
      <c r="B239" s="1" t="s">
        <v>15</v>
      </c>
      <c r="C239">
        <v>158299.34</v>
      </c>
      <c r="D239" s="1" t="s">
        <v>488</v>
      </c>
      <c r="E239">
        <v>158299.34</v>
      </c>
      <c r="F239">
        <v>0</v>
      </c>
      <c r="G239" s="1" t="s">
        <v>489</v>
      </c>
      <c r="H239">
        <v>0</v>
      </c>
      <c r="I239">
        <v>0</v>
      </c>
      <c r="J239">
        <v>1</v>
      </c>
      <c r="K239">
        <v>0</v>
      </c>
      <c r="L239">
        <v>21</v>
      </c>
      <c r="M239">
        <v>0</v>
      </c>
      <c r="N239">
        <v>1</v>
      </c>
      <c r="O239">
        <v>158299.34</v>
      </c>
    </row>
    <row r="240" spans="1:15" x14ac:dyDescent="0.3">
      <c r="A240">
        <v>21</v>
      </c>
      <c r="B240" s="1" t="s">
        <v>18</v>
      </c>
      <c r="C240">
        <v>158299.34</v>
      </c>
      <c r="D240" s="1" t="s">
        <v>490</v>
      </c>
      <c r="E240">
        <v>158299.34</v>
      </c>
      <c r="F240">
        <v>0</v>
      </c>
      <c r="G240" s="1" t="s">
        <v>491</v>
      </c>
      <c r="H240">
        <v>36152.54</v>
      </c>
      <c r="I240">
        <v>271369.74</v>
      </c>
      <c r="J240">
        <v>1</v>
      </c>
      <c r="K240">
        <v>0</v>
      </c>
      <c r="L240">
        <v>21</v>
      </c>
      <c r="M240">
        <v>0</v>
      </c>
      <c r="N240">
        <v>1</v>
      </c>
      <c r="O240">
        <v>158299.34</v>
      </c>
    </row>
    <row r="241" spans="1:15" x14ac:dyDescent="0.3">
      <c r="A241">
        <v>21</v>
      </c>
      <c r="B241" s="1" t="s">
        <v>18</v>
      </c>
      <c r="C241">
        <v>23292.3</v>
      </c>
      <c r="D241" s="1" t="s">
        <v>492</v>
      </c>
      <c r="E241">
        <v>0</v>
      </c>
      <c r="F241">
        <v>0</v>
      </c>
      <c r="G241" s="1" t="s">
        <v>493</v>
      </c>
      <c r="H241">
        <v>392364.62</v>
      </c>
      <c r="I241">
        <v>415656.92</v>
      </c>
      <c r="J241">
        <v>1</v>
      </c>
      <c r="K241">
        <v>0</v>
      </c>
      <c r="L241">
        <v>21</v>
      </c>
      <c r="M241">
        <v>0</v>
      </c>
      <c r="N241">
        <v>0</v>
      </c>
      <c r="O241">
        <v>0</v>
      </c>
    </row>
    <row r="242" spans="1:15" x14ac:dyDescent="0.3">
      <c r="A242">
        <v>22</v>
      </c>
      <c r="B242" s="1" t="s">
        <v>15</v>
      </c>
      <c r="C242">
        <v>346704.55</v>
      </c>
      <c r="D242" s="1" t="s">
        <v>494</v>
      </c>
      <c r="E242">
        <v>346704.55</v>
      </c>
      <c r="F242">
        <v>0</v>
      </c>
      <c r="G242" s="1" t="s">
        <v>495</v>
      </c>
      <c r="H242">
        <v>0</v>
      </c>
      <c r="I242">
        <v>0</v>
      </c>
      <c r="J242">
        <v>1</v>
      </c>
      <c r="K242">
        <v>0</v>
      </c>
      <c r="L242">
        <v>22</v>
      </c>
      <c r="M242">
        <v>0</v>
      </c>
      <c r="N242">
        <v>1</v>
      </c>
      <c r="O242">
        <v>346704.55</v>
      </c>
    </row>
    <row r="243" spans="1:15" x14ac:dyDescent="0.3">
      <c r="A243">
        <v>22</v>
      </c>
      <c r="B243" s="1" t="s">
        <v>18</v>
      </c>
      <c r="C243">
        <v>346704.55</v>
      </c>
      <c r="D243" s="1" t="s">
        <v>496</v>
      </c>
      <c r="E243">
        <v>346704.55</v>
      </c>
      <c r="F243">
        <v>0</v>
      </c>
      <c r="G243" s="1" t="s">
        <v>497</v>
      </c>
      <c r="H243">
        <v>513994.79</v>
      </c>
      <c r="I243">
        <v>860699.34</v>
      </c>
      <c r="J243">
        <v>1</v>
      </c>
      <c r="K243">
        <v>0</v>
      </c>
      <c r="L243">
        <v>22</v>
      </c>
      <c r="M243">
        <v>0</v>
      </c>
      <c r="N243">
        <v>1</v>
      </c>
      <c r="O243">
        <v>346704.55</v>
      </c>
    </row>
    <row r="244" spans="1:15" x14ac:dyDescent="0.3">
      <c r="A244">
        <v>22</v>
      </c>
      <c r="B244" s="1" t="s">
        <v>15</v>
      </c>
      <c r="C244">
        <v>461509.86</v>
      </c>
      <c r="D244" s="1" t="s">
        <v>498</v>
      </c>
      <c r="E244">
        <v>461509.86</v>
      </c>
      <c r="F244">
        <v>0</v>
      </c>
      <c r="G244" s="1" t="s">
        <v>499</v>
      </c>
      <c r="H244">
        <v>0</v>
      </c>
      <c r="I244">
        <v>0</v>
      </c>
      <c r="J244">
        <v>1</v>
      </c>
      <c r="K244">
        <v>0</v>
      </c>
      <c r="L244">
        <v>22</v>
      </c>
      <c r="M244">
        <v>0</v>
      </c>
      <c r="N244">
        <v>1</v>
      </c>
      <c r="O244">
        <v>461509.86</v>
      </c>
    </row>
    <row r="245" spans="1:15" x14ac:dyDescent="0.3">
      <c r="A245">
        <v>22</v>
      </c>
      <c r="B245" s="1" t="s">
        <v>18</v>
      </c>
      <c r="C245">
        <v>461509.86</v>
      </c>
      <c r="D245" s="1" t="s">
        <v>500</v>
      </c>
      <c r="E245">
        <v>461509.86</v>
      </c>
      <c r="F245">
        <v>0</v>
      </c>
      <c r="G245" s="1" t="s">
        <v>501</v>
      </c>
      <c r="H245">
        <v>302583.81</v>
      </c>
      <c r="I245">
        <v>764093.67</v>
      </c>
      <c r="J245">
        <v>1</v>
      </c>
      <c r="K245">
        <v>0</v>
      </c>
      <c r="L245">
        <v>22</v>
      </c>
      <c r="M245">
        <v>0</v>
      </c>
      <c r="N245">
        <v>1</v>
      </c>
      <c r="O245">
        <v>461509.86</v>
      </c>
    </row>
    <row r="246" spans="1:15" x14ac:dyDescent="0.3">
      <c r="A246">
        <v>22</v>
      </c>
      <c r="B246" s="1" t="s">
        <v>15</v>
      </c>
      <c r="C246">
        <v>37100.29</v>
      </c>
      <c r="D246" s="1" t="s">
        <v>502</v>
      </c>
      <c r="E246">
        <v>37100.29</v>
      </c>
      <c r="F246">
        <v>0</v>
      </c>
      <c r="G246" s="1" t="s">
        <v>503</v>
      </c>
      <c r="H246">
        <v>0</v>
      </c>
      <c r="I246">
        <v>0</v>
      </c>
      <c r="J246">
        <v>1</v>
      </c>
      <c r="K246">
        <v>0</v>
      </c>
      <c r="L246">
        <v>22</v>
      </c>
      <c r="M246">
        <v>0</v>
      </c>
      <c r="N246">
        <v>1</v>
      </c>
      <c r="O246">
        <v>37100.29</v>
      </c>
    </row>
    <row r="247" spans="1:15" x14ac:dyDescent="0.3">
      <c r="A247">
        <v>22</v>
      </c>
      <c r="B247" s="1" t="s">
        <v>18</v>
      </c>
      <c r="C247">
        <v>37100.29</v>
      </c>
      <c r="D247" s="1" t="s">
        <v>504</v>
      </c>
      <c r="E247">
        <v>37100.29</v>
      </c>
      <c r="F247">
        <v>0</v>
      </c>
      <c r="G247" s="1" t="s">
        <v>505</v>
      </c>
      <c r="H247">
        <v>433212.41</v>
      </c>
      <c r="I247">
        <v>470312.7</v>
      </c>
      <c r="J247">
        <v>1</v>
      </c>
      <c r="K247">
        <v>0</v>
      </c>
      <c r="L247">
        <v>22</v>
      </c>
      <c r="M247">
        <v>0</v>
      </c>
      <c r="N247">
        <v>1</v>
      </c>
      <c r="O247">
        <v>37100.29</v>
      </c>
    </row>
    <row r="248" spans="1:15" x14ac:dyDescent="0.3">
      <c r="A248">
        <v>22</v>
      </c>
      <c r="B248" s="1" t="s">
        <v>15</v>
      </c>
      <c r="C248">
        <v>235512.2</v>
      </c>
      <c r="D248" s="1" t="s">
        <v>506</v>
      </c>
      <c r="E248">
        <v>235512.2</v>
      </c>
      <c r="F248">
        <v>0</v>
      </c>
      <c r="G248" s="1" t="s">
        <v>507</v>
      </c>
      <c r="H248">
        <v>0</v>
      </c>
      <c r="I248">
        <v>0</v>
      </c>
      <c r="J248">
        <v>1</v>
      </c>
      <c r="K248">
        <v>0</v>
      </c>
      <c r="L248">
        <v>22</v>
      </c>
      <c r="M248">
        <v>0</v>
      </c>
      <c r="N248">
        <v>1</v>
      </c>
      <c r="O248">
        <v>235512.2</v>
      </c>
    </row>
    <row r="249" spans="1:15" x14ac:dyDescent="0.3">
      <c r="A249">
        <v>22</v>
      </c>
      <c r="B249" s="1" t="s">
        <v>18</v>
      </c>
      <c r="C249">
        <v>235512.2</v>
      </c>
      <c r="D249" s="1" t="s">
        <v>508</v>
      </c>
      <c r="E249">
        <v>235512.2</v>
      </c>
      <c r="F249">
        <v>0</v>
      </c>
      <c r="G249" s="1" t="s">
        <v>509</v>
      </c>
      <c r="H249">
        <v>8490637.2100000009</v>
      </c>
      <c r="I249">
        <v>9272647.0899999999</v>
      </c>
      <c r="J249">
        <v>1</v>
      </c>
      <c r="K249">
        <v>0</v>
      </c>
      <c r="L249">
        <v>22</v>
      </c>
      <c r="M249">
        <v>0</v>
      </c>
      <c r="N249">
        <v>1</v>
      </c>
      <c r="O249">
        <v>235512.2</v>
      </c>
    </row>
    <row r="250" spans="1:15" x14ac:dyDescent="0.3">
      <c r="A250">
        <v>22</v>
      </c>
      <c r="B250" s="1" t="s">
        <v>15</v>
      </c>
      <c r="C250">
        <v>2068118.36</v>
      </c>
      <c r="D250" s="1" t="s">
        <v>510</v>
      </c>
      <c r="E250">
        <v>2068118.36</v>
      </c>
      <c r="F250">
        <v>0</v>
      </c>
      <c r="G250" s="1" t="s">
        <v>511</v>
      </c>
      <c r="H250">
        <v>0</v>
      </c>
      <c r="I250">
        <v>0</v>
      </c>
      <c r="J250">
        <v>1</v>
      </c>
      <c r="K250">
        <v>0</v>
      </c>
      <c r="L250">
        <v>22</v>
      </c>
      <c r="M250">
        <v>0</v>
      </c>
      <c r="N250">
        <v>1</v>
      </c>
      <c r="O250">
        <v>2068118.36</v>
      </c>
    </row>
    <row r="251" spans="1:15" x14ac:dyDescent="0.3">
      <c r="A251">
        <v>22</v>
      </c>
      <c r="B251" s="1" t="s">
        <v>18</v>
      </c>
      <c r="C251">
        <v>2068118.36</v>
      </c>
      <c r="D251" s="1" t="s">
        <v>512</v>
      </c>
      <c r="E251">
        <v>2068118.36</v>
      </c>
      <c r="F251">
        <v>0</v>
      </c>
      <c r="G251" s="1" t="s">
        <v>513</v>
      </c>
      <c r="H251">
        <v>3054285.45</v>
      </c>
      <c r="I251">
        <v>5122403.8099999996</v>
      </c>
      <c r="J251">
        <v>1</v>
      </c>
      <c r="K251">
        <v>0</v>
      </c>
      <c r="L251">
        <v>22</v>
      </c>
      <c r="M251">
        <v>0</v>
      </c>
      <c r="N251">
        <v>1</v>
      </c>
      <c r="O251">
        <v>2068118.36</v>
      </c>
    </row>
    <row r="252" spans="1:15" x14ac:dyDescent="0.3">
      <c r="A252">
        <v>22</v>
      </c>
      <c r="B252" s="1" t="s">
        <v>15</v>
      </c>
      <c r="C252">
        <v>74804.240000000005</v>
      </c>
      <c r="D252" s="1" t="s">
        <v>514</v>
      </c>
      <c r="E252">
        <v>74804.240000000005</v>
      </c>
      <c r="F252">
        <v>0</v>
      </c>
      <c r="G252" s="1" t="s">
        <v>515</v>
      </c>
      <c r="H252">
        <v>0</v>
      </c>
      <c r="I252">
        <v>0</v>
      </c>
      <c r="J252">
        <v>1</v>
      </c>
      <c r="K252">
        <v>0</v>
      </c>
      <c r="L252">
        <v>22</v>
      </c>
      <c r="M252">
        <v>0</v>
      </c>
      <c r="N252">
        <v>1</v>
      </c>
      <c r="O252">
        <v>74804.240000000005</v>
      </c>
    </row>
    <row r="253" spans="1:15" x14ac:dyDescent="0.3">
      <c r="A253">
        <v>22</v>
      </c>
      <c r="B253" s="1" t="s">
        <v>18</v>
      </c>
      <c r="C253">
        <v>74804.240000000005</v>
      </c>
      <c r="D253" s="1" t="s">
        <v>516</v>
      </c>
      <c r="E253">
        <v>74804.240000000005</v>
      </c>
      <c r="F253">
        <v>0</v>
      </c>
      <c r="G253" s="1" t="s">
        <v>517</v>
      </c>
      <c r="H253">
        <v>0</v>
      </c>
      <c r="I253">
        <v>74804.240000000005</v>
      </c>
      <c r="J253">
        <v>1</v>
      </c>
      <c r="K253">
        <v>0</v>
      </c>
      <c r="L253">
        <v>22</v>
      </c>
      <c r="M253">
        <v>0</v>
      </c>
      <c r="N253">
        <v>1</v>
      </c>
      <c r="O253">
        <v>74804.240000000005</v>
      </c>
    </row>
    <row r="254" spans="1:15" x14ac:dyDescent="0.3">
      <c r="A254">
        <v>22</v>
      </c>
      <c r="B254" s="1" t="s">
        <v>15</v>
      </c>
      <c r="C254">
        <v>489767.32</v>
      </c>
      <c r="D254" s="1" t="s">
        <v>518</v>
      </c>
      <c r="E254">
        <v>489767.32</v>
      </c>
      <c r="F254">
        <v>0</v>
      </c>
      <c r="G254" s="1" t="s">
        <v>519</v>
      </c>
      <c r="H254">
        <v>0</v>
      </c>
      <c r="I254">
        <v>0</v>
      </c>
      <c r="J254">
        <v>1</v>
      </c>
      <c r="K254">
        <v>0</v>
      </c>
      <c r="L254">
        <v>22</v>
      </c>
      <c r="M254">
        <v>0</v>
      </c>
      <c r="N254">
        <v>1</v>
      </c>
      <c r="O254">
        <v>489767.32</v>
      </c>
    </row>
    <row r="255" spans="1:15" x14ac:dyDescent="0.3">
      <c r="A255">
        <v>22</v>
      </c>
      <c r="B255" s="1" t="s">
        <v>18</v>
      </c>
      <c r="C255">
        <v>489767.32</v>
      </c>
      <c r="D255" s="1" t="s">
        <v>520</v>
      </c>
      <c r="E255">
        <v>489767.32</v>
      </c>
      <c r="F255">
        <v>0</v>
      </c>
      <c r="G255" s="1" t="s">
        <v>521</v>
      </c>
      <c r="H255">
        <v>0</v>
      </c>
      <c r="I255">
        <v>489767.32</v>
      </c>
      <c r="J255">
        <v>1</v>
      </c>
      <c r="K255">
        <v>0</v>
      </c>
      <c r="L255">
        <v>22</v>
      </c>
      <c r="M255">
        <v>0</v>
      </c>
      <c r="N255">
        <v>1</v>
      </c>
      <c r="O255">
        <v>489767.32</v>
      </c>
    </row>
    <row r="256" spans="1:15" x14ac:dyDescent="0.3">
      <c r="A256">
        <v>22</v>
      </c>
      <c r="B256" s="1" t="s">
        <v>15</v>
      </c>
      <c r="C256">
        <v>379878</v>
      </c>
      <c r="D256" s="1" t="s">
        <v>522</v>
      </c>
      <c r="E256">
        <v>379878</v>
      </c>
      <c r="F256">
        <v>0</v>
      </c>
      <c r="G256" s="1" t="s">
        <v>523</v>
      </c>
      <c r="H256">
        <v>0</v>
      </c>
      <c r="I256">
        <v>0</v>
      </c>
      <c r="J256">
        <v>1</v>
      </c>
      <c r="K256">
        <v>0</v>
      </c>
      <c r="L256">
        <v>22</v>
      </c>
      <c r="M256">
        <v>0</v>
      </c>
      <c r="N256">
        <v>1</v>
      </c>
      <c r="O256">
        <v>379878</v>
      </c>
    </row>
    <row r="257" spans="1:15" x14ac:dyDescent="0.3">
      <c r="A257">
        <v>22</v>
      </c>
      <c r="B257" s="1" t="s">
        <v>18</v>
      </c>
      <c r="C257">
        <v>379878</v>
      </c>
      <c r="D257" s="1" t="s">
        <v>524</v>
      </c>
      <c r="E257">
        <v>379878</v>
      </c>
      <c r="F257">
        <v>0</v>
      </c>
      <c r="G257" s="1" t="s">
        <v>525</v>
      </c>
      <c r="H257">
        <v>1301414.19</v>
      </c>
      <c r="I257">
        <v>1681292.19</v>
      </c>
      <c r="J257">
        <v>1</v>
      </c>
      <c r="K257">
        <v>0</v>
      </c>
      <c r="L257">
        <v>22</v>
      </c>
      <c r="M257">
        <v>0</v>
      </c>
      <c r="N257">
        <v>1</v>
      </c>
      <c r="O257">
        <v>379878</v>
      </c>
    </row>
    <row r="258" spans="1:15" x14ac:dyDescent="0.3">
      <c r="A258">
        <v>22</v>
      </c>
      <c r="B258" s="1" t="s">
        <v>18</v>
      </c>
      <c r="C258">
        <v>89571.46</v>
      </c>
      <c r="D258" s="1" t="s">
        <v>526</v>
      </c>
      <c r="E258">
        <v>4505.6000000000004</v>
      </c>
      <c r="F258">
        <v>0</v>
      </c>
      <c r="G258" s="1" t="s">
        <v>527</v>
      </c>
      <c r="H258">
        <v>1929428.01</v>
      </c>
      <c r="I258">
        <v>2018999.47</v>
      </c>
      <c r="J258">
        <v>1</v>
      </c>
      <c r="K258">
        <v>0</v>
      </c>
      <c r="L258">
        <v>22</v>
      </c>
      <c r="M258">
        <v>0</v>
      </c>
      <c r="N258">
        <v>1</v>
      </c>
      <c r="O258">
        <v>4505.6000000000004</v>
      </c>
    </row>
    <row r="259" spans="1:15" x14ac:dyDescent="0.3">
      <c r="A259">
        <v>22</v>
      </c>
      <c r="B259" s="1" t="s">
        <v>15</v>
      </c>
      <c r="C259">
        <v>1258956.71</v>
      </c>
      <c r="D259" s="1" t="s">
        <v>528</v>
      </c>
      <c r="E259">
        <v>1258956.71</v>
      </c>
      <c r="F259">
        <v>0</v>
      </c>
      <c r="G259" s="1" t="s">
        <v>529</v>
      </c>
      <c r="H259">
        <v>0</v>
      </c>
      <c r="I259">
        <v>0</v>
      </c>
      <c r="J259">
        <v>1</v>
      </c>
      <c r="K259">
        <v>0</v>
      </c>
      <c r="L259">
        <v>22</v>
      </c>
      <c r="M259">
        <v>0</v>
      </c>
      <c r="N259">
        <v>1</v>
      </c>
      <c r="O259">
        <v>1258956.71</v>
      </c>
    </row>
    <row r="260" spans="1:15" x14ac:dyDescent="0.3">
      <c r="A260">
        <v>22</v>
      </c>
      <c r="B260" s="1" t="s">
        <v>18</v>
      </c>
      <c r="C260">
        <v>1258956.71</v>
      </c>
      <c r="D260" s="1" t="s">
        <v>530</v>
      </c>
      <c r="E260">
        <v>1258956.71</v>
      </c>
      <c r="F260">
        <v>0</v>
      </c>
      <c r="G260" s="1" t="s">
        <v>531</v>
      </c>
      <c r="H260">
        <v>4736010.72</v>
      </c>
      <c r="I260">
        <v>5994967.4299999997</v>
      </c>
      <c r="J260">
        <v>1</v>
      </c>
      <c r="K260">
        <v>0</v>
      </c>
      <c r="L260">
        <v>22</v>
      </c>
      <c r="M260">
        <v>0</v>
      </c>
      <c r="N260">
        <v>1</v>
      </c>
      <c r="O260">
        <v>1258956.71</v>
      </c>
    </row>
    <row r="261" spans="1:15" x14ac:dyDescent="0.3">
      <c r="A261">
        <v>22</v>
      </c>
      <c r="B261" s="1" t="s">
        <v>15</v>
      </c>
      <c r="C261">
        <v>77773.14</v>
      </c>
      <c r="D261" s="1" t="s">
        <v>532</v>
      </c>
      <c r="E261">
        <v>77773.14</v>
      </c>
      <c r="F261">
        <v>0</v>
      </c>
      <c r="G261" s="1" t="s">
        <v>533</v>
      </c>
      <c r="H261">
        <v>0</v>
      </c>
      <c r="I261">
        <v>0</v>
      </c>
      <c r="J261">
        <v>1</v>
      </c>
      <c r="K261">
        <v>0</v>
      </c>
      <c r="L261">
        <v>22</v>
      </c>
      <c r="M261">
        <v>0</v>
      </c>
      <c r="N261">
        <v>1</v>
      </c>
      <c r="O261">
        <v>77773.14</v>
      </c>
    </row>
    <row r="262" spans="1:15" x14ac:dyDescent="0.3">
      <c r="A262">
        <v>22</v>
      </c>
      <c r="B262" s="1" t="s">
        <v>18</v>
      </c>
      <c r="C262">
        <v>77773.14</v>
      </c>
      <c r="D262" s="1" t="s">
        <v>534</v>
      </c>
      <c r="E262">
        <v>77773.14</v>
      </c>
      <c r="F262">
        <v>0</v>
      </c>
      <c r="G262" s="1" t="s">
        <v>535</v>
      </c>
      <c r="H262">
        <v>1853403.61</v>
      </c>
      <c r="I262">
        <v>1931176.75</v>
      </c>
      <c r="J262">
        <v>1</v>
      </c>
      <c r="K262">
        <v>0</v>
      </c>
      <c r="L262">
        <v>22</v>
      </c>
      <c r="M262">
        <v>0</v>
      </c>
      <c r="N262">
        <v>1</v>
      </c>
      <c r="O262">
        <v>77773.14</v>
      </c>
    </row>
    <row r="263" spans="1:15" x14ac:dyDescent="0.3">
      <c r="A263">
        <v>22</v>
      </c>
      <c r="B263" s="1" t="s">
        <v>15</v>
      </c>
      <c r="C263">
        <v>239646.72</v>
      </c>
      <c r="D263" s="1" t="s">
        <v>536</v>
      </c>
      <c r="E263">
        <v>239646.72</v>
      </c>
      <c r="F263">
        <v>0</v>
      </c>
      <c r="G263" s="1" t="s">
        <v>537</v>
      </c>
      <c r="H263">
        <v>0</v>
      </c>
      <c r="I263">
        <v>0</v>
      </c>
      <c r="J263">
        <v>1</v>
      </c>
      <c r="K263">
        <v>0</v>
      </c>
      <c r="L263">
        <v>22</v>
      </c>
      <c r="M263">
        <v>0</v>
      </c>
      <c r="N263">
        <v>1</v>
      </c>
      <c r="O263">
        <v>239646.72</v>
      </c>
    </row>
    <row r="264" spans="1:15" x14ac:dyDescent="0.3">
      <c r="A264">
        <v>22</v>
      </c>
      <c r="B264" s="1" t="s">
        <v>18</v>
      </c>
      <c r="C264">
        <v>239646.72</v>
      </c>
      <c r="D264" s="1" t="s">
        <v>538</v>
      </c>
      <c r="E264">
        <v>239646.72</v>
      </c>
      <c r="F264">
        <v>0</v>
      </c>
      <c r="G264" s="1" t="s">
        <v>539</v>
      </c>
      <c r="H264">
        <v>2208970.2599999998</v>
      </c>
      <c r="I264">
        <v>2448616.98</v>
      </c>
      <c r="J264">
        <v>1</v>
      </c>
      <c r="K264">
        <v>0</v>
      </c>
      <c r="L264">
        <v>22</v>
      </c>
      <c r="M264">
        <v>0</v>
      </c>
      <c r="N264">
        <v>1</v>
      </c>
      <c r="O264">
        <v>239646.72</v>
      </c>
    </row>
    <row r="265" spans="1:15" x14ac:dyDescent="0.3">
      <c r="A265">
        <v>23</v>
      </c>
      <c r="B265" s="1" t="s">
        <v>15</v>
      </c>
      <c r="C265">
        <v>146127.1</v>
      </c>
      <c r="D265" s="1" t="s">
        <v>540</v>
      </c>
      <c r="E265">
        <v>146127.1</v>
      </c>
      <c r="F265">
        <v>0</v>
      </c>
      <c r="G265" s="1" t="s">
        <v>541</v>
      </c>
      <c r="H265">
        <v>0</v>
      </c>
      <c r="I265">
        <v>0</v>
      </c>
      <c r="J265">
        <v>1</v>
      </c>
      <c r="K265">
        <v>0</v>
      </c>
      <c r="L265">
        <v>23</v>
      </c>
      <c r="M265">
        <v>0</v>
      </c>
      <c r="N265">
        <v>1</v>
      </c>
      <c r="O265">
        <v>146127.1</v>
      </c>
    </row>
    <row r="266" spans="1:15" x14ac:dyDescent="0.3">
      <c r="A266">
        <v>23</v>
      </c>
      <c r="B266" s="1" t="s">
        <v>18</v>
      </c>
      <c r="C266">
        <v>146127.1</v>
      </c>
      <c r="D266" s="1" t="s">
        <v>542</v>
      </c>
      <c r="E266">
        <v>146127.1</v>
      </c>
      <c r="F266">
        <v>0</v>
      </c>
      <c r="G266" s="1" t="s">
        <v>543</v>
      </c>
      <c r="H266">
        <v>177874.39</v>
      </c>
      <c r="I266">
        <v>324001.49</v>
      </c>
      <c r="J266">
        <v>1</v>
      </c>
      <c r="K266">
        <v>0</v>
      </c>
      <c r="L266">
        <v>23</v>
      </c>
      <c r="M266">
        <v>0</v>
      </c>
      <c r="N266">
        <v>1</v>
      </c>
      <c r="O266">
        <v>146127.1</v>
      </c>
    </row>
    <row r="267" spans="1:15" x14ac:dyDescent="0.3">
      <c r="A267">
        <v>24</v>
      </c>
      <c r="B267" s="1" t="s">
        <v>15</v>
      </c>
      <c r="C267">
        <v>291305.98</v>
      </c>
      <c r="D267" s="1" t="s">
        <v>544</v>
      </c>
      <c r="E267">
        <v>291305.98</v>
      </c>
      <c r="F267">
        <v>0</v>
      </c>
      <c r="G267" s="1" t="s">
        <v>545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291305.98</v>
      </c>
    </row>
    <row r="268" spans="1:15" x14ac:dyDescent="0.3">
      <c r="A268">
        <v>24</v>
      </c>
      <c r="B268" s="1" t="s">
        <v>18</v>
      </c>
      <c r="C268">
        <v>291305.98</v>
      </c>
      <c r="D268" s="1" t="s">
        <v>546</v>
      </c>
      <c r="E268">
        <v>291305.98</v>
      </c>
      <c r="F268">
        <v>0</v>
      </c>
      <c r="G268" s="1" t="s">
        <v>547</v>
      </c>
      <c r="H268">
        <v>954554.82</v>
      </c>
      <c r="I268">
        <v>1247963.68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291305.98</v>
      </c>
    </row>
    <row r="269" spans="1:15" x14ac:dyDescent="0.3">
      <c r="A269">
        <v>24</v>
      </c>
      <c r="B269" s="1" t="s">
        <v>15</v>
      </c>
      <c r="C269">
        <v>986876.27</v>
      </c>
      <c r="D269" s="1" t="s">
        <v>548</v>
      </c>
      <c r="E269">
        <v>986876.27</v>
      </c>
      <c r="F269">
        <v>0</v>
      </c>
      <c r="G269" s="1" t="s">
        <v>549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986876.27</v>
      </c>
    </row>
    <row r="270" spans="1:15" x14ac:dyDescent="0.3">
      <c r="A270">
        <v>24</v>
      </c>
      <c r="B270" s="1" t="s">
        <v>18</v>
      </c>
      <c r="C270">
        <v>986876.27</v>
      </c>
      <c r="D270" s="1" t="s">
        <v>550</v>
      </c>
      <c r="E270">
        <v>986876.27</v>
      </c>
      <c r="F270">
        <v>0</v>
      </c>
      <c r="G270" s="1" t="s">
        <v>551</v>
      </c>
      <c r="H270">
        <v>57853.96</v>
      </c>
      <c r="I270">
        <v>1044730.24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986876.27</v>
      </c>
    </row>
    <row r="271" spans="1:15" x14ac:dyDescent="0.3">
      <c r="A271">
        <v>24</v>
      </c>
      <c r="B271" s="1" t="s">
        <v>15</v>
      </c>
      <c r="C271">
        <v>6844.73</v>
      </c>
      <c r="D271" s="1" t="s">
        <v>552</v>
      </c>
      <c r="E271">
        <v>6844.73</v>
      </c>
      <c r="F271">
        <v>0</v>
      </c>
      <c r="G271" s="1" t="s">
        <v>553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6844.73</v>
      </c>
    </row>
    <row r="272" spans="1:15" x14ac:dyDescent="0.3">
      <c r="A272">
        <v>24</v>
      </c>
      <c r="B272" s="1" t="s">
        <v>18</v>
      </c>
      <c r="C272">
        <v>6844.73</v>
      </c>
      <c r="D272" s="1" t="s">
        <v>554</v>
      </c>
      <c r="E272">
        <v>6844.73</v>
      </c>
      <c r="F272">
        <v>0</v>
      </c>
      <c r="G272" s="1" t="s">
        <v>555</v>
      </c>
      <c r="H272">
        <v>264100.7</v>
      </c>
      <c r="I272">
        <v>270945.42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6844.73</v>
      </c>
    </row>
    <row r="273" spans="1:15" x14ac:dyDescent="0.3">
      <c r="A273">
        <v>25</v>
      </c>
      <c r="B273" s="1" t="s">
        <v>15</v>
      </c>
      <c r="C273">
        <v>8383.17</v>
      </c>
      <c r="D273" s="1" t="s">
        <v>556</v>
      </c>
      <c r="E273">
        <v>8383.17</v>
      </c>
      <c r="F273">
        <v>0</v>
      </c>
      <c r="G273" s="1" t="s">
        <v>557</v>
      </c>
      <c r="H273">
        <v>0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8383.17</v>
      </c>
    </row>
    <row r="274" spans="1:15" x14ac:dyDescent="0.3">
      <c r="A274">
        <v>25</v>
      </c>
      <c r="B274" s="1" t="s">
        <v>18</v>
      </c>
      <c r="C274">
        <v>8383.17</v>
      </c>
      <c r="D274" s="1" t="s">
        <v>558</v>
      </c>
      <c r="E274">
        <v>8383.17</v>
      </c>
      <c r="F274">
        <v>0</v>
      </c>
      <c r="G274" s="1" t="s">
        <v>559</v>
      </c>
      <c r="H274">
        <v>6577262.6399999997</v>
      </c>
      <c r="I274">
        <v>6585645.8099999996</v>
      </c>
      <c r="J274">
        <v>1</v>
      </c>
      <c r="K274">
        <v>0</v>
      </c>
      <c r="L274">
        <v>1</v>
      </c>
      <c r="M274">
        <v>0</v>
      </c>
      <c r="N274">
        <v>1</v>
      </c>
      <c r="O274">
        <v>8383.17</v>
      </c>
    </row>
    <row r="275" spans="1:15" x14ac:dyDescent="0.3">
      <c r="A275">
        <v>25</v>
      </c>
      <c r="B275" s="1" t="s">
        <v>15</v>
      </c>
      <c r="C275">
        <v>781953.11</v>
      </c>
      <c r="D275" s="1" t="s">
        <v>560</v>
      </c>
      <c r="E275">
        <v>781953.11</v>
      </c>
      <c r="F275">
        <v>0</v>
      </c>
      <c r="G275" s="1" t="s">
        <v>561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781953.11</v>
      </c>
    </row>
    <row r="276" spans="1:15" x14ac:dyDescent="0.3">
      <c r="A276">
        <v>25</v>
      </c>
      <c r="B276" s="1" t="s">
        <v>18</v>
      </c>
      <c r="C276">
        <v>781953.11</v>
      </c>
      <c r="D276" s="1" t="s">
        <v>562</v>
      </c>
      <c r="E276">
        <v>781953.11</v>
      </c>
      <c r="F276">
        <v>0</v>
      </c>
      <c r="G276" s="1" t="s">
        <v>563</v>
      </c>
      <c r="H276">
        <v>0</v>
      </c>
      <c r="I276">
        <v>781953.11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781953.11</v>
      </c>
    </row>
    <row r="277" spans="1:15" x14ac:dyDescent="0.3">
      <c r="A277">
        <v>25</v>
      </c>
      <c r="B277" s="1" t="s">
        <v>15</v>
      </c>
      <c r="C277">
        <v>217231</v>
      </c>
      <c r="D277" s="1" t="s">
        <v>564</v>
      </c>
      <c r="E277">
        <v>217231</v>
      </c>
      <c r="F277">
        <v>0</v>
      </c>
      <c r="G277" s="1" t="s">
        <v>565</v>
      </c>
      <c r="H277">
        <v>0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217231</v>
      </c>
    </row>
    <row r="278" spans="1:15" x14ac:dyDescent="0.3">
      <c r="A278">
        <v>25</v>
      </c>
      <c r="B278" s="1" t="s">
        <v>18</v>
      </c>
      <c r="C278">
        <v>217231</v>
      </c>
      <c r="D278" s="1" t="s">
        <v>566</v>
      </c>
      <c r="E278">
        <v>217231</v>
      </c>
      <c r="F278">
        <v>0</v>
      </c>
      <c r="G278" s="1" t="s">
        <v>567</v>
      </c>
      <c r="H278">
        <v>7236671.0999999996</v>
      </c>
      <c r="I278">
        <v>7453902.0999999996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217231</v>
      </c>
    </row>
    <row r="279" spans="1:15" x14ac:dyDescent="0.3">
      <c r="A279">
        <v>25</v>
      </c>
      <c r="B279" s="1" t="s">
        <v>15</v>
      </c>
      <c r="C279">
        <v>44829.81</v>
      </c>
      <c r="D279" s="1" t="s">
        <v>568</v>
      </c>
      <c r="E279">
        <v>44829.81</v>
      </c>
      <c r="F279">
        <v>0</v>
      </c>
      <c r="G279" s="1" t="s">
        <v>569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44829.81</v>
      </c>
    </row>
    <row r="280" spans="1:15" x14ac:dyDescent="0.3">
      <c r="A280">
        <v>25</v>
      </c>
      <c r="B280" s="1" t="s">
        <v>18</v>
      </c>
      <c r="C280">
        <v>44829.81</v>
      </c>
      <c r="D280" s="1" t="s">
        <v>570</v>
      </c>
      <c r="E280">
        <v>44829.81</v>
      </c>
      <c r="F280">
        <v>0</v>
      </c>
      <c r="G280" s="1" t="s">
        <v>571</v>
      </c>
      <c r="H280">
        <v>301552.31</v>
      </c>
      <c r="I280">
        <v>346382.12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44829.81</v>
      </c>
    </row>
    <row r="281" spans="1:15" x14ac:dyDescent="0.3">
      <c r="A281">
        <v>25</v>
      </c>
      <c r="B281" s="1" t="s">
        <v>15</v>
      </c>
      <c r="C281">
        <v>296333.53999999998</v>
      </c>
      <c r="D281" s="1" t="s">
        <v>572</v>
      </c>
      <c r="E281">
        <v>296333.53999999998</v>
      </c>
      <c r="F281">
        <v>0</v>
      </c>
      <c r="G281" s="1" t="s">
        <v>573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296333.53999999998</v>
      </c>
    </row>
    <row r="282" spans="1:15" x14ac:dyDescent="0.3">
      <c r="A282">
        <v>25</v>
      </c>
      <c r="B282" s="1" t="s">
        <v>18</v>
      </c>
      <c r="C282">
        <v>296333.53999999998</v>
      </c>
      <c r="D282" s="1" t="s">
        <v>574</v>
      </c>
      <c r="E282">
        <v>296333.53999999998</v>
      </c>
      <c r="F282">
        <v>0</v>
      </c>
      <c r="G282" s="1" t="s">
        <v>575</v>
      </c>
      <c r="H282">
        <v>3355664.68</v>
      </c>
      <c r="I282">
        <v>3651998.22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296333.53999999998</v>
      </c>
    </row>
    <row r="283" spans="1:15" x14ac:dyDescent="0.3">
      <c r="A283">
        <v>25</v>
      </c>
      <c r="B283" s="1" t="s">
        <v>15</v>
      </c>
      <c r="C283">
        <v>18126.95</v>
      </c>
      <c r="D283" s="1" t="s">
        <v>576</v>
      </c>
      <c r="E283">
        <v>18126.95</v>
      </c>
      <c r="F283">
        <v>0</v>
      </c>
      <c r="G283" s="1" t="s">
        <v>577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1</v>
      </c>
      <c r="O283">
        <v>18126.95</v>
      </c>
    </row>
    <row r="284" spans="1:15" x14ac:dyDescent="0.3">
      <c r="A284">
        <v>25</v>
      </c>
      <c r="B284" s="1" t="s">
        <v>18</v>
      </c>
      <c r="C284">
        <v>18126.95</v>
      </c>
      <c r="D284" s="1" t="s">
        <v>578</v>
      </c>
      <c r="E284">
        <v>18126.95</v>
      </c>
      <c r="F284">
        <v>0</v>
      </c>
      <c r="G284" s="1" t="s">
        <v>579</v>
      </c>
      <c r="H284">
        <v>0</v>
      </c>
      <c r="I284">
        <v>18126.95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18126.95</v>
      </c>
    </row>
    <row r="285" spans="1:15" x14ac:dyDescent="0.3">
      <c r="A285">
        <v>25</v>
      </c>
      <c r="B285" s="1" t="s">
        <v>15</v>
      </c>
      <c r="C285">
        <v>249159.26</v>
      </c>
      <c r="D285" s="1" t="s">
        <v>580</v>
      </c>
      <c r="E285">
        <v>249159.26</v>
      </c>
      <c r="F285">
        <v>0</v>
      </c>
      <c r="G285" s="1" t="s">
        <v>581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249159.26</v>
      </c>
    </row>
    <row r="286" spans="1:15" x14ac:dyDescent="0.3">
      <c r="A286">
        <v>25</v>
      </c>
      <c r="B286" s="1" t="s">
        <v>18</v>
      </c>
      <c r="C286">
        <v>249159.26</v>
      </c>
      <c r="D286" s="1" t="s">
        <v>582</v>
      </c>
      <c r="E286">
        <v>249159.26</v>
      </c>
      <c r="F286">
        <v>0</v>
      </c>
      <c r="G286" s="1" t="s">
        <v>583</v>
      </c>
      <c r="H286">
        <v>285997.40999999997</v>
      </c>
      <c r="I286">
        <v>535156.67000000004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249159.26</v>
      </c>
    </row>
    <row r="287" spans="1:15" x14ac:dyDescent="0.3">
      <c r="A287">
        <v>25</v>
      </c>
      <c r="B287" s="1" t="s">
        <v>15</v>
      </c>
      <c r="C287">
        <v>1698263.69</v>
      </c>
      <c r="D287" s="1" t="s">
        <v>584</v>
      </c>
      <c r="E287">
        <v>1698263.69</v>
      </c>
      <c r="F287">
        <v>0</v>
      </c>
      <c r="G287" s="1" t="s">
        <v>585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1698263.69</v>
      </c>
    </row>
    <row r="288" spans="1:15" x14ac:dyDescent="0.3">
      <c r="A288">
        <v>25</v>
      </c>
      <c r="B288" s="1" t="s">
        <v>18</v>
      </c>
      <c r="C288">
        <v>1698263.69</v>
      </c>
      <c r="D288" s="1" t="s">
        <v>586</v>
      </c>
      <c r="E288">
        <v>1698263.69</v>
      </c>
      <c r="F288">
        <v>0</v>
      </c>
      <c r="G288" s="1" t="s">
        <v>587</v>
      </c>
      <c r="H288">
        <v>0</v>
      </c>
      <c r="I288">
        <v>1698263.69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1698263.69</v>
      </c>
    </row>
    <row r="289" spans="1:15" x14ac:dyDescent="0.3">
      <c r="A289">
        <v>25</v>
      </c>
      <c r="B289" s="1" t="s">
        <v>15</v>
      </c>
      <c r="C289">
        <v>802382.45</v>
      </c>
      <c r="D289" s="1" t="s">
        <v>588</v>
      </c>
      <c r="E289">
        <v>802382.45</v>
      </c>
      <c r="F289">
        <v>0</v>
      </c>
      <c r="G289" s="1" t="s">
        <v>589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802382.45</v>
      </c>
    </row>
    <row r="290" spans="1:15" x14ac:dyDescent="0.3">
      <c r="A290">
        <v>25</v>
      </c>
      <c r="B290" s="1" t="s">
        <v>18</v>
      </c>
      <c r="C290">
        <v>802382.45</v>
      </c>
      <c r="D290" s="1" t="s">
        <v>590</v>
      </c>
      <c r="E290">
        <v>802382.45</v>
      </c>
      <c r="F290">
        <v>0</v>
      </c>
      <c r="G290" s="1" t="s">
        <v>591</v>
      </c>
      <c r="H290">
        <v>0</v>
      </c>
      <c r="I290">
        <v>802382.45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802382.45</v>
      </c>
    </row>
    <row r="291" spans="1:15" x14ac:dyDescent="0.3">
      <c r="A291">
        <v>26</v>
      </c>
      <c r="B291" s="1" t="s">
        <v>15</v>
      </c>
      <c r="C291">
        <v>37065.550000000003</v>
      </c>
      <c r="D291" s="1" t="s">
        <v>592</v>
      </c>
      <c r="E291">
        <v>37065.550000000003</v>
      </c>
      <c r="F291">
        <v>0</v>
      </c>
      <c r="G291" s="1" t="s">
        <v>593</v>
      </c>
      <c r="H291">
        <v>0</v>
      </c>
      <c r="I291">
        <v>0</v>
      </c>
      <c r="J291">
        <v>1</v>
      </c>
      <c r="K291">
        <v>0</v>
      </c>
      <c r="L291">
        <v>2</v>
      </c>
      <c r="M291">
        <v>0</v>
      </c>
      <c r="N291">
        <v>1</v>
      </c>
      <c r="O291">
        <v>37065.550000000003</v>
      </c>
    </row>
    <row r="292" spans="1:15" x14ac:dyDescent="0.3">
      <c r="A292">
        <v>26</v>
      </c>
      <c r="B292" s="1" t="s">
        <v>18</v>
      </c>
      <c r="C292">
        <v>37065.550000000003</v>
      </c>
      <c r="D292" s="1" t="s">
        <v>594</v>
      </c>
      <c r="E292">
        <v>37065.550000000003</v>
      </c>
      <c r="F292">
        <v>0</v>
      </c>
      <c r="G292" s="1" t="s">
        <v>595</v>
      </c>
      <c r="H292">
        <v>1396327.66</v>
      </c>
      <c r="I292">
        <v>1433393.21</v>
      </c>
      <c r="J292">
        <v>1</v>
      </c>
      <c r="K292">
        <v>0</v>
      </c>
      <c r="L292">
        <v>2</v>
      </c>
      <c r="M292">
        <v>0</v>
      </c>
      <c r="N292">
        <v>1</v>
      </c>
      <c r="O292">
        <v>37065.550000000003</v>
      </c>
    </row>
    <row r="293" spans="1:15" x14ac:dyDescent="0.3">
      <c r="A293">
        <v>26</v>
      </c>
      <c r="B293" s="1" t="s">
        <v>15</v>
      </c>
      <c r="C293">
        <v>369186.87</v>
      </c>
      <c r="D293" s="1" t="s">
        <v>596</v>
      </c>
      <c r="E293">
        <v>369186.87</v>
      </c>
      <c r="F293">
        <v>0</v>
      </c>
      <c r="G293" s="1" t="s">
        <v>597</v>
      </c>
      <c r="H293">
        <v>0</v>
      </c>
      <c r="I293">
        <v>0</v>
      </c>
      <c r="J293">
        <v>1</v>
      </c>
      <c r="K293">
        <v>0</v>
      </c>
      <c r="L293">
        <v>2</v>
      </c>
      <c r="M293">
        <v>0</v>
      </c>
      <c r="N293">
        <v>1</v>
      </c>
      <c r="O293">
        <v>369186.87</v>
      </c>
    </row>
    <row r="294" spans="1:15" x14ac:dyDescent="0.3">
      <c r="A294">
        <v>26</v>
      </c>
      <c r="B294" s="1" t="s">
        <v>18</v>
      </c>
      <c r="C294">
        <v>369186.87</v>
      </c>
      <c r="D294" s="1" t="s">
        <v>598</v>
      </c>
      <c r="E294">
        <v>369186.87</v>
      </c>
      <c r="F294">
        <v>0</v>
      </c>
      <c r="G294" s="1" t="s">
        <v>599</v>
      </c>
      <c r="H294">
        <v>36224.11</v>
      </c>
      <c r="I294">
        <v>405410.97</v>
      </c>
      <c r="J294">
        <v>1</v>
      </c>
      <c r="K294">
        <v>0</v>
      </c>
      <c r="L294">
        <v>2</v>
      </c>
      <c r="M294">
        <v>0</v>
      </c>
      <c r="N294">
        <v>1</v>
      </c>
      <c r="O294">
        <v>369186.87</v>
      </c>
    </row>
    <row r="295" spans="1:15" x14ac:dyDescent="0.3">
      <c r="A295">
        <v>26</v>
      </c>
      <c r="B295" s="1" t="s">
        <v>15</v>
      </c>
      <c r="C295">
        <v>78741.64</v>
      </c>
      <c r="D295" s="1" t="s">
        <v>600</v>
      </c>
      <c r="E295">
        <v>78741.64</v>
      </c>
      <c r="F295">
        <v>0</v>
      </c>
      <c r="G295" s="1" t="s">
        <v>601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0</v>
      </c>
      <c r="N295">
        <v>1</v>
      </c>
      <c r="O295">
        <v>78741.64</v>
      </c>
    </row>
    <row r="296" spans="1:15" x14ac:dyDescent="0.3">
      <c r="A296">
        <v>26</v>
      </c>
      <c r="B296" s="1" t="s">
        <v>18</v>
      </c>
      <c r="C296">
        <v>78741.64</v>
      </c>
      <c r="D296" s="1" t="s">
        <v>602</v>
      </c>
      <c r="E296">
        <v>78741.64</v>
      </c>
      <c r="F296">
        <v>0</v>
      </c>
      <c r="G296" s="1" t="s">
        <v>603</v>
      </c>
      <c r="H296">
        <v>48628.52</v>
      </c>
      <c r="I296">
        <v>127370.16</v>
      </c>
      <c r="J296">
        <v>1</v>
      </c>
      <c r="K296">
        <v>0</v>
      </c>
      <c r="L296">
        <v>2</v>
      </c>
      <c r="M296">
        <v>0</v>
      </c>
      <c r="N296">
        <v>1</v>
      </c>
      <c r="O296">
        <v>78741.64</v>
      </c>
    </row>
    <row r="297" spans="1:15" x14ac:dyDescent="0.3">
      <c r="A297">
        <v>26</v>
      </c>
      <c r="B297" s="1" t="s">
        <v>15</v>
      </c>
      <c r="C297">
        <v>1646181.09</v>
      </c>
      <c r="D297" s="1" t="s">
        <v>604</v>
      </c>
      <c r="E297">
        <v>1646181.09</v>
      </c>
      <c r="F297">
        <v>0</v>
      </c>
      <c r="G297" s="1" t="s">
        <v>605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1</v>
      </c>
      <c r="O297">
        <v>1646181.09</v>
      </c>
    </row>
    <row r="298" spans="1:15" x14ac:dyDescent="0.3">
      <c r="A298">
        <v>26</v>
      </c>
      <c r="B298" s="1" t="s">
        <v>18</v>
      </c>
      <c r="C298">
        <v>1646181.09</v>
      </c>
      <c r="D298" s="1" t="s">
        <v>606</v>
      </c>
      <c r="E298">
        <v>1646181.09</v>
      </c>
      <c r="F298">
        <v>0</v>
      </c>
      <c r="G298" s="1" t="s">
        <v>607</v>
      </c>
      <c r="H298">
        <v>220025.2</v>
      </c>
      <c r="I298">
        <v>1866206.29</v>
      </c>
      <c r="J298">
        <v>1</v>
      </c>
      <c r="K298">
        <v>0</v>
      </c>
      <c r="L298">
        <v>2</v>
      </c>
      <c r="M298">
        <v>0</v>
      </c>
      <c r="N298">
        <v>1</v>
      </c>
      <c r="O298">
        <v>1646181.09</v>
      </c>
    </row>
    <row r="299" spans="1:15" x14ac:dyDescent="0.3">
      <c r="A299">
        <v>26</v>
      </c>
      <c r="B299" s="1" t="s">
        <v>15</v>
      </c>
      <c r="C299">
        <v>331829.94</v>
      </c>
      <c r="D299" s="1" t="s">
        <v>608</v>
      </c>
      <c r="E299">
        <v>331829.94</v>
      </c>
      <c r="F299">
        <v>0</v>
      </c>
      <c r="G299" s="1" t="s">
        <v>609</v>
      </c>
      <c r="H299">
        <v>0</v>
      </c>
      <c r="I299">
        <v>0</v>
      </c>
      <c r="J299">
        <v>1</v>
      </c>
      <c r="K299">
        <v>0</v>
      </c>
      <c r="L299">
        <v>2</v>
      </c>
      <c r="M299">
        <v>0</v>
      </c>
      <c r="N299">
        <v>1</v>
      </c>
      <c r="O299">
        <v>331829.94</v>
      </c>
    </row>
    <row r="300" spans="1:15" x14ac:dyDescent="0.3">
      <c r="A300">
        <v>26</v>
      </c>
      <c r="B300" s="1" t="s">
        <v>18</v>
      </c>
      <c r="C300">
        <v>331829.94</v>
      </c>
      <c r="D300" s="1" t="s">
        <v>610</v>
      </c>
      <c r="E300">
        <v>331829.94</v>
      </c>
      <c r="F300">
        <v>0</v>
      </c>
      <c r="G300" s="1" t="s">
        <v>611</v>
      </c>
      <c r="H300">
        <v>792855.99</v>
      </c>
      <c r="I300">
        <v>1124685.94</v>
      </c>
      <c r="J300">
        <v>1</v>
      </c>
      <c r="K300">
        <v>0</v>
      </c>
      <c r="L300">
        <v>2</v>
      </c>
      <c r="M300">
        <v>0</v>
      </c>
      <c r="N300">
        <v>1</v>
      </c>
      <c r="O300">
        <v>331829.94</v>
      </c>
    </row>
    <row r="301" spans="1:15" x14ac:dyDescent="0.3">
      <c r="A301">
        <v>26</v>
      </c>
      <c r="B301" s="1" t="s">
        <v>15</v>
      </c>
      <c r="C301">
        <v>1027152.36</v>
      </c>
      <c r="D301" s="1" t="s">
        <v>612</v>
      </c>
      <c r="E301">
        <v>1027152.36</v>
      </c>
      <c r="F301">
        <v>0</v>
      </c>
      <c r="G301" s="1" t="s">
        <v>613</v>
      </c>
      <c r="H301">
        <v>0</v>
      </c>
      <c r="I301">
        <v>0</v>
      </c>
      <c r="J301">
        <v>1</v>
      </c>
      <c r="K301">
        <v>0</v>
      </c>
      <c r="L301">
        <v>2</v>
      </c>
      <c r="M301">
        <v>0</v>
      </c>
      <c r="N301">
        <v>1</v>
      </c>
      <c r="O301">
        <v>1027152.36</v>
      </c>
    </row>
    <row r="302" spans="1:15" x14ac:dyDescent="0.3">
      <c r="A302">
        <v>26</v>
      </c>
      <c r="B302" s="1" t="s">
        <v>18</v>
      </c>
      <c r="C302">
        <v>1027152.36</v>
      </c>
      <c r="D302" s="1" t="s">
        <v>614</v>
      </c>
      <c r="E302">
        <v>1027152.36</v>
      </c>
      <c r="F302">
        <v>0</v>
      </c>
      <c r="G302" s="1" t="s">
        <v>615</v>
      </c>
      <c r="H302">
        <v>519428.56</v>
      </c>
      <c r="I302">
        <v>1546580.92</v>
      </c>
      <c r="J302">
        <v>1</v>
      </c>
      <c r="K302">
        <v>0</v>
      </c>
      <c r="L302">
        <v>2</v>
      </c>
      <c r="M302">
        <v>0</v>
      </c>
      <c r="N302">
        <v>1</v>
      </c>
      <c r="O302">
        <v>1027152.36</v>
      </c>
    </row>
    <row r="303" spans="1:15" x14ac:dyDescent="0.3">
      <c r="A303">
        <v>27</v>
      </c>
      <c r="B303" s="1" t="s">
        <v>15</v>
      </c>
      <c r="C303">
        <v>494244.61</v>
      </c>
      <c r="D303" s="1" t="s">
        <v>616</v>
      </c>
      <c r="E303">
        <v>494244.61</v>
      </c>
      <c r="F303">
        <v>0</v>
      </c>
      <c r="G303" s="1" t="s">
        <v>617</v>
      </c>
      <c r="H303">
        <v>0</v>
      </c>
      <c r="I303">
        <v>0</v>
      </c>
      <c r="J303">
        <v>1</v>
      </c>
      <c r="K303">
        <v>0</v>
      </c>
      <c r="L303">
        <v>3</v>
      </c>
      <c r="M303">
        <v>0</v>
      </c>
      <c r="N303">
        <v>1</v>
      </c>
      <c r="O303">
        <v>494244.61</v>
      </c>
    </row>
    <row r="304" spans="1:15" x14ac:dyDescent="0.3">
      <c r="A304">
        <v>27</v>
      </c>
      <c r="B304" s="1" t="s">
        <v>18</v>
      </c>
      <c r="C304">
        <v>494244.61</v>
      </c>
      <c r="D304" s="1" t="s">
        <v>618</v>
      </c>
      <c r="E304">
        <v>494244.61</v>
      </c>
      <c r="F304">
        <v>0</v>
      </c>
      <c r="G304" s="1" t="s">
        <v>619</v>
      </c>
      <c r="H304">
        <v>653451.43000000005</v>
      </c>
      <c r="I304">
        <v>1147696.03</v>
      </c>
      <c r="J304">
        <v>1</v>
      </c>
      <c r="K304">
        <v>0</v>
      </c>
      <c r="L304">
        <v>3</v>
      </c>
      <c r="M304">
        <v>0</v>
      </c>
      <c r="N304">
        <v>1</v>
      </c>
      <c r="O304">
        <v>494244.61</v>
      </c>
    </row>
    <row r="305" spans="1:15" x14ac:dyDescent="0.3">
      <c r="A305">
        <v>27</v>
      </c>
      <c r="B305" s="1" t="s">
        <v>15</v>
      </c>
      <c r="C305">
        <v>329937.88</v>
      </c>
      <c r="D305" s="1" t="s">
        <v>620</v>
      </c>
      <c r="E305">
        <v>329937.88</v>
      </c>
      <c r="F305">
        <v>0</v>
      </c>
      <c r="G305" s="1" t="s">
        <v>621</v>
      </c>
      <c r="H305">
        <v>0</v>
      </c>
      <c r="I305">
        <v>0</v>
      </c>
      <c r="J305">
        <v>1</v>
      </c>
      <c r="K305">
        <v>0</v>
      </c>
      <c r="L305">
        <v>3</v>
      </c>
      <c r="M305">
        <v>0</v>
      </c>
      <c r="N305">
        <v>1</v>
      </c>
      <c r="O305">
        <v>329937.88</v>
      </c>
    </row>
    <row r="306" spans="1:15" x14ac:dyDescent="0.3">
      <c r="A306">
        <v>27</v>
      </c>
      <c r="B306" s="1" t="s">
        <v>18</v>
      </c>
      <c r="C306">
        <v>329937.88</v>
      </c>
      <c r="D306" s="1" t="s">
        <v>622</v>
      </c>
      <c r="E306">
        <v>329937.88</v>
      </c>
      <c r="F306">
        <v>0</v>
      </c>
      <c r="G306" s="1" t="s">
        <v>623</v>
      </c>
      <c r="H306">
        <v>349407.23</v>
      </c>
      <c r="I306">
        <v>679345.1</v>
      </c>
      <c r="J306">
        <v>1</v>
      </c>
      <c r="K306">
        <v>0</v>
      </c>
      <c r="L306">
        <v>3</v>
      </c>
      <c r="M306">
        <v>0</v>
      </c>
      <c r="N306">
        <v>1</v>
      </c>
      <c r="O306">
        <v>329937.88</v>
      </c>
    </row>
    <row r="307" spans="1:15" x14ac:dyDescent="0.3">
      <c r="A307">
        <v>27</v>
      </c>
      <c r="B307" s="1" t="s">
        <v>15</v>
      </c>
      <c r="C307">
        <v>496128.26</v>
      </c>
      <c r="D307" s="1" t="s">
        <v>624</v>
      </c>
      <c r="E307">
        <v>496128.26</v>
      </c>
      <c r="F307">
        <v>0</v>
      </c>
      <c r="G307" s="1" t="s">
        <v>625</v>
      </c>
      <c r="H307">
        <v>0</v>
      </c>
      <c r="I307">
        <v>0</v>
      </c>
      <c r="J307">
        <v>1</v>
      </c>
      <c r="K307">
        <v>0</v>
      </c>
      <c r="L307">
        <v>3</v>
      </c>
      <c r="M307">
        <v>0</v>
      </c>
      <c r="N307">
        <v>1</v>
      </c>
      <c r="O307">
        <v>496128.26</v>
      </c>
    </row>
    <row r="308" spans="1:15" x14ac:dyDescent="0.3">
      <c r="A308">
        <v>27</v>
      </c>
      <c r="B308" s="1" t="s">
        <v>18</v>
      </c>
      <c r="C308">
        <v>496128.26</v>
      </c>
      <c r="D308" s="1" t="s">
        <v>626</v>
      </c>
      <c r="E308">
        <v>496128.26</v>
      </c>
      <c r="F308">
        <v>0</v>
      </c>
      <c r="G308" s="1" t="s">
        <v>627</v>
      </c>
      <c r="H308">
        <v>465770.07</v>
      </c>
      <c r="I308">
        <v>961898.33</v>
      </c>
      <c r="J308">
        <v>1</v>
      </c>
      <c r="K308">
        <v>0</v>
      </c>
      <c r="L308">
        <v>3</v>
      </c>
      <c r="M308">
        <v>0</v>
      </c>
      <c r="N308">
        <v>1</v>
      </c>
      <c r="O308">
        <v>496128.26</v>
      </c>
    </row>
    <row r="309" spans="1:15" x14ac:dyDescent="0.3">
      <c r="A309">
        <v>27</v>
      </c>
      <c r="B309" s="1" t="s">
        <v>15</v>
      </c>
      <c r="C309">
        <v>1218165.8799999999</v>
      </c>
      <c r="D309" s="1" t="s">
        <v>628</v>
      </c>
      <c r="E309">
        <v>1218165.8799999999</v>
      </c>
      <c r="F309">
        <v>0</v>
      </c>
      <c r="G309" s="1" t="s">
        <v>629</v>
      </c>
      <c r="H309">
        <v>0</v>
      </c>
      <c r="I309">
        <v>0</v>
      </c>
      <c r="J309">
        <v>1</v>
      </c>
      <c r="K309">
        <v>0</v>
      </c>
      <c r="L309">
        <v>3</v>
      </c>
      <c r="M309">
        <v>0</v>
      </c>
      <c r="N309">
        <v>1</v>
      </c>
      <c r="O309">
        <v>1218165.8799999999</v>
      </c>
    </row>
    <row r="310" spans="1:15" x14ac:dyDescent="0.3">
      <c r="A310">
        <v>27</v>
      </c>
      <c r="B310" s="1" t="s">
        <v>18</v>
      </c>
      <c r="C310">
        <v>1218165.8799999999</v>
      </c>
      <c r="D310" s="1" t="s">
        <v>630</v>
      </c>
      <c r="E310">
        <v>1218165.8799999999</v>
      </c>
      <c r="F310">
        <v>0</v>
      </c>
      <c r="G310" s="1" t="s">
        <v>631</v>
      </c>
      <c r="H310">
        <v>742564.27</v>
      </c>
      <c r="I310">
        <v>1960730.15</v>
      </c>
      <c r="J310">
        <v>1</v>
      </c>
      <c r="K310">
        <v>0</v>
      </c>
      <c r="L310">
        <v>3</v>
      </c>
      <c r="M310">
        <v>0</v>
      </c>
      <c r="N310">
        <v>1</v>
      </c>
      <c r="O310">
        <v>1218165.8799999999</v>
      </c>
    </row>
    <row r="311" spans="1:15" x14ac:dyDescent="0.3">
      <c r="A311">
        <v>28</v>
      </c>
      <c r="B311" s="1" t="s">
        <v>15</v>
      </c>
      <c r="C311">
        <v>3832058.34</v>
      </c>
      <c r="D311" s="1" t="s">
        <v>632</v>
      </c>
      <c r="E311">
        <v>3832058.34</v>
      </c>
      <c r="F311">
        <v>0</v>
      </c>
      <c r="G311" s="1" t="s">
        <v>633</v>
      </c>
      <c r="H311">
        <v>0</v>
      </c>
      <c r="I311">
        <v>0</v>
      </c>
      <c r="J311">
        <v>1</v>
      </c>
      <c r="K311">
        <v>0</v>
      </c>
      <c r="L311">
        <v>4</v>
      </c>
      <c r="M311">
        <v>0</v>
      </c>
      <c r="N311">
        <v>1</v>
      </c>
      <c r="O311">
        <v>3832058.34</v>
      </c>
    </row>
    <row r="312" spans="1:15" x14ac:dyDescent="0.3">
      <c r="A312">
        <v>28</v>
      </c>
      <c r="B312" s="1" t="s">
        <v>18</v>
      </c>
      <c r="C312">
        <v>3832058.34</v>
      </c>
      <c r="D312" s="1" t="s">
        <v>634</v>
      </c>
      <c r="E312">
        <v>3832058.34</v>
      </c>
      <c r="F312">
        <v>0</v>
      </c>
      <c r="G312" s="1" t="s">
        <v>635</v>
      </c>
      <c r="H312">
        <v>531662.14</v>
      </c>
      <c r="I312">
        <v>4363720.4800000004</v>
      </c>
      <c r="J312">
        <v>1</v>
      </c>
      <c r="K312">
        <v>0</v>
      </c>
      <c r="L312">
        <v>4</v>
      </c>
      <c r="M312">
        <v>0</v>
      </c>
      <c r="N312">
        <v>1</v>
      </c>
      <c r="O312">
        <v>3832058.34</v>
      </c>
    </row>
    <row r="313" spans="1:15" x14ac:dyDescent="0.3">
      <c r="A313">
        <v>28</v>
      </c>
      <c r="B313" s="1" t="s">
        <v>15</v>
      </c>
      <c r="C313">
        <v>491517.77</v>
      </c>
      <c r="D313" s="1" t="s">
        <v>636</v>
      </c>
      <c r="E313">
        <v>491517.77</v>
      </c>
      <c r="F313">
        <v>0</v>
      </c>
      <c r="G313" s="1" t="s">
        <v>637</v>
      </c>
      <c r="H313">
        <v>0</v>
      </c>
      <c r="I313">
        <v>0</v>
      </c>
      <c r="J313">
        <v>1</v>
      </c>
      <c r="K313">
        <v>0</v>
      </c>
      <c r="L313">
        <v>4</v>
      </c>
      <c r="M313">
        <v>0</v>
      </c>
      <c r="N313">
        <v>1</v>
      </c>
      <c r="O313">
        <v>491517.77</v>
      </c>
    </row>
    <row r="314" spans="1:15" x14ac:dyDescent="0.3">
      <c r="A314">
        <v>28</v>
      </c>
      <c r="B314" s="1" t="s">
        <v>18</v>
      </c>
      <c r="C314">
        <v>491517.77</v>
      </c>
      <c r="D314" s="1" t="s">
        <v>638</v>
      </c>
      <c r="E314">
        <v>491517.77</v>
      </c>
      <c r="F314">
        <v>0</v>
      </c>
      <c r="G314" s="1" t="s">
        <v>639</v>
      </c>
      <c r="H314">
        <v>518777.34</v>
      </c>
      <c r="I314">
        <v>1010295.11</v>
      </c>
      <c r="J314">
        <v>1</v>
      </c>
      <c r="K314">
        <v>0</v>
      </c>
      <c r="L314">
        <v>4</v>
      </c>
      <c r="M314">
        <v>0</v>
      </c>
      <c r="N314">
        <v>1</v>
      </c>
      <c r="O314">
        <v>491517.77</v>
      </c>
    </row>
    <row r="315" spans="1:15" x14ac:dyDescent="0.3">
      <c r="A315">
        <v>29</v>
      </c>
      <c r="B315" s="1" t="s">
        <v>15</v>
      </c>
      <c r="C315">
        <v>340198.41</v>
      </c>
      <c r="D315" s="1" t="s">
        <v>640</v>
      </c>
      <c r="E315">
        <v>340198.41</v>
      </c>
      <c r="F315">
        <v>0</v>
      </c>
      <c r="G315" s="1" t="s">
        <v>641</v>
      </c>
      <c r="H315">
        <v>0</v>
      </c>
      <c r="I315">
        <v>0</v>
      </c>
      <c r="J315">
        <v>1</v>
      </c>
      <c r="K315">
        <v>0</v>
      </c>
      <c r="L315">
        <v>5</v>
      </c>
      <c r="M315">
        <v>0</v>
      </c>
      <c r="N315">
        <v>1</v>
      </c>
      <c r="O315">
        <v>340198.41</v>
      </c>
    </row>
    <row r="316" spans="1:15" x14ac:dyDescent="0.3">
      <c r="A316">
        <v>29</v>
      </c>
      <c r="B316" s="1" t="s">
        <v>18</v>
      </c>
      <c r="C316">
        <v>340198.41</v>
      </c>
      <c r="D316" s="1" t="s">
        <v>642</v>
      </c>
      <c r="E316">
        <v>340198.41</v>
      </c>
      <c r="F316">
        <v>0</v>
      </c>
      <c r="G316" s="1" t="s">
        <v>643</v>
      </c>
      <c r="H316">
        <v>1614043.79</v>
      </c>
      <c r="I316">
        <v>1954242.21</v>
      </c>
      <c r="J316">
        <v>1</v>
      </c>
      <c r="K316">
        <v>0</v>
      </c>
      <c r="L316">
        <v>5</v>
      </c>
      <c r="M316">
        <v>0</v>
      </c>
      <c r="N316">
        <v>1</v>
      </c>
      <c r="O316">
        <v>340198.41</v>
      </c>
    </row>
    <row r="317" spans="1:15" x14ac:dyDescent="0.3">
      <c r="A317">
        <v>29</v>
      </c>
      <c r="B317" s="1" t="s">
        <v>15</v>
      </c>
      <c r="C317">
        <v>268641.82</v>
      </c>
      <c r="D317" s="1" t="s">
        <v>644</v>
      </c>
      <c r="E317">
        <v>268641.82</v>
      </c>
      <c r="F317">
        <v>0</v>
      </c>
      <c r="G317" s="1" t="s">
        <v>645</v>
      </c>
      <c r="H317">
        <v>0</v>
      </c>
      <c r="I317">
        <v>0</v>
      </c>
      <c r="J317">
        <v>1</v>
      </c>
      <c r="K317">
        <v>0</v>
      </c>
      <c r="L317">
        <v>5</v>
      </c>
      <c r="M317">
        <v>0</v>
      </c>
      <c r="N317">
        <v>1</v>
      </c>
      <c r="O317">
        <v>268641.82</v>
      </c>
    </row>
    <row r="318" spans="1:15" x14ac:dyDescent="0.3">
      <c r="A318">
        <v>29</v>
      </c>
      <c r="B318" s="1" t="s">
        <v>18</v>
      </c>
      <c r="C318">
        <v>268641.82</v>
      </c>
      <c r="D318" s="1" t="s">
        <v>646</v>
      </c>
      <c r="E318">
        <v>268641.82</v>
      </c>
      <c r="F318">
        <v>0</v>
      </c>
      <c r="G318" s="1" t="s">
        <v>647</v>
      </c>
      <c r="H318">
        <v>197163.95</v>
      </c>
      <c r="I318">
        <v>465805.77</v>
      </c>
      <c r="J318">
        <v>1</v>
      </c>
      <c r="K318">
        <v>0</v>
      </c>
      <c r="L318">
        <v>5</v>
      </c>
      <c r="M318">
        <v>0</v>
      </c>
      <c r="N318">
        <v>1</v>
      </c>
      <c r="O318">
        <v>268641.82</v>
      </c>
    </row>
    <row r="319" spans="1:15" x14ac:dyDescent="0.3">
      <c r="A319">
        <v>30</v>
      </c>
      <c r="B319" s="1" t="s">
        <v>15</v>
      </c>
      <c r="C319">
        <v>122235.11</v>
      </c>
      <c r="D319" s="1" t="s">
        <v>648</v>
      </c>
      <c r="E319">
        <v>122235.11</v>
      </c>
      <c r="F319">
        <v>0</v>
      </c>
      <c r="G319" s="1" t="s">
        <v>649</v>
      </c>
      <c r="H319">
        <v>0</v>
      </c>
      <c r="I319">
        <v>0</v>
      </c>
      <c r="J319">
        <v>1</v>
      </c>
      <c r="K319">
        <v>0</v>
      </c>
      <c r="L319">
        <v>6</v>
      </c>
      <c r="M319">
        <v>0</v>
      </c>
      <c r="N319">
        <v>1</v>
      </c>
      <c r="O319">
        <v>122235.11</v>
      </c>
    </row>
    <row r="320" spans="1:15" x14ac:dyDescent="0.3">
      <c r="A320">
        <v>30</v>
      </c>
      <c r="B320" s="1" t="s">
        <v>18</v>
      </c>
      <c r="C320">
        <v>122235.11</v>
      </c>
      <c r="D320" s="1" t="s">
        <v>650</v>
      </c>
      <c r="E320">
        <v>122235.11</v>
      </c>
      <c r="F320">
        <v>0</v>
      </c>
      <c r="G320" s="1" t="s">
        <v>651</v>
      </c>
      <c r="H320">
        <v>0</v>
      </c>
      <c r="I320">
        <v>122235.11</v>
      </c>
      <c r="J320">
        <v>1</v>
      </c>
      <c r="K320">
        <v>0</v>
      </c>
      <c r="L320">
        <v>6</v>
      </c>
      <c r="M320">
        <v>0</v>
      </c>
      <c r="N320">
        <v>1</v>
      </c>
      <c r="O320">
        <v>122235.11</v>
      </c>
    </row>
    <row r="321" spans="1:15" x14ac:dyDescent="0.3">
      <c r="A321">
        <v>30</v>
      </c>
      <c r="B321" s="1" t="s">
        <v>15</v>
      </c>
      <c r="C321">
        <v>236947.25</v>
      </c>
      <c r="D321" s="1" t="s">
        <v>652</v>
      </c>
      <c r="E321">
        <v>236947.25</v>
      </c>
      <c r="F321">
        <v>0</v>
      </c>
      <c r="G321" s="1" t="s">
        <v>653</v>
      </c>
      <c r="H321">
        <v>0</v>
      </c>
      <c r="I321">
        <v>0</v>
      </c>
      <c r="J321">
        <v>1</v>
      </c>
      <c r="K321">
        <v>0</v>
      </c>
      <c r="L321">
        <v>6</v>
      </c>
      <c r="M321">
        <v>0</v>
      </c>
      <c r="N321">
        <v>1</v>
      </c>
      <c r="O321">
        <v>236947.25</v>
      </c>
    </row>
    <row r="322" spans="1:15" x14ac:dyDescent="0.3">
      <c r="A322">
        <v>30</v>
      </c>
      <c r="B322" s="1" t="s">
        <v>18</v>
      </c>
      <c r="C322">
        <v>236947.25</v>
      </c>
      <c r="D322" s="1" t="s">
        <v>654</v>
      </c>
      <c r="E322">
        <v>236947.25</v>
      </c>
      <c r="F322">
        <v>0</v>
      </c>
      <c r="G322" s="1" t="s">
        <v>655</v>
      </c>
      <c r="H322">
        <v>70084.28</v>
      </c>
      <c r="I322">
        <v>307031.53000000003</v>
      </c>
      <c r="J322">
        <v>1</v>
      </c>
      <c r="K322">
        <v>0</v>
      </c>
      <c r="L322">
        <v>6</v>
      </c>
      <c r="M322">
        <v>0</v>
      </c>
      <c r="N322">
        <v>1</v>
      </c>
      <c r="O322">
        <v>236947.25</v>
      </c>
    </row>
    <row r="323" spans="1:15" x14ac:dyDescent="0.3">
      <c r="A323">
        <v>30</v>
      </c>
      <c r="B323" s="1" t="s">
        <v>15</v>
      </c>
      <c r="C323">
        <v>19016.22</v>
      </c>
      <c r="D323" s="1" t="s">
        <v>656</v>
      </c>
      <c r="E323">
        <v>19016.22</v>
      </c>
      <c r="F323">
        <v>0</v>
      </c>
      <c r="G323" s="1" t="s">
        <v>657</v>
      </c>
      <c r="H323">
        <v>0</v>
      </c>
      <c r="I323">
        <v>0</v>
      </c>
      <c r="J323">
        <v>1</v>
      </c>
      <c r="K323">
        <v>0</v>
      </c>
      <c r="L323">
        <v>6</v>
      </c>
      <c r="M323">
        <v>0</v>
      </c>
      <c r="N323">
        <v>1</v>
      </c>
      <c r="O323">
        <v>19016.22</v>
      </c>
    </row>
    <row r="324" spans="1:15" x14ac:dyDescent="0.3">
      <c r="A324">
        <v>30</v>
      </c>
      <c r="B324" s="1" t="s">
        <v>18</v>
      </c>
      <c r="C324">
        <v>19016.22</v>
      </c>
      <c r="D324" s="1" t="s">
        <v>658</v>
      </c>
      <c r="E324">
        <v>19016.22</v>
      </c>
      <c r="F324">
        <v>0</v>
      </c>
      <c r="G324" s="1" t="s">
        <v>659</v>
      </c>
      <c r="H324">
        <v>9347999.5199999996</v>
      </c>
      <c r="I324">
        <v>9367015.7400000002</v>
      </c>
      <c r="J324">
        <v>1</v>
      </c>
      <c r="K324">
        <v>0</v>
      </c>
      <c r="L324">
        <v>6</v>
      </c>
      <c r="M324">
        <v>0</v>
      </c>
      <c r="N324">
        <v>1</v>
      </c>
      <c r="O324">
        <v>19016.22</v>
      </c>
    </row>
    <row r="325" spans="1:15" x14ac:dyDescent="0.3">
      <c r="A325">
        <v>30</v>
      </c>
      <c r="B325" s="1" t="s">
        <v>15</v>
      </c>
      <c r="C325">
        <v>109401.88</v>
      </c>
      <c r="D325" s="1" t="s">
        <v>660</v>
      </c>
      <c r="E325">
        <v>109401.88</v>
      </c>
      <c r="F325">
        <v>0</v>
      </c>
      <c r="G325" s="1" t="s">
        <v>661</v>
      </c>
      <c r="H325">
        <v>0</v>
      </c>
      <c r="I325">
        <v>0</v>
      </c>
      <c r="J325">
        <v>1</v>
      </c>
      <c r="K325">
        <v>0</v>
      </c>
      <c r="L325">
        <v>6</v>
      </c>
      <c r="M325">
        <v>0</v>
      </c>
      <c r="N325">
        <v>1</v>
      </c>
      <c r="O325">
        <v>109401.88</v>
      </c>
    </row>
    <row r="326" spans="1:15" x14ac:dyDescent="0.3">
      <c r="A326">
        <v>30</v>
      </c>
      <c r="B326" s="1" t="s">
        <v>18</v>
      </c>
      <c r="C326">
        <v>109401.88</v>
      </c>
      <c r="D326" s="1" t="s">
        <v>662</v>
      </c>
      <c r="E326">
        <v>109401.88</v>
      </c>
      <c r="F326">
        <v>0</v>
      </c>
      <c r="G326" s="1" t="s">
        <v>663</v>
      </c>
      <c r="H326">
        <v>245588.62</v>
      </c>
      <c r="I326">
        <v>354990.5</v>
      </c>
      <c r="J326">
        <v>1</v>
      </c>
      <c r="K326">
        <v>0</v>
      </c>
      <c r="L326">
        <v>6</v>
      </c>
      <c r="M326">
        <v>0</v>
      </c>
      <c r="N326">
        <v>1</v>
      </c>
      <c r="O326">
        <v>109401.88</v>
      </c>
    </row>
    <row r="327" spans="1:15" x14ac:dyDescent="0.3">
      <c r="A327">
        <v>31</v>
      </c>
      <c r="B327" s="1" t="s">
        <v>15</v>
      </c>
      <c r="C327">
        <v>335219.49</v>
      </c>
      <c r="D327" s="1" t="s">
        <v>664</v>
      </c>
      <c r="E327">
        <v>335219.49</v>
      </c>
      <c r="F327">
        <v>0</v>
      </c>
      <c r="G327" s="1" t="s">
        <v>665</v>
      </c>
      <c r="H327">
        <v>0</v>
      </c>
      <c r="I327">
        <v>0</v>
      </c>
      <c r="J327">
        <v>1</v>
      </c>
      <c r="K327">
        <v>0</v>
      </c>
      <c r="L327">
        <v>7</v>
      </c>
      <c r="M327">
        <v>0</v>
      </c>
      <c r="N327">
        <v>1</v>
      </c>
      <c r="O327">
        <v>335219.49</v>
      </c>
    </row>
    <row r="328" spans="1:15" x14ac:dyDescent="0.3">
      <c r="A328">
        <v>31</v>
      </c>
      <c r="B328" s="1" t="s">
        <v>18</v>
      </c>
      <c r="C328">
        <v>335219.49</v>
      </c>
      <c r="D328" s="1" t="s">
        <v>666</v>
      </c>
      <c r="E328">
        <v>335219.49</v>
      </c>
      <c r="F328">
        <v>0</v>
      </c>
      <c r="G328" s="1" t="s">
        <v>667</v>
      </c>
      <c r="H328">
        <v>111675.56</v>
      </c>
      <c r="I328">
        <v>446895.05</v>
      </c>
      <c r="J328">
        <v>1</v>
      </c>
      <c r="K328">
        <v>0</v>
      </c>
      <c r="L328">
        <v>7</v>
      </c>
      <c r="M328">
        <v>0</v>
      </c>
      <c r="N328">
        <v>1</v>
      </c>
      <c r="O328">
        <v>335219.49</v>
      </c>
    </row>
    <row r="329" spans="1:15" x14ac:dyDescent="0.3">
      <c r="A329">
        <v>31</v>
      </c>
      <c r="B329" s="1" t="s">
        <v>15</v>
      </c>
      <c r="C329">
        <v>120406.39</v>
      </c>
      <c r="D329" s="1" t="s">
        <v>668</v>
      </c>
      <c r="E329">
        <v>120406.39</v>
      </c>
      <c r="F329">
        <v>0</v>
      </c>
      <c r="G329" s="1" t="s">
        <v>669</v>
      </c>
      <c r="H329">
        <v>0</v>
      </c>
      <c r="I329">
        <v>0</v>
      </c>
      <c r="J329">
        <v>1</v>
      </c>
      <c r="K329">
        <v>0</v>
      </c>
      <c r="L329">
        <v>7</v>
      </c>
      <c r="M329">
        <v>0</v>
      </c>
      <c r="N329">
        <v>1</v>
      </c>
      <c r="O329">
        <v>120406.39</v>
      </c>
    </row>
    <row r="330" spans="1:15" x14ac:dyDescent="0.3">
      <c r="A330">
        <v>31</v>
      </c>
      <c r="B330" s="1" t="s">
        <v>18</v>
      </c>
      <c r="C330">
        <v>120406.39</v>
      </c>
      <c r="D330" s="1" t="s">
        <v>670</v>
      </c>
      <c r="E330">
        <v>120406.39</v>
      </c>
      <c r="F330">
        <v>0</v>
      </c>
      <c r="G330" s="1" t="s">
        <v>671</v>
      </c>
      <c r="H330">
        <v>0</v>
      </c>
      <c r="I330">
        <v>120406.39</v>
      </c>
      <c r="J330">
        <v>1</v>
      </c>
      <c r="K330">
        <v>0</v>
      </c>
      <c r="L330">
        <v>7</v>
      </c>
      <c r="M330">
        <v>0</v>
      </c>
      <c r="N330">
        <v>1</v>
      </c>
      <c r="O330">
        <v>120406.39</v>
      </c>
    </row>
    <row r="331" spans="1:15" x14ac:dyDescent="0.3">
      <c r="A331">
        <v>31</v>
      </c>
      <c r="B331" s="1" t="s">
        <v>15</v>
      </c>
      <c r="C331">
        <v>21516.38</v>
      </c>
      <c r="D331" s="1" t="s">
        <v>672</v>
      </c>
      <c r="E331">
        <v>21516.38</v>
      </c>
      <c r="F331">
        <v>0</v>
      </c>
      <c r="G331" s="1" t="s">
        <v>673</v>
      </c>
      <c r="H331">
        <v>0</v>
      </c>
      <c r="I331">
        <v>0</v>
      </c>
      <c r="J331">
        <v>1</v>
      </c>
      <c r="K331">
        <v>0</v>
      </c>
      <c r="L331">
        <v>7</v>
      </c>
      <c r="M331">
        <v>0</v>
      </c>
      <c r="N331">
        <v>1</v>
      </c>
      <c r="O331">
        <v>21516.38</v>
      </c>
    </row>
    <row r="332" spans="1:15" x14ac:dyDescent="0.3">
      <c r="A332">
        <v>31</v>
      </c>
      <c r="B332" s="1" t="s">
        <v>18</v>
      </c>
      <c r="C332">
        <v>21516.38</v>
      </c>
      <c r="D332" s="1" t="s">
        <v>674</v>
      </c>
      <c r="E332">
        <v>21516.38</v>
      </c>
      <c r="F332">
        <v>0</v>
      </c>
      <c r="G332" s="1" t="s">
        <v>675</v>
      </c>
      <c r="H332">
        <v>900122.84</v>
      </c>
      <c r="I332">
        <v>921639.22</v>
      </c>
      <c r="J332">
        <v>1</v>
      </c>
      <c r="K332">
        <v>0</v>
      </c>
      <c r="L332">
        <v>7</v>
      </c>
      <c r="M332">
        <v>0</v>
      </c>
      <c r="N332">
        <v>1</v>
      </c>
      <c r="O332">
        <v>21516.38</v>
      </c>
    </row>
    <row r="333" spans="1:15" x14ac:dyDescent="0.3">
      <c r="A333">
        <v>31</v>
      </c>
      <c r="B333" s="1" t="s">
        <v>15</v>
      </c>
      <c r="C333">
        <v>378204.02</v>
      </c>
      <c r="D333" s="1" t="s">
        <v>676</v>
      </c>
      <c r="E333">
        <v>378204.02</v>
      </c>
      <c r="F333">
        <v>0</v>
      </c>
      <c r="G333" s="1" t="s">
        <v>677</v>
      </c>
      <c r="H333">
        <v>0</v>
      </c>
      <c r="I333">
        <v>0</v>
      </c>
      <c r="J333">
        <v>1</v>
      </c>
      <c r="K333">
        <v>0</v>
      </c>
      <c r="L333">
        <v>7</v>
      </c>
      <c r="M333">
        <v>0</v>
      </c>
      <c r="N333">
        <v>1</v>
      </c>
      <c r="O333">
        <v>378204.02</v>
      </c>
    </row>
    <row r="334" spans="1:15" x14ac:dyDescent="0.3">
      <c r="A334">
        <v>31</v>
      </c>
      <c r="B334" s="1" t="s">
        <v>18</v>
      </c>
      <c r="C334">
        <v>378204.02</v>
      </c>
      <c r="D334" s="1" t="s">
        <v>678</v>
      </c>
      <c r="E334">
        <v>378204.02</v>
      </c>
      <c r="F334">
        <v>0</v>
      </c>
      <c r="G334" s="1" t="s">
        <v>679</v>
      </c>
      <c r="H334">
        <v>0</v>
      </c>
      <c r="I334">
        <v>378204.02</v>
      </c>
      <c r="J334">
        <v>1</v>
      </c>
      <c r="K334">
        <v>0</v>
      </c>
      <c r="L334">
        <v>7</v>
      </c>
      <c r="M334">
        <v>0</v>
      </c>
      <c r="N334">
        <v>1</v>
      </c>
      <c r="O334">
        <v>378204.02</v>
      </c>
    </row>
    <row r="335" spans="1:15" x14ac:dyDescent="0.3">
      <c r="A335">
        <v>31</v>
      </c>
      <c r="B335" s="1" t="s">
        <v>15</v>
      </c>
      <c r="C335">
        <v>5021186.54</v>
      </c>
      <c r="D335" s="1" t="s">
        <v>680</v>
      </c>
      <c r="E335">
        <v>5021186.54</v>
      </c>
      <c r="F335">
        <v>0</v>
      </c>
      <c r="G335" s="1" t="s">
        <v>681</v>
      </c>
      <c r="H335">
        <v>0</v>
      </c>
      <c r="I335">
        <v>0</v>
      </c>
      <c r="J335">
        <v>1</v>
      </c>
      <c r="K335">
        <v>0</v>
      </c>
      <c r="L335">
        <v>7</v>
      </c>
      <c r="M335">
        <v>0</v>
      </c>
      <c r="N335">
        <v>1</v>
      </c>
      <c r="O335">
        <v>5021186.54</v>
      </c>
    </row>
    <row r="336" spans="1:15" x14ac:dyDescent="0.3">
      <c r="A336">
        <v>31</v>
      </c>
      <c r="B336" s="1" t="s">
        <v>18</v>
      </c>
      <c r="C336">
        <v>5021186.54</v>
      </c>
      <c r="D336" s="1" t="s">
        <v>682</v>
      </c>
      <c r="E336">
        <v>5021186.54</v>
      </c>
      <c r="F336">
        <v>0</v>
      </c>
      <c r="G336" s="1" t="s">
        <v>683</v>
      </c>
      <c r="H336">
        <v>880859.14</v>
      </c>
      <c r="I336">
        <v>5902045.6799999997</v>
      </c>
      <c r="J336">
        <v>1</v>
      </c>
      <c r="K336">
        <v>0</v>
      </c>
      <c r="L336">
        <v>7</v>
      </c>
      <c r="M336">
        <v>0</v>
      </c>
      <c r="N336">
        <v>1</v>
      </c>
      <c r="O336">
        <v>5021186.54</v>
      </c>
    </row>
    <row r="337" spans="1:15" x14ac:dyDescent="0.3">
      <c r="A337">
        <v>31</v>
      </c>
      <c r="B337" s="1" t="s">
        <v>15</v>
      </c>
      <c r="C337">
        <v>587031.19999999995</v>
      </c>
      <c r="D337" s="1" t="s">
        <v>684</v>
      </c>
      <c r="E337">
        <v>587031.19999999995</v>
      </c>
      <c r="F337">
        <v>0</v>
      </c>
      <c r="G337" s="1" t="s">
        <v>685</v>
      </c>
      <c r="H337">
        <v>0</v>
      </c>
      <c r="I337">
        <v>0</v>
      </c>
      <c r="J337">
        <v>1</v>
      </c>
      <c r="K337">
        <v>0</v>
      </c>
      <c r="L337">
        <v>7</v>
      </c>
      <c r="M337">
        <v>0</v>
      </c>
      <c r="N337">
        <v>1</v>
      </c>
      <c r="O337">
        <v>587031.19999999995</v>
      </c>
    </row>
    <row r="338" spans="1:15" x14ac:dyDescent="0.3">
      <c r="A338">
        <v>31</v>
      </c>
      <c r="B338" s="1" t="s">
        <v>18</v>
      </c>
      <c r="C338">
        <v>587031.19999999995</v>
      </c>
      <c r="D338" s="1" t="s">
        <v>686</v>
      </c>
      <c r="E338">
        <v>587031.19999999995</v>
      </c>
      <c r="F338">
        <v>0</v>
      </c>
      <c r="G338" s="1" t="s">
        <v>687</v>
      </c>
      <c r="H338">
        <v>338247.75</v>
      </c>
      <c r="I338">
        <v>925278.94</v>
      </c>
      <c r="J338">
        <v>1</v>
      </c>
      <c r="K338">
        <v>0</v>
      </c>
      <c r="L338">
        <v>7</v>
      </c>
      <c r="M338">
        <v>0</v>
      </c>
      <c r="N338">
        <v>1</v>
      </c>
      <c r="O338">
        <v>587031.19999999995</v>
      </c>
    </row>
    <row r="339" spans="1:15" x14ac:dyDescent="0.3">
      <c r="A339">
        <v>32</v>
      </c>
      <c r="B339" s="1" t="s">
        <v>15</v>
      </c>
      <c r="C339">
        <v>81867.070000000007</v>
      </c>
      <c r="D339" s="1" t="s">
        <v>688</v>
      </c>
      <c r="E339">
        <v>81867.070000000007</v>
      </c>
      <c r="F339">
        <v>0</v>
      </c>
      <c r="G339" s="1" t="s">
        <v>689</v>
      </c>
      <c r="H339">
        <v>0</v>
      </c>
      <c r="I339">
        <v>0</v>
      </c>
      <c r="J339">
        <v>1</v>
      </c>
      <c r="K339">
        <v>0</v>
      </c>
      <c r="L339">
        <v>8</v>
      </c>
      <c r="M339">
        <v>0</v>
      </c>
      <c r="N339">
        <v>1</v>
      </c>
      <c r="O339">
        <v>81867.070000000007</v>
      </c>
    </row>
    <row r="340" spans="1:15" x14ac:dyDescent="0.3">
      <c r="A340">
        <v>32</v>
      </c>
      <c r="B340" s="1" t="s">
        <v>18</v>
      </c>
      <c r="C340">
        <v>81867.070000000007</v>
      </c>
      <c r="D340" s="1" t="s">
        <v>690</v>
      </c>
      <c r="E340">
        <v>81867.070000000007</v>
      </c>
      <c r="F340">
        <v>0</v>
      </c>
      <c r="G340" s="1" t="s">
        <v>691</v>
      </c>
      <c r="H340">
        <v>135117.98000000001</v>
      </c>
      <c r="I340">
        <v>216985.05</v>
      </c>
      <c r="J340">
        <v>1</v>
      </c>
      <c r="K340">
        <v>0</v>
      </c>
      <c r="L340">
        <v>8</v>
      </c>
      <c r="M340">
        <v>0</v>
      </c>
      <c r="N340">
        <v>1</v>
      </c>
      <c r="O340">
        <v>81867.070000000007</v>
      </c>
    </row>
    <row r="341" spans="1:15" x14ac:dyDescent="0.3">
      <c r="A341">
        <v>32</v>
      </c>
      <c r="B341" s="1" t="s">
        <v>15</v>
      </c>
      <c r="C341">
        <v>2023920.09</v>
      </c>
      <c r="D341" s="1" t="s">
        <v>692</v>
      </c>
      <c r="E341">
        <v>2023920.09</v>
      </c>
      <c r="F341">
        <v>0</v>
      </c>
      <c r="G341" s="1" t="s">
        <v>693</v>
      </c>
      <c r="H341">
        <v>0</v>
      </c>
      <c r="I341">
        <v>0</v>
      </c>
      <c r="J341">
        <v>1</v>
      </c>
      <c r="K341">
        <v>0</v>
      </c>
      <c r="L341">
        <v>8</v>
      </c>
      <c r="M341">
        <v>0</v>
      </c>
      <c r="N341">
        <v>1</v>
      </c>
      <c r="O341">
        <v>2023920.09</v>
      </c>
    </row>
    <row r="342" spans="1:15" x14ac:dyDescent="0.3">
      <c r="A342">
        <v>32</v>
      </c>
      <c r="B342" s="1" t="s">
        <v>18</v>
      </c>
      <c r="C342">
        <v>2023920.09</v>
      </c>
      <c r="D342" s="1" t="s">
        <v>694</v>
      </c>
      <c r="E342">
        <v>2023920.09</v>
      </c>
      <c r="F342">
        <v>0</v>
      </c>
      <c r="G342" s="1" t="s">
        <v>695</v>
      </c>
      <c r="H342">
        <v>1530400.88</v>
      </c>
      <c r="I342">
        <v>3554320.97</v>
      </c>
      <c r="J342">
        <v>1</v>
      </c>
      <c r="K342">
        <v>0</v>
      </c>
      <c r="L342">
        <v>8</v>
      </c>
      <c r="M342">
        <v>0</v>
      </c>
      <c r="N342">
        <v>1</v>
      </c>
      <c r="O342">
        <v>2023920.09</v>
      </c>
    </row>
    <row r="343" spans="1:15" x14ac:dyDescent="0.3">
      <c r="A343">
        <v>32</v>
      </c>
      <c r="B343" s="1" t="s">
        <v>15</v>
      </c>
      <c r="C343">
        <v>404165.06</v>
      </c>
      <c r="D343" s="1" t="s">
        <v>696</v>
      </c>
      <c r="E343">
        <v>404165.06</v>
      </c>
      <c r="F343">
        <v>0</v>
      </c>
      <c r="G343" s="1" t="s">
        <v>697</v>
      </c>
      <c r="H343">
        <v>0</v>
      </c>
      <c r="I343">
        <v>0</v>
      </c>
      <c r="J343">
        <v>1</v>
      </c>
      <c r="K343">
        <v>0</v>
      </c>
      <c r="L343">
        <v>8</v>
      </c>
      <c r="M343">
        <v>0</v>
      </c>
      <c r="N343">
        <v>1</v>
      </c>
      <c r="O343">
        <v>404165.06</v>
      </c>
    </row>
    <row r="344" spans="1:15" x14ac:dyDescent="0.3">
      <c r="A344">
        <v>32</v>
      </c>
      <c r="B344" s="1" t="s">
        <v>18</v>
      </c>
      <c r="C344">
        <v>404165.06</v>
      </c>
      <c r="D344" s="1" t="s">
        <v>698</v>
      </c>
      <c r="E344">
        <v>404165.06</v>
      </c>
      <c r="F344">
        <v>0</v>
      </c>
      <c r="G344" s="1" t="s">
        <v>699</v>
      </c>
      <c r="H344">
        <v>0</v>
      </c>
      <c r="I344">
        <v>404165.06</v>
      </c>
      <c r="J344">
        <v>1</v>
      </c>
      <c r="K344">
        <v>0</v>
      </c>
      <c r="L344">
        <v>8</v>
      </c>
      <c r="M344">
        <v>0</v>
      </c>
      <c r="N344">
        <v>1</v>
      </c>
      <c r="O344">
        <v>404165.06</v>
      </c>
    </row>
    <row r="345" spans="1:15" x14ac:dyDescent="0.3">
      <c r="A345">
        <v>32</v>
      </c>
      <c r="B345" s="1" t="s">
        <v>15</v>
      </c>
      <c r="C345">
        <v>1164448.96</v>
      </c>
      <c r="D345" s="1" t="s">
        <v>700</v>
      </c>
      <c r="E345">
        <v>1164448.96</v>
      </c>
      <c r="F345">
        <v>0</v>
      </c>
      <c r="G345" s="1" t="s">
        <v>701</v>
      </c>
      <c r="H345">
        <v>0</v>
      </c>
      <c r="I345">
        <v>0</v>
      </c>
      <c r="J345">
        <v>1</v>
      </c>
      <c r="K345">
        <v>0</v>
      </c>
      <c r="L345">
        <v>8</v>
      </c>
      <c r="M345">
        <v>0</v>
      </c>
      <c r="N345">
        <v>1</v>
      </c>
      <c r="O345">
        <v>1164448.96</v>
      </c>
    </row>
    <row r="346" spans="1:15" x14ac:dyDescent="0.3">
      <c r="A346">
        <v>32</v>
      </c>
      <c r="B346" s="1" t="s">
        <v>18</v>
      </c>
      <c r="C346">
        <v>1164448.96</v>
      </c>
      <c r="D346" s="1" t="s">
        <v>702</v>
      </c>
      <c r="E346">
        <v>1164448.96</v>
      </c>
      <c r="F346">
        <v>0</v>
      </c>
      <c r="G346" s="1" t="s">
        <v>703</v>
      </c>
      <c r="H346">
        <v>1080246.3400000001</v>
      </c>
      <c r="I346">
        <v>2244695.29</v>
      </c>
      <c r="J346">
        <v>1</v>
      </c>
      <c r="K346">
        <v>0</v>
      </c>
      <c r="L346">
        <v>8</v>
      </c>
      <c r="M346">
        <v>0</v>
      </c>
      <c r="N346">
        <v>1</v>
      </c>
      <c r="O346">
        <v>1164448.96</v>
      </c>
    </row>
    <row r="347" spans="1:15" x14ac:dyDescent="0.3">
      <c r="A347">
        <v>32</v>
      </c>
      <c r="B347" s="1" t="s">
        <v>15</v>
      </c>
      <c r="C347">
        <v>401575.19</v>
      </c>
      <c r="D347" s="1" t="s">
        <v>704</v>
      </c>
      <c r="E347">
        <v>401575.19</v>
      </c>
      <c r="F347">
        <v>0</v>
      </c>
      <c r="G347" s="1" t="s">
        <v>705</v>
      </c>
      <c r="H347">
        <v>0</v>
      </c>
      <c r="I347">
        <v>0</v>
      </c>
      <c r="J347">
        <v>1</v>
      </c>
      <c r="K347">
        <v>0</v>
      </c>
      <c r="L347">
        <v>8</v>
      </c>
      <c r="M347">
        <v>0</v>
      </c>
      <c r="N347">
        <v>1</v>
      </c>
      <c r="O347">
        <v>401575.19</v>
      </c>
    </row>
    <row r="348" spans="1:15" x14ac:dyDescent="0.3">
      <c r="A348">
        <v>32</v>
      </c>
      <c r="B348" s="1" t="s">
        <v>18</v>
      </c>
      <c r="C348">
        <v>401575.19</v>
      </c>
      <c r="D348" s="1" t="s">
        <v>706</v>
      </c>
      <c r="E348">
        <v>401575.19</v>
      </c>
      <c r="F348">
        <v>0</v>
      </c>
      <c r="G348" s="1" t="s">
        <v>707</v>
      </c>
      <c r="H348">
        <v>0</v>
      </c>
      <c r="I348">
        <v>401575.19</v>
      </c>
      <c r="J348">
        <v>1</v>
      </c>
      <c r="K348">
        <v>0</v>
      </c>
      <c r="L348">
        <v>8</v>
      </c>
      <c r="M348">
        <v>0</v>
      </c>
      <c r="N348">
        <v>1</v>
      </c>
      <c r="O348">
        <v>401575.19</v>
      </c>
    </row>
    <row r="349" spans="1:15" x14ac:dyDescent="0.3">
      <c r="A349">
        <v>32</v>
      </c>
      <c r="B349" s="1" t="s">
        <v>15</v>
      </c>
      <c r="C349">
        <v>604933.67000000004</v>
      </c>
      <c r="D349" s="1" t="s">
        <v>708</v>
      </c>
      <c r="E349">
        <v>604933.67000000004</v>
      </c>
      <c r="F349">
        <v>0</v>
      </c>
      <c r="G349" s="1" t="s">
        <v>709</v>
      </c>
      <c r="H349">
        <v>0</v>
      </c>
      <c r="I349">
        <v>0</v>
      </c>
      <c r="J349">
        <v>1</v>
      </c>
      <c r="K349">
        <v>0</v>
      </c>
      <c r="L349">
        <v>8</v>
      </c>
      <c r="M349">
        <v>0</v>
      </c>
      <c r="N349">
        <v>1</v>
      </c>
      <c r="O349">
        <v>604933.67000000004</v>
      </c>
    </row>
    <row r="350" spans="1:15" x14ac:dyDescent="0.3">
      <c r="A350">
        <v>32</v>
      </c>
      <c r="B350" s="1" t="s">
        <v>18</v>
      </c>
      <c r="C350">
        <v>604933.67000000004</v>
      </c>
      <c r="D350" s="1" t="s">
        <v>710</v>
      </c>
      <c r="E350">
        <v>604933.67000000004</v>
      </c>
      <c r="F350">
        <v>0</v>
      </c>
      <c r="G350" s="1" t="s">
        <v>711</v>
      </c>
      <c r="H350">
        <v>35839.699999999997</v>
      </c>
      <c r="I350">
        <v>640773.38</v>
      </c>
      <c r="J350">
        <v>1</v>
      </c>
      <c r="K350">
        <v>0</v>
      </c>
      <c r="L350">
        <v>8</v>
      </c>
      <c r="M350">
        <v>0</v>
      </c>
      <c r="N350">
        <v>1</v>
      </c>
      <c r="O350">
        <v>604933.67000000004</v>
      </c>
    </row>
    <row r="351" spans="1:15" x14ac:dyDescent="0.3">
      <c r="A351">
        <v>33</v>
      </c>
      <c r="B351" s="1" t="s">
        <v>15</v>
      </c>
      <c r="C351">
        <v>3295227.84</v>
      </c>
      <c r="D351" s="1" t="s">
        <v>712</v>
      </c>
      <c r="E351">
        <v>3295227.84</v>
      </c>
      <c r="F351">
        <v>0</v>
      </c>
      <c r="G351" s="1" t="s">
        <v>713</v>
      </c>
      <c r="H351">
        <v>0</v>
      </c>
      <c r="I351">
        <v>0</v>
      </c>
      <c r="J351">
        <v>1</v>
      </c>
      <c r="K351">
        <v>0</v>
      </c>
      <c r="L351">
        <v>9</v>
      </c>
      <c r="M351">
        <v>0</v>
      </c>
      <c r="N351">
        <v>1</v>
      </c>
      <c r="O351">
        <v>3295227.84</v>
      </c>
    </row>
    <row r="352" spans="1:15" x14ac:dyDescent="0.3">
      <c r="A352">
        <v>33</v>
      </c>
      <c r="B352" s="1" t="s">
        <v>18</v>
      </c>
      <c r="C352">
        <v>3295227.84</v>
      </c>
      <c r="D352" s="1" t="s">
        <v>714</v>
      </c>
      <c r="E352">
        <v>3295227.84</v>
      </c>
      <c r="F352">
        <v>0</v>
      </c>
      <c r="G352" s="1" t="s">
        <v>715</v>
      </c>
      <c r="H352">
        <v>0</v>
      </c>
      <c r="I352">
        <v>4002861.53</v>
      </c>
      <c r="J352">
        <v>1</v>
      </c>
      <c r="K352">
        <v>0</v>
      </c>
      <c r="L352">
        <v>9</v>
      </c>
      <c r="M352">
        <v>0</v>
      </c>
      <c r="N352">
        <v>1</v>
      </c>
      <c r="O352">
        <v>3295227.84</v>
      </c>
    </row>
    <row r="353" spans="1:15" x14ac:dyDescent="0.3">
      <c r="A353">
        <v>33</v>
      </c>
      <c r="B353" s="1" t="s">
        <v>15</v>
      </c>
      <c r="C353">
        <v>214975.9</v>
      </c>
      <c r="D353" s="1" t="s">
        <v>716</v>
      </c>
      <c r="E353">
        <v>214975.9</v>
      </c>
      <c r="F353">
        <v>0</v>
      </c>
      <c r="G353" s="1" t="s">
        <v>717</v>
      </c>
      <c r="H353">
        <v>0</v>
      </c>
      <c r="I353">
        <v>0</v>
      </c>
      <c r="J353">
        <v>1</v>
      </c>
      <c r="K353">
        <v>0</v>
      </c>
      <c r="L353">
        <v>9</v>
      </c>
      <c r="M353">
        <v>0</v>
      </c>
      <c r="N353">
        <v>1</v>
      </c>
      <c r="O353">
        <v>214975.9</v>
      </c>
    </row>
    <row r="354" spans="1:15" x14ac:dyDescent="0.3">
      <c r="A354">
        <v>33</v>
      </c>
      <c r="B354" s="1" t="s">
        <v>18</v>
      </c>
      <c r="C354">
        <v>214975.9</v>
      </c>
      <c r="D354" s="1" t="s">
        <v>718</v>
      </c>
      <c r="E354">
        <v>214975.9</v>
      </c>
      <c r="F354">
        <v>0</v>
      </c>
      <c r="G354" s="1" t="s">
        <v>719</v>
      </c>
      <c r="H354">
        <v>152331.28</v>
      </c>
      <c r="I354">
        <v>374513.69</v>
      </c>
      <c r="J354">
        <v>1</v>
      </c>
      <c r="K354">
        <v>0</v>
      </c>
      <c r="L354">
        <v>9</v>
      </c>
      <c r="M354">
        <v>0</v>
      </c>
      <c r="N354">
        <v>1</v>
      </c>
      <c r="O354">
        <v>214975.9</v>
      </c>
    </row>
    <row r="355" spans="1:15" x14ac:dyDescent="0.3">
      <c r="A355">
        <v>33</v>
      </c>
      <c r="B355" s="1" t="s">
        <v>15</v>
      </c>
      <c r="C355">
        <v>10000000</v>
      </c>
      <c r="D355" s="1" t="s">
        <v>720</v>
      </c>
      <c r="E355">
        <v>19900000</v>
      </c>
      <c r="F355">
        <v>9887819.0600000005</v>
      </c>
      <c r="G355" s="1" t="s">
        <v>721</v>
      </c>
      <c r="H355">
        <v>0</v>
      </c>
      <c r="I355">
        <v>0</v>
      </c>
      <c r="J355">
        <v>1</v>
      </c>
      <c r="K355">
        <v>0</v>
      </c>
      <c r="L355">
        <v>9</v>
      </c>
      <c r="M355">
        <v>1</v>
      </c>
      <c r="N355">
        <v>0</v>
      </c>
      <c r="O355">
        <v>10012180.939999999</v>
      </c>
    </row>
    <row r="356" spans="1:15" x14ac:dyDescent="0.3">
      <c r="A356">
        <v>33</v>
      </c>
      <c r="B356" s="1" t="s">
        <v>18</v>
      </c>
      <c r="C356">
        <v>10000000</v>
      </c>
      <c r="D356" s="1" t="s">
        <v>722</v>
      </c>
      <c r="E356">
        <v>10000000</v>
      </c>
      <c r="F356">
        <v>0</v>
      </c>
      <c r="G356" s="1" t="s">
        <v>723</v>
      </c>
      <c r="H356">
        <v>0</v>
      </c>
      <c r="I356">
        <v>10000000</v>
      </c>
      <c r="J356">
        <v>1</v>
      </c>
      <c r="K356">
        <v>0</v>
      </c>
      <c r="L356">
        <v>9</v>
      </c>
      <c r="M356">
        <v>1</v>
      </c>
      <c r="N356">
        <v>1</v>
      </c>
      <c r="O356">
        <v>10000000</v>
      </c>
    </row>
    <row r="357" spans="1:15" x14ac:dyDescent="0.3">
      <c r="A357">
        <v>33</v>
      </c>
      <c r="B357" s="1" t="s">
        <v>15</v>
      </c>
      <c r="C357">
        <v>9887819.0600000005</v>
      </c>
      <c r="D357" s="1" t="s">
        <v>724</v>
      </c>
      <c r="E357">
        <v>9887819.0600000005</v>
      </c>
      <c r="F357">
        <v>0</v>
      </c>
      <c r="G357" s="1" t="s">
        <v>725</v>
      </c>
      <c r="H357">
        <v>0</v>
      </c>
      <c r="I357">
        <v>0</v>
      </c>
      <c r="J357">
        <v>1</v>
      </c>
      <c r="K357">
        <v>0</v>
      </c>
      <c r="L357">
        <v>9</v>
      </c>
      <c r="M357">
        <v>0</v>
      </c>
      <c r="N357">
        <v>1</v>
      </c>
      <c r="O357">
        <v>9887819.0600000005</v>
      </c>
    </row>
    <row r="358" spans="1:15" x14ac:dyDescent="0.3">
      <c r="A358">
        <v>33</v>
      </c>
      <c r="B358" s="1" t="s">
        <v>18</v>
      </c>
      <c r="C358">
        <v>9887819.0600000005</v>
      </c>
      <c r="D358" s="1" t="s">
        <v>726</v>
      </c>
      <c r="E358">
        <v>9887819.0600000005</v>
      </c>
      <c r="F358">
        <v>0</v>
      </c>
      <c r="G358" s="1" t="s">
        <v>727</v>
      </c>
      <c r="H358">
        <v>801913.95</v>
      </c>
      <c r="I358">
        <v>10200000</v>
      </c>
      <c r="J358">
        <v>1</v>
      </c>
      <c r="K358">
        <v>0</v>
      </c>
      <c r="L358">
        <v>9</v>
      </c>
      <c r="M358">
        <v>0</v>
      </c>
      <c r="N358">
        <v>1</v>
      </c>
      <c r="O358">
        <v>9887819.0600000005</v>
      </c>
    </row>
    <row r="359" spans="1:15" x14ac:dyDescent="0.3">
      <c r="A359">
        <v>33</v>
      </c>
      <c r="B359" s="1" t="s">
        <v>15</v>
      </c>
      <c r="C359">
        <v>1448630.38</v>
      </c>
      <c r="D359" s="1" t="s">
        <v>728</v>
      </c>
      <c r="E359">
        <v>1448630.38</v>
      </c>
      <c r="F359">
        <v>0</v>
      </c>
      <c r="G359" s="1" t="s">
        <v>729</v>
      </c>
      <c r="H359">
        <v>0</v>
      </c>
      <c r="I359">
        <v>0</v>
      </c>
      <c r="J359">
        <v>1</v>
      </c>
      <c r="K359">
        <v>0</v>
      </c>
      <c r="L359">
        <v>9</v>
      </c>
      <c r="M359">
        <v>0</v>
      </c>
      <c r="N359">
        <v>1</v>
      </c>
      <c r="O359">
        <v>1448630.38</v>
      </c>
    </row>
    <row r="360" spans="1:15" x14ac:dyDescent="0.3">
      <c r="A360">
        <v>33</v>
      </c>
      <c r="B360" s="1" t="s">
        <v>18</v>
      </c>
      <c r="C360">
        <v>1448630.38</v>
      </c>
      <c r="D360" s="1" t="s">
        <v>730</v>
      </c>
      <c r="E360">
        <v>1448630.38</v>
      </c>
      <c r="F360">
        <v>0</v>
      </c>
      <c r="G360" s="1" t="s">
        <v>731</v>
      </c>
      <c r="H360">
        <v>1294571.45</v>
      </c>
      <c r="I360">
        <v>2743201.82</v>
      </c>
      <c r="J360">
        <v>1</v>
      </c>
      <c r="K360">
        <v>0</v>
      </c>
      <c r="L360">
        <v>9</v>
      </c>
      <c r="M360">
        <v>0</v>
      </c>
      <c r="N360">
        <v>1</v>
      </c>
      <c r="O360">
        <v>1448630.38</v>
      </c>
    </row>
    <row r="361" spans="1:15" x14ac:dyDescent="0.3">
      <c r="A361">
        <v>33</v>
      </c>
      <c r="B361" s="1" t="s">
        <v>15</v>
      </c>
      <c r="C361">
        <v>6648389.9000000004</v>
      </c>
      <c r="D361" s="1" t="s">
        <v>732</v>
      </c>
      <c r="E361">
        <v>6648389.9000000004</v>
      </c>
      <c r="F361">
        <v>0</v>
      </c>
      <c r="G361" s="1" t="s">
        <v>733</v>
      </c>
      <c r="H361">
        <v>0</v>
      </c>
      <c r="I361">
        <v>0</v>
      </c>
      <c r="J361">
        <v>1</v>
      </c>
      <c r="K361">
        <v>0</v>
      </c>
      <c r="L361">
        <v>9</v>
      </c>
      <c r="M361">
        <v>0</v>
      </c>
      <c r="N361">
        <v>1</v>
      </c>
      <c r="O361">
        <v>6648389.9000000004</v>
      </c>
    </row>
    <row r="362" spans="1:15" x14ac:dyDescent="0.3">
      <c r="A362">
        <v>33</v>
      </c>
      <c r="B362" s="1" t="s">
        <v>18</v>
      </c>
      <c r="C362">
        <v>6648389.9000000004</v>
      </c>
      <c r="D362" s="1" t="s">
        <v>734</v>
      </c>
      <c r="E362">
        <v>6648389.9000000004</v>
      </c>
      <c r="F362">
        <v>0</v>
      </c>
      <c r="G362" s="1" t="s">
        <v>735</v>
      </c>
      <c r="H362">
        <v>2609209.5499999998</v>
      </c>
      <c r="I362">
        <v>9257599.4499999993</v>
      </c>
      <c r="J362">
        <v>1</v>
      </c>
      <c r="K362">
        <v>0</v>
      </c>
      <c r="L362">
        <v>9</v>
      </c>
      <c r="M362">
        <v>0</v>
      </c>
      <c r="N362">
        <v>1</v>
      </c>
      <c r="O362">
        <v>6648389.9000000004</v>
      </c>
    </row>
    <row r="363" spans="1:15" x14ac:dyDescent="0.3">
      <c r="A363">
        <v>34</v>
      </c>
      <c r="B363" s="1" t="s">
        <v>15</v>
      </c>
      <c r="C363">
        <v>51424.22</v>
      </c>
      <c r="D363" s="1" t="s">
        <v>736</v>
      </c>
      <c r="E363">
        <v>51424.22</v>
      </c>
      <c r="F363">
        <v>0</v>
      </c>
      <c r="G363" s="1" t="s">
        <v>737</v>
      </c>
      <c r="H363">
        <v>0</v>
      </c>
      <c r="I363">
        <v>0</v>
      </c>
      <c r="J363">
        <v>1</v>
      </c>
      <c r="K363">
        <v>0</v>
      </c>
      <c r="L363">
        <v>10</v>
      </c>
      <c r="M363">
        <v>0</v>
      </c>
      <c r="N363">
        <v>1</v>
      </c>
      <c r="O363">
        <v>51424.22</v>
      </c>
    </row>
    <row r="364" spans="1:15" x14ac:dyDescent="0.3">
      <c r="A364">
        <v>34</v>
      </c>
      <c r="B364" s="1" t="s">
        <v>18</v>
      </c>
      <c r="C364">
        <v>51424.22</v>
      </c>
      <c r="D364" s="1" t="s">
        <v>738</v>
      </c>
      <c r="E364">
        <v>51424.22</v>
      </c>
      <c r="F364">
        <v>0</v>
      </c>
      <c r="G364" s="1" t="s">
        <v>739</v>
      </c>
      <c r="H364">
        <v>87252.78</v>
      </c>
      <c r="I364">
        <v>138677</v>
      </c>
      <c r="J364">
        <v>1</v>
      </c>
      <c r="K364">
        <v>0</v>
      </c>
      <c r="L364">
        <v>10</v>
      </c>
      <c r="M364">
        <v>0</v>
      </c>
      <c r="N364">
        <v>1</v>
      </c>
      <c r="O364">
        <v>51424.22</v>
      </c>
    </row>
    <row r="365" spans="1:15" x14ac:dyDescent="0.3">
      <c r="A365">
        <v>34</v>
      </c>
      <c r="B365" s="1" t="s">
        <v>15</v>
      </c>
      <c r="C365">
        <v>428239.03</v>
      </c>
      <c r="D365" s="1" t="s">
        <v>740</v>
      </c>
      <c r="E365">
        <v>428239.03</v>
      </c>
      <c r="F365">
        <v>0</v>
      </c>
      <c r="G365" s="1" t="s">
        <v>741</v>
      </c>
      <c r="H365">
        <v>0</v>
      </c>
      <c r="I365">
        <v>0</v>
      </c>
      <c r="J365">
        <v>1</v>
      </c>
      <c r="K365">
        <v>0</v>
      </c>
      <c r="L365">
        <v>10</v>
      </c>
      <c r="M365">
        <v>0</v>
      </c>
      <c r="N365">
        <v>1</v>
      </c>
      <c r="O365">
        <v>428239.03</v>
      </c>
    </row>
    <row r="366" spans="1:15" x14ac:dyDescent="0.3">
      <c r="A366">
        <v>34</v>
      </c>
      <c r="B366" s="1" t="s">
        <v>18</v>
      </c>
      <c r="C366">
        <v>428239.03</v>
      </c>
      <c r="D366" s="1" t="s">
        <v>742</v>
      </c>
      <c r="E366">
        <v>428239.03</v>
      </c>
      <c r="F366">
        <v>0</v>
      </c>
      <c r="G366" s="1" t="s">
        <v>743</v>
      </c>
      <c r="H366">
        <v>293130.02</v>
      </c>
      <c r="I366">
        <v>1456009.92</v>
      </c>
      <c r="J366">
        <v>1</v>
      </c>
      <c r="K366">
        <v>0</v>
      </c>
      <c r="L366">
        <v>10</v>
      </c>
      <c r="M366">
        <v>0</v>
      </c>
      <c r="N366">
        <v>1</v>
      </c>
      <c r="O366">
        <v>428239.03</v>
      </c>
    </row>
    <row r="367" spans="1:15" x14ac:dyDescent="0.3">
      <c r="A367">
        <v>34</v>
      </c>
      <c r="B367" s="1" t="s">
        <v>15</v>
      </c>
      <c r="C367">
        <v>52557.21</v>
      </c>
      <c r="D367" s="1" t="s">
        <v>744</v>
      </c>
      <c r="E367">
        <v>52557.21</v>
      </c>
      <c r="F367">
        <v>0</v>
      </c>
      <c r="G367" s="1" t="s">
        <v>745</v>
      </c>
      <c r="H367">
        <v>0</v>
      </c>
      <c r="I367">
        <v>0</v>
      </c>
      <c r="J367">
        <v>1</v>
      </c>
      <c r="K367">
        <v>0</v>
      </c>
      <c r="L367">
        <v>10</v>
      </c>
      <c r="M367">
        <v>0</v>
      </c>
      <c r="N367">
        <v>1</v>
      </c>
      <c r="O367">
        <v>52557.21</v>
      </c>
    </row>
    <row r="368" spans="1:15" x14ac:dyDescent="0.3">
      <c r="A368">
        <v>34</v>
      </c>
      <c r="B368" s="1" t="s">
        <v>18</v>
      </c>
      <c r="C368">
        <v>52557.21</v>
      </c>
      <c r="D368" s="1" t="s">
        <v>746</v>
      </c>
      <c r="E368">
        <v>52557.21</v>
      </c>
      <c r="F368">
        <v>0</v>
      </c>
      <c r="G368" s="1" t="s">
        <v>747</v>
      </c>
      <c r="H368">
        <v>0</v>
      </c>
      <c r="I368">
        <v>52557.21</v>
      </c>
      <c r="J368">
        <v>1</v>
      </c>
      <c r="K368">
        <v>0</v>
      </c>
      <c r="L368">
        <v>10</v>
      </c>
      <c r="M368">
        <v>0</v>
      </c>
      <c r="N368">
        <v>1</v>
      </c>
      <c r="O368">
        <v>52557.21</v>
      </c>
    </row>
    <row r="369" spans="1:15" x14ac:dyDescent="0.3">
      <c r="A369">
        <v>34</v>
      </c>
      <c r="B369" s="1" t="s">
        <v>15</v>
      </c>
      <c r="C369">
        <v>1462355.44</v>
      </c>
      <c r="D369" s="1" t="s">
        <v>748</v>
      </c>
      <c r="E369">
        <v>1462355.44</v>
      </c>
      <c r="F369">
        <v>0</v>
      </c>
      <c r="G369" s="1" t="s">
        <v>749</v>
      </c>
      <c r="H369">
        <v>0</v>
      </c>
      <c r="I369">
        <v>0</v>
      </c>
      <c r="J369">
        <v>1</v>
      </c>
      <c r="K369">
        <v>0</v>
      </c>
      <c r="L369">
        <v>10</v>
      </c>
      <c r="M369">
        <v>0</v>
      </c>
      <c r="N369">
        <v>1</v>
      </c>
      <c r="O369">
        <v>1462355.44</v>
      </c>
    </row>
    <row r="370" spans="1:15" x14ac:dyDescent="0.3">
      <c r="A370">
        <v>34</v>
      </c>
      <c r="B370" s="1" t="s">
        <v>18</v>
      </c>
      <c r="C370">
        <v>1462355.44</v>
      </c>
      <c r="D370" s="1" t="s">
        <v>750</v>
      </c>
      <c r="E370">
        <v>1462355.44</v>
      </c>
      <c r="F370">
        <v>0</v>
      </c>
      <c r="G370" s="1" t="s">
        <v>751</v>
      </c>
      <c r="H370">
        <v>1544724.84</v>
      </c>
      <c r="I370">
        <v>3007080.29</v>
      </c>
      <c r="J370">
        <v>1</v>
      </c>
      <c r="K370">
        <v>0</v>
      </c>
      <c r="L370">
        <v>10</v>
      </c>
      <c r="M370">
        <v>0</v>
      </c>
      <c r="N370">
        <v>1</v>
      </c>
      <c r="O370">
        <v>1462355.44</v>
      </c>
    </row>
    <row r="371" spans="1:15" x14ac:dyDescent="0.3">
      <c r="A371">
        <v>34</v>
      </c>
      <c r="B371" s="1" t="s">
        <v>15</v>
      </c>
      <c r="C371">
        <v>27951.26</v>
      </c>
      <c r="D371" s="1" t="s">
        <v>752</v>
      </c>
      <c r="E371">
        <v>27951.26</v>
      </c>
      <c r="F371">
        <v>0</v>
      </c>
      <c r="G371" s="1" t="s">
        <v>753</v>
      </c>
      <c r="H371">
        <v>0</v>
      </c>
      <c r="I371">
        <v>0</v>
      </c>
      <c r="J371">
        <v>1</v>
      </c>
      <c r="K371">
        <v>0</v>
      </c>
      <c r="L371">
        <v>10</v>
      </c>
      <c r="M371">
        <v>0</v>
      </c>
      <c r="N371">
        <v>1</v>
      </c>
      <c r="O371">
        <v>27951.26</v>
      </c>
    </row>
    <row r="372" spans="1:15" x14ac:dyDescent="0.3">
      <c r="A372">
        <v>34</v>
      </c>
      <c r="B372" s="1" t="s">
        <v>18</v>
      </c>
      <c r="C372">
        <v>27951.26</v>
      </c>
      <c r="D372" s="1" t="s">
        <v>754</v>
      </c>
      <c r="E372">
        <v>27951.26</v>
      </c>
      <c r="F372">
        <v>0</v>
      </c>
      <c r="G372" s="1" t="s">
        <v>755</v>
      </c>
      <c r="H372">
        <v>10439</v>
      </c>
      <c r="I372">
        <v>698752.71</v>
      </c>
      <c r="J372">
        <v>1</v>
      </c>
      <c r="K372">
        <v>0</v>
      </c>
      <c r="L372">
        <v>10</v>
      </c>
      <c r="M372">
        <v>0</v>
      </c>
      <c r="N372">
        <v>1</v>
      </c>
      <c r="O372">
        <v>27951.26</v>
      </c>
    </row>
    <row r="373" spans="1:15" x14ac:dyDescent="0.3">
      <c r="A373">
        <v>34</v>
      </c>
      <c r="B373" s="1" t="s">
        <v>15</v>
      </c>
      <c r="C373">
        <v>989311.12</v>
      </c>
      <c r="D373" s="1" t="s">
        <v>756</v>
      </c>
      <c r="E373">
        <v>989311.12</v>
      </c>
      <c r="F373">
        <v>0</v>
      </c>
      <c r="G373" s="1" t="s">
        <v>757</v>
      </c>
      <c r="H373">
        <v>0</v>
      </c>
      <c r="I373">
        <v>0</v>
      </c>
      <c r="J373">
        <v>1</v>
      </c>
      <c r="K373">
        <v>0</v>
      </c>
      <c r="L373">
        <v>10</v>
      </c>
      <c r="M373">
        <v>0</v>
      </c>
      <c r="N373">
        <v>1</v>
      </c>
      <c r="O373">
        <v>989311.12</v>
      </c>
    </row>
    <row r="374" spans="1:15" x14ac:dyDescent="0.3">
      <c r="A374">
        <v>34</v>
      </c>
      <c r="B374" s="1" t="s">
        <v>18</v>
      </c>
      <c r="C374">
        <v>989311.12</v>
      </c>
      <c r="D374" s="1" t="s">
        <v>758</v>
      </c>
      <c r="E374">
        <v>989311.12</v>
      </c>
      <c r="F374">
        <v>0</v>
      </c>
      <c r="G374" s="1" t="s">
        <v>759</v>
      </c>
      <c r="H374">
        <v>1009370.24</v>
      </c>
      <c r="I374">
        <v>1998681.36</v>
      </c>
      <c r="J374">
        <v>1</v>
      </c>
      <c r="K374">
        <v>0</v>
      </c>
      <c r="L374">
        <v>10</v>
      </c>
      <c r="M374">
        <v>0</v>
      </c>
      <c r="N374">
        <v>1</v>
      </c>
      <c r="O374">
        <v>989311.12</v>
      </c>
    </row>
    <row r="375" spans="1:15" x14ac:dyDescent="0.3">
      <c r="A375">
        <v>34</v>
      </c>
      <c r="B375" s="1" t="s">
        <v>15</v>
      </c>
      <c r="C375">
        <v>865948.49</v>
      </c>
      <c r="D375" s="1" t="s">
        <v>760</v>
      </c>
      <c r="E375">
        <v>865948.49</v>
      </c>
      <c r="F375">
        <v>0</v>
      </c>
      <c r="G375" s="1" t="s">
        <v>761</v>
      </c>
      <c r="H375">
        <v>0</v>
      </c>
      <c r="I375">
        <v>0</v>
      </c>
      <c r="J375">
        <v>1</v>
      </c>
      <c r="K375">
        <v>0</v>
      </c>
      <c r="L375">
        <v>10</v>
      </c>
      <c r="M375">
        <v>0</v>
      </c>
      <c r="N375">
        <v>1</v>
      </c>
      <c r="O375">
        <v>865948.49</v>
      </c>
    </row>
    <row r="376" spans="1:15" x14ac:dyDescent="0.3">
      <c r="A376">
        <v>34</v>
      </c>
      <c r="B376" s="1" t="s">
        <v>18</v>
      </c>
      <c r="C376">
        <v>865948.49</v>
      </c>
      <c r="D376" s="1" t="s">
        <v>762</v>
      </c>
      <c r="E376">
        <v>865948.49</v>
      </c>
      <c r="F376">
        <v>0</v>
      </c>
      <c r="G376" s="1" t="s">
        <v>763</v>
      </c>
      <c r="H376">
        <v>0</v>
      </c>
      <c r="I376">
        <v>865948.49</v>
      </c>
      <c r="J376">
        <v>1</v>
      </c>
      <c r="K376">
        <v>0</v>
      </c>
      <c r="L376">
        <v>10</v>
      </c>
      <c r="M376">
        <v>0</v>
      </c>
      <c r="N376">
        <v>1</v>
      </c>
      <c r="O376">
        <v>865948.49</v>
      </c>
    </row>
    <row r="377" spans="1:15" x14ac:dyDescent="0.3">
      <c r="A377">
        <v>34</v>
      </c>
      <c r="B377" s="1" t="s">
        <v>15</v>
      </c>
      <c r="C377">
        <v>30917.39</v>
      </c>
      <c r="D377" s="1" t="s">
        <v>764</v>
      </c>
      <c r="E377">
        <v>30917.39</v>
      </c>
      <c r="F377">
        <v>0</v>
      </c>
      <c r="G377" s="1" t="s">
        <v>765</v>
      </c>
      <c r="H377">
        <v>0</v>
      </c>
      <c r="I377">
        <v>0</v>
      </c>
      <c r="J377">
        <v>1</v>
      </c>
      <c r="K377">
        <v>0</v>
      </c>
      <c r="L377">
        <v>10</v>
      </c>
      <c r="M377">
        <v>0</v>
      </c>
      <c r="N377">
        <v>1</v>
      </c>
      <c r="O377">
        <v>30917.39</v>
      </c>
    </row>
    <row r="378" spans="1:15" x14ac:dyDescent="0.3">
      <c r="A378">
        <v>34</v>
      </c>
      <c r="B378" s="1" t="s">
        <v>18</v>
      </c>
      <c r="C378">
        <v>30917.39</v>
      </c>
      <c r="D378" s="1" t="s">
        <v>766</v>
      </c>
      <c r="E378">
        <v>30917.39</v>
      </c>
      <c r="F378">
        <v>0</v>
      </c>
      <c r="G378" s="1" t="s">
        <v>767</v>
      </c>
      <c r="H378">
        <v>339926.42</v>
      </c>
      <c r="I378">
        <v>370843.82</v>
      </c>
      <c r="J378">
        <v>1</v>
      </c>
      <c r="K378">
        <v>0</v>
      </c>
      <c r="L378">
        <v>10</v>
      </c>
      <c r="M378">
        <v>0</v>
      </c>
      <c r="N378">
        <v>1</v>
      </c>
      <c r="O378">
        <v>30917.39</v>
      </c>
    </row>
    <row r="379" spans="1:15" x14ac:dyDescent="0.3">
      <c r="A379">
        <v>34</v>
      </c>
      <c r="B379" s="1" t="s">
        <v>15</v>
      </c>
      <c r="C379">
        <v>40458</v>
      </c>
      <c r="D379" s="1" t="s">
        <v>768</v>
      </c>
      <c r="E379">
        <v>40458</v>
      </c>
      <c r="F379">
        <v>0</v>
      </c>
      <c r="G379" s="1" t="s">
        <v>769</v>
      </c>
      <c r="H379">
        <v>0</v>
      </c>
      <c r="I379">
        <v>0</v>
      </c>
      <c r="J379">
        <v>1</v>
      </c>
      <c r="K379">
        <v>0</v>
      </c>
      <c r="L379">
        <v>10</v>
      </c>
      <c r="M379">
        <v>0</v>
      </c>
      <c r="N379">
        <v>1</v>
      </c>
      <c r="O379">
        <v>40458</v>
      </c>
    </row>
    <row r="380" spans="1:15" x14ac:dyDescent="0.3">
      <c r="A380">
        <v>34</v>
      </c>
      <c r="B380" s="1" t="s">
        <v>18</v>
      </c>
      <c r="C380">
        <v>40458</v>
      </c>
      <c r="D380" s="1" t="s">
        <v>770</v>
      </c>
      <c r="E380">
        <v>40458</v>
      </c>
      <c r="F380">
        <v>0</v>
      </c>
      <c r="G380" s="1" t="s">
        <v>771</v>
      </c>
      <c r="H380">
        <v>561393.36</v>
      </c>
      <c r="I380">
        <v>331179.02</v>
      </c>
      <c r="J380">
        <v>1</v>
      </c>
      <c r="K380">
        <v>0</v>
      </c>
      <c r="L380">
        <v>10</v>
      </c>
      <c r="M380">
        <v>0</v>
      </c>
      <c r="N380">
        <v>1</v>
      </c>
      <c r="O380">
        <v>40458</v>
      </c>
    </row>
    <row r="381" spans="1:15" x14ac:dyDescent="0.3">
      <c r="A381">
        <v>34</v>
      </c>
      <c r="B381" s="1" t="s">
        <v>15</v>
      </c>
      <c r="C381">
        <v>1016540.35</v>
      </c>
      <c r="D381" s="1" t="s">
        <v>772</v>
      </c>
      <c r="E381">
        <v>1016540.35</v>
      </c>
      <c r="F381">
        <v>0</v>
      </c>
      <c r="G381" s="1" t="s">
        <v>773</v>
      </c>
      <c r="H381">
        <v>0</v>
      </c>
      <c r="I381">
        <v>0</v>
      </c>
      <c r="J381">
        <v>1</v>
      </c>
      <c r="K381">
        <v>0</v>
      </c>
      <c r="L381">
        <v>10</v>
      </c>
      <c r="M381">
        <v>0</v>
      </c>
      <c r="N381">
        <v>1</v>
      </c>
      <c r="O381">
        <v>1016540.35</v>
      </c>
    </row>
    <row r="382" spans="1:15" x14ac:dyDescent="0.3">
      <c r="A382">
        <v>34</v>
      </c>
      <c r="B382" s="1" t="s">
        <v>18</v>
      </c>
      <c r="C382">
        <v>1016540.35</v>
      </c>
      <c r="D382" s="1" t="s">
        <v>774</v>
      </c>
      <c r="E382">
        <v>1016540.35</v>
      </c>
      <c r="F382">
        <v>0</v>
      </c>
      <c r="G382" s="1" t="s">
        <v>775</v>
      </c>
      <c r="H382">
        <v>4463851.6399999997</v>
      </c>
      <c r="I382">
        <v>5700161.7400000002</v>
      </c>
      <c r="J382">
        <v>1</v>
      </c>
      <c r="K382">
        <v>0</v>
      </c>
      <c r="L382">
        <v>10</v>
      </c>
      <c r="M382">
        <v>0</v>
      </c>
      <c r="N382">
        <v>1</v>
      </c>
      <c r="O382">
        <v>1016540.35</v>
      </c>
    </row>
    <row r="383" spans="1:15" x14ac:dyDescent="0.3">
      <c r="A383">
        <v>34</v>
      </c>
      <c r="B383" s="1" t="s">
        <v>15</v>
      </c>
      <c r="C383">
        <v>71693.42</v>
      </c>
      <c r="D383" s="1" t="s">
        <v>776</v>
      </c>
      <c r="E383">
        <v>71693.42</v>
      </c>
      <c r="F383">
        <v>0</v>
      </c>
      <c r="G383" s="1" t="s">
        <v>777</v>
      </c>
      <c r="H383">
        <v>0</v>
      </c>
      <c r="I383">
        <v>0</v>
      </c>
      <c r="J383">
        <v>1</v>
      </c>
      <c r="K383">
        <v>0</v>
      </c>
      <c r="L383">
        <v>10</v>
      </c>
      <c r="M383">
        <v>0</v>
      </c>
      <c r="N383">
        <v>1</v>
      </c>
      <c r="O383">
        <v>71693.42</v>
      </c>
    </row>
    <row r="384" spans="1:15" x14ac:dyDescent="0.3">
      <c r="A384">
        <v>34</v>
      </c>
      <c r="B384" s="1" t="s">
        <v>18</v>
      </c>
      <c r="C384">
        <v>71693.42</v>
      </c>
      <c r="D384" s="1" t="s">
        <v>778</v>
      </c>
      <c r="E384">
        <v>71693.42</v>
      </c>
      <c r="F384">
        <v>0</v>
      </c>
      <c r="G384" s="1" t="s">
        <v>779</v>
      </c>
      <c r="H384">
        <v>0</v>
      </c>
      <c r="I384">
        <v>71693.42</v>
      </c>
      <c r="J384">
        <v>1</v>
      </c>
      <c r="K384">
        <v>0</v>
      </c>
      <c r="L384">
        <v>10</v>
      </c>
      <c r="M384">
        <v>0</v>
      </c>
      <c r="N384">
        <v>1</v>
      </c>
      <c r="O384">
        <v>71693.42</v>
      </c>
    </row>
    <row r="385" spans="1:15" x14ac:dyDescent="0.3">
      <c r="A385">
        <v>35</v>
      </c>
      <c r="B385" s="1" t="s">
        <v>15</v>
      </c>
      <c r="C385">
        <v>472692.51</v>
      </c>
      <c r="D385" s="1" t="s">
        <v>780</v>
      </c>
      <c r="E385">
        <v>472692.51</v>
      </c>
      <c r="F385">
        <v>0</v>
      </c>
      <c r="G385" s="1" t="s">
        <v>781</v>
      </c>
      <c r="H385">
        <v>0</v>
      </c>
      <c r="I385">
        <v>0</v>
      </c>
      <c r="J385">
        <v>1</v>
      </c>
      <c r="K385">
        <v>0</v>
      </c>
      <c r="L385">
        <v>11</v>
      </c>
      <c r="M385">
        <v>0</v>
      </c>
      <c r="N385">
        <v>1</v>
      </c>
      <c r="O385">
        <v>472692.51</v>
      </c>
    </row>
    <row r="386" spans="1:15" x14ac:dyDescent="0.3">
      <c r="A386">
        <v>35</v>
      </c>
      <c r="B386" s="1" t="s">
        <v>18</v>
      </c>
      <c r="C386">
        <v>472692.51</v>
      </c>
      <c r="D386" s="1" t="s">
        <v>782</v>
      </c>
      <c r="E386">
        <v>472692.51</v>
      </c>
      <c r="F386">
        <v>0</v>
      </c>
      <c r="G386" s="1" t="s">
        <v>783</v>
      </c>
      <c r="H386">
        <v>193065.83</v>
      </c>
      <c r="I386">
        <v>665758.34</v>
      </c>
      <c r="J386">
        <v>1</v>
      </c>
      <c r="K386">
        <v>0</v>
      </c>
      <c r="L386">
        <v>11</v>
      </c>
      <c r="M386">
        <v>0</v>
      </c>
      <c r="N386">
        <v>1</v>
      </c>
      <c r="O386">
        <v>472692.51</v>
      </c>
    </row>
    <row r="387" spans="1:15" x14ac:dyDescent="0.3">
      <c r="A387">
        <v>35</v>
      </c>
      <c r="B387" s="1" t="s">
        <v>15</v>
      </c>
      <c r="C387">
        <v>122032.62</v>
      </c>
      <c r="D387" s="1" t="s">
        <v>784</v>
      </c>
      <c r="E387">
        <v>122032.62</v>
      </c>
      <c r="F387">
        <v>0</v>
      </c>
      <c r="G387" s="1" t="s">
        <v>785</v>
      </c>
      <c r="H387">
        <v>0</v>
      </c>
      <c r="I387">
        <v>0</v>
      </c>
      <c r="J387">
        <v>1</v>
      </c>
      <c r="K387">
        <v>0</v>
      </c>
      <c r="L387">
        <v>11</v>
      </c>
      <c r="M387">
        <v>0</v>
      </c>
      <c r="N387">
        <v>1</v>
      </c>
      <c r="O387">
        <v>122032.62</v>
      </c>
    </row>
    <row r="388" spans="1:15" x14ac:dyDescent="0.3">
      <c r="A388">
        <v>35</v>
      </c>
      <c r="B388" s="1" t="s">
        <v>18</v>
      </c>
      <c r="C388">
        <v>122032.62</v>
      </c>
      <c r="D388" s="1" t="s">
        <v>786</v>
      </c>
      <c r="E388">
        <v>122032.62</v>
      </c>
      <c r="F388">
        <v>0</v>
      </c>
      <c r="G388" s="1" t="s">
        <v>787</v>
      </c>
      <c r="H388">
        <v>0</v>
      </c>
      <c r="I388">
        <v>122032.62</v>
      </c>
      <c r="J388">
        <v>1</v>
      </c>
      <c r="K388">
        <v>0</v>
      </c>
      <c r="L388">
        <v>11</v>
      </c>
      <c r="M388">
        <v>0</v>
      </c>
      <c r="N388">
        <v>1</v>
      </c>
      <c r="O388">
        <v>122032.62</v>
      </c>
    </row>
    <row r="389" spans="1:15" x14ac:dyDescent="0.3">
      <c r="A389">
        <v>35</v>
      </c>
      <c r="B389" s="1" t="s">
        <v>15</v>
      </c>
      <c r="C389">
        <v>3606943.31</v>
      </c>
      <c r="D389" s="1" t="s">
        <v>788</v>
      </c>
      <c r="E389">
        <v>3606943.31</v>
      </c>
      <c r="F389">
        <v>0</v>
      </c>
      <c r="G389" s="1" t="s">
        <v>789</v>
      </c>
      <c r="H389">
        <v>0</v>
      </c>
      <c r="I389">
        <v>0</v>
      </c>
      <c r="J389">
        <v>1</v>
      </c>
      <c r="K389">
        <v>0</v>
      </c>
      <c r="L389">
        <v>11</v>
      </c>
      <c r="M389">
        <v>0</v>
      </c>
      <c r="N389">
        <v>1</v>
      </c>
      <c r="O389">
        <v>3606943.31</v>
      </c>
    </row>
    <row r="390" spans="1:15" x14ac:dyDescent="0.3">
      <c r="A390">
        <v>35</v>
      </c>
      <c r="B390" s="1" t="s">
        <v>18</v>
      </c>
      <c r="C390">
        <v>3606943.31</v>
      </c>
      <c r="D390" s="1" t="s">
        <v>790</v>
      </c>
      <c r="E390">
        <v>3606943.31</v>
      </c>
      <c r="F390">
        <v>0</v>
      </c>
      <c r="G390" s="1" t="s">
        <v>791</v>
      </c>
      <c r="H390">
        <v>0</v>
      </c>
      <c r="I390">
        <v>3606943.31</v>
      </c>
      <c r="J390">
        <v>1</v>
      </c>
      <c r="K390">
        <v>0</v>
      </c>
      <c r="L390">
        <v>11</v>
      </c>
      <c r="M390">
        <v>0</v>
      </c>
      <c r="N390">
        <v>1</v>
      </c>
      <c r="O390">
        <v>3606943.31</v>
      </c>
    </row>
    <row r="391" spans="1:15" x14ac:dyDescent="0.3">
      <c r="A391">
        <v>35</v>
      </c>
      <c r="B391" s="1" t="s">
        <v>18</v>
      </c>
      <c r="C391">
        <v>112280.88</v>
      </c>
      <c r="D391" s="1" t="s">
        <v>792</v>
      </c>
      <c r="E391">
        <v>0</v>
      </c>
      <c r="F391">
        <v>0</v>
      </c>
      <c r="G391" s="1" t="s">
        <v>793</v>
      </c>
      <c r="H391">
        <v>40512.49</v>
      </c>
      <c r="I391">
        <v>152793.35999999999</v>
      </c>
      <c r="J391">
        <v>1</v>
      </c>
      <c r="K391">
        <v>0</v>
      </c>
      <c r="L391">
        <v>11</v>
      </c>
      <c r="M391">
        <v>0</v>
      </c>
      <c r="N391">
        <v>0</v>
      </c>
      <c r="O391">
        <v>0</v>
      </c>
    </row>
    <row r="392" spans="1:15" x14ac:dyDescent="0.3">
      <c r="A392">
        <v>35</v>
      </c>
      <c r="B392" s="1" t="s">
        <v>15</v>
      </c>
      <c r="C392">
        <v>171788.82</v>
      </c>
      <c r="D392" s="1" t="s">
        <v>794</v>
      </c>
      <c r="E392">
        <v>171788.82</v>
      </c>
      <c r="F392">
        <v>0</v>
      </c>
      <c r="G392" s="1" t="s">
        <v>795</v>
      </c>
      <c r="H392">
        <v>0</v>
      </c>
      <c r="I392">
        <v>0</v>
      </c>
      <c r="J392">
        <v>1</v>
      </c>
      <c r="K392">
        <v>0</v>
      </c>
      <c r="L392">
        <v>11</v>
      </c>
      <c r="M392">
        <v>0</v>
      </c>
      <c r="N392">
        <v>1</v>
      </c>
      <c r="O392">
        <v>171788.82</v>
      </c>
    </row>
    <row r="393" spans="1:15" x14ac:dyDescent="0.3">
      <c r="A393">
        <v>35</v>
      </c>
      <c r="B393" s="1" t="s">
        <v>18</v>
      </c>
      <c r="C393">
        <v>171788.82</v>
      </c>
      <c r="D393" s="1" t="s">
        <v>796</v>
      </c>
      <c r="E393">
        <v>171788.82</v>
      </c>
      <c r="F393">
        <v>0</v>
      </c>
      <c r="G393" s="1" t="s">
        <v>797</v>
      </c>
      <c r="H393">
        <v>19962</v>
      </c>
      <c r="I393">
        <v>0</v>
      </c>
      <c r="J393">
        <v>1</v>
      </c>
      <c r="K393">
        <v>0</v>
      </c>
      <c r="L393">
        <v>11</v>
      </c>
      <c r="M393">
        <v>0</v>
      </c>
      <c r="N393">
        <v>1</v>
      </c>
      <c r="O393">
        <v>171788.82</v>
      </c>
    </row>
    <row r="394" spans="1:15" x14ac:dyDescent="0.3">
      <c r="A394">
        <v>35</v>
      </c>
      <c r="B394" s="1" t="s">
        <v>15</v>
      </c>
      <c r="C394">
        <v>9465988.8200000003</v>
      </c>
      <c r="D394" s="1" t="s">
        <v>798</v>
      </c>
      <c r="E394">
        <v>9465988.8200000003</v>
      </c>
      <c r="F394">
        <v>0</v>
      </c>
      <c r="G394" s="1" t="s">
        <v>799</v>
      </c>
      <c r="H394">
        <v>0</v>
      </c>
      <c r="I394">
        <v>0</v>
      </c>
      <c r="J394">
        <v>1</v>
      </c>
      <c r="K394">
        <v>0</v>
      </c>
      <c r="L394">
        <v>11</v>
      </c>
      <c r="M394">
        <v>0</v>
      </c>
      <c r="N394">
        <v>1</v>
      </c>
      <c r="O394">
        <v>9465988.8200000003</v>
      </c>
    </row>
    <row r="395" spans="1:15" x14ac:dyDescent="0.3">
      <c r="A395">
        <v>35</v>
      </c>
      <c r="B395" s="1" t="s">
        <v>18</v>
      </c>
      <c r="C395">
        <v>9465988.8200000003</v>
      </c>
      <c r="D395" s="1" t="s">
        <v>800</v>
      </c>
      <c r="E395">
        <v>9465988.8200000003</v>
      </c>
      <c r="F395">
        <v>0</v>
      </c>
      <c r="G395" s="1" t="s">
        <v>801</v>
      </c>
      <c r="H395">
        <v>0</v>
      </c>
      <c r="I395">
        <v>9465988.8200000003</v>
      </c>
      <c r="J395">
        <v>1</v>
      </c>
      <c r="K395">
        <v>0</v>
      </c>
      <c r="L395">
        <v>11</v>
      </c>
      <c r="M395">
        <v>0</v>
      </c>
      <c r="N395">
        <v>1</v>
      </c>
      <c r="O395">
        <v>9465988.8200000003</v>
      </c>
    </row>
    <row r="396" spans="1:15" x14ac:dyDescent="0.3">
      <c r="A396">
        <v>35</v>
      </c>
      <c r="B396" s="1" t="s">
        <v>15</v>
      </c>
      <c r="C396">
        <v>454511.73</v>
      </c>
      <c r="D396" s="1" t="s">
        <v>802</v>
      </c>
      <c r="E396">
        <v>454511.73</v>
      </c>
      <c r="F396">
        <v>0</v>
      </c>
      <c r="G396" s="1" t="s">
        <v>803</v>
      </c>
      <c r="H396">
        <v>0</v>
      </c>
      <c r="I396">
        <v>0</v>
      </c>
      <c r="J396">
        <v>1</v>
      </c>
      <c r="K396">
        <v>0</v>
      </c>
      <c r="L396">
        <v>11</v>
      </c>
      <c r="M396">
        <v>0</v>
      </c>
      <c r="N396">
        <v>1</v>
      </c>
      <c r="O396">
        <v>454511.73</v>
      </c>
    </row>
    <row r="397" spans="1:15" x14ac:dyDescent="0.3">
      <c r="A397">
        <v>35</v>
      </c>
      <c r="B397" s="1" t="s">
        <v>18</v>
      </c>
      <c r="C397">
        <v>454511.73</v>
      </c>
      <c r="D397" s="1" t="s">
        <v>804</v>
      </c>
      <c r="E397">
        <v>454511.73</v>
      </c>
      <c r="F397">
        <v>0</v>
      </c>
      <c r="G397" s="1" t="s">
        <v>805</v>
      </c>
      <c r="H397">
        <v>140892.24</v>
      </c>
      <c r="I397">
        <v>595403.98</v>
      </c>
      <c r="J397">
        <v>1</v>
      </c>
      <c r="K397">
        <v>0</v>
      </c>
      <c r="L397">
        <v>11</v>
      </c>
      <c r="M397">
        <v>0</v>
      </c>
      <c r="N397">
        <v>1</v>
      </c>
      <c r="O397">
        <v>454511.73</v>
      </c>
    </row>
    <row r="398" spans="1:15" x14ac:dyDescent="0.3">
      <c r="A398">
        <v>35</v>
      </c>
      <c r="B398" s="1" t="s">
        <v>15</v>
      </c>
      <c r="C398">
        <v>136983.26</v>
      </c>
      <c r="D398" s="1" t="s">
        <v>806</v>
      </c>
      <c r="E398">
        <v>136983.26</v>
      </c>
      <c r="F398">
        <v>0</v>
      </c>
      <c r="G398" s="1" t="s">
        <v>807</v>
      </c>
      <c r="H398">
        <v>0</v>
      </c>
      <c r="I398">
        <v>0</v>
      </c>
      <c r="J398">
        <v>1</v>
      </c>
      <c r="K398">
        <v>0</v>
      </c>
      <c r="L398">
        <v>11</v>
      </c>
      <c r="M398">
        <v>0</v>
      </c>
      <c r="N398">
        <v>1</v>
      </c>
      <c r="O398">
        <v>136983.26</v>
      </c>
    </row>
    <row r="399" spans="1:15" x14ac:dyDescent="0.3">
      <c r="A399">
        <v>35</v>
      </c>
      <c r="B399" s="1" t="s">
        <v>18</v>
      </c>
      <c r="C399">
        <v>136983.26</v>
      </c>
      <c r="D399" s="1" t="s">
        <v>808</v>
      </c>
      <c r="E399">
        <v>136983.26</v>
      </c>
      <c r="F399">
        <v>0</v>
      </c>
      <c r="G399" s="1" t="s">
        <v>809</v>
      </c>
      <c r="H399">
        <v>0</v>
      </c>
      <c r="I399">
        <v>136983.26</v>
      </c>
      <c r="J399">
        <v>1</v>
      </c>
      <c r="K399">
        <v>0</v>
      </c>
      <c r="L399">
        <v>11</v>
      </c>
      <c r="M399">
        <v>0</v>
      </c>
      <c r="N399">
        <v>1</v>
      </c>
      <c r="O399">
        <v>136983.26</v>
      </c>
    </row>
    <row r="400" spans="1:15" x14ac:dyDescent="0.3">
      <c r="A400">
        <v>36</v>
      </c>
      <c r="B400" s="1" t="s">
        <v>15</v>
      </c>
      <c r="C400">
        <v>326884.31</v>
      </c>
      <c r="D400" s="1" t="s">
        <v>810</v>
      </c>
      <c r="E400">
        <v>326884.31</v>
      </c>
      <c r="F400">
        <v>0</v>
      </c>
      <c r="G400" s="1" t="s">
        <v>811</v>
      </c>
      <c r="H400">
        <v>0</v>
      </c>
      <c r="I400">
        <v>0</v>
      </c>
      <c r="J400">
        <v>1</v>
      </c>
      <c r="K400">
        <v>0</v>
      </c>
      <c r="L400">
        <v>12</v>
      </c>
      <c r="M400">
        <v>0</v>
      </c>
      <c r="N400">
        <v>1</v>
      </c>
      <c r="O400">
        <v>326884.31</v>
      </c>
    </row>
    <row r="401" spans="1:15" x14ac:dyDescent="0.3">
      <c r="A401">
        <v>36</v>
      </c>
      <c r="B401" s="1" t="s">
        <v>18</v>
      </c>
      <c r="C401">
        <v>326884.31</v>
      </c>
      <c r="D401" s="1" t="s">
        <v>812</v>
      </c>
      <c r="E401">
        <v>326884.31</v>
      </c>
      <c r="F401">
        <v>0</v>
      </c>
      <c r="G401" s="1" t="s">
        <v>813</v>
      </c>
      <c r="H401">
        <v>337428.2</v>
      </c>
      <c r="I401">
        <v>664312.51</v>
      </c>
      <c r="J401">
        <v>1</v>
      </c>
      <c r="K401">
        <v>0</v>
      </c>
      <c r="L401">
        <v>12</v>
      </c>
      <c r="M401">
        <v>0</v>
      </c>
      <c r="N401">
        <v>1</v>
      </c>
      <c r="O401">
        <v>326884.31</v>
      </c>
    </row>
    <row r="402" spans="1:15" x14ac:dyDescent="0.3">
      <c r="A402">
        <v>36</v>
      </c>
      <c r="B402" s="1" t="s">
        <v>15</v>
      </c>
      <c r="C402">
        <v>2352524.1800000002</v>
      </c>
      <c r="D402" s="1" t="s">
        <v>814</v>
      </c>
      <c r="E402">
        <v>2352524.1800000002</v>
      </c>
      <c r="F402">
        <v>0</v>
      </c>
      <c r="G402" s="1" t="s">
        <v>815</v>
      </c>
      <c r="H402">
        <v>0</v>
      </c>
      <c r="I402">
        <v>0</v>
      </c>
      <c r="J402">
        <v>1</v>
      </c>
      <c r="K402">
        <v>0</v>
      </c>
      <c r="L402">
        <v>12</v>
      </c>
      <c r="M402">
        <v>0</v>
      </c>
      <c r="N402">
        <v>1</v>
      </c>
      <c r="O402">
        <v>2352524.1800000002</v>
      </c>
    </row>
    <row r="403" spans="1:15" x14ac:dyDescent="0.3">
      <c r="A403">
        <v>36</v>
      </c>
      <c r="B403" s="1" t="s">
        <v>18</v>
      </c>
      <c r="C403">
        <v>2352524.1800000002</v>
      </c>
      <c r="D403" s="1" t="s">
        <v>816</v>
      </c>
      <c r="E403">
        <v>2352524.1800000002</v>
      </c>
      <c r="F403">
        <v>0</v>
      </c>
      <c r="G403" s="1" t="s">
        <v>817</v>
      </c>
      <c r="H403">
        <v>1227902.1200000001</v>
      </c>
      <c r="I403">
        <v>3580426.31</v>
      </c>
      <c r="J403">
        <v>1</v>
      </c>
      <c r="K403">
        <v>0</v>
      </c>
      <c r="L403">
        <v>12</v>
      </c>
      <c r="M403">
        <v>0</v>
      </c>
      <c r="N403">
        <v>1</v>
      </c>
      <c r="O403">
        <v>2352524.1800000002</v>
      </c>
    </row>
    <row r="404" spans="1:15" x14ac:dyDescent="0.3">
      <c r="A404">
        <v>36</v>
      </c>
      <c r="B404" s="1" t="s">
        <v>15</v>
      </c>
      <c r="C404">
        <v>113338.99</v>
      </c>
      <c r="D404" s="1" t="s">
        <v>818</v>
      </c>
      <c r="E404">
        <v>113338.99</v>
      </c>
      <c r="F404">
        <v>0</v>
      </c>
      <c r="G404" s="1" t="s">
        <v>819</v>
      </c>
      <c r="H404">
        <v>0</v>
      </c>
      <c r="I404">
        <v>0</v>
      </c>
      <c r="J404">
        <v>1</v>
      </c>
      <c r="K404">
        <v>0</v>
      </c>
      <c r="L404">
        <v>12</v>
      </c>
      <c r="M404">
        <v>0</v>
      </c>
      <c r="N404">
        <v>1</v>
      </c>
      <c r="O404">
        <v>113338.99</v>
      </c>
    </row>
    <row r="405" spans="1:15" x14ac:dyDescent="0.3">
      <c r="A405">
        <v>36</v>
      </c>
      <c r="B405" s="1" t="s">
        <v>18</v>
      </c>
      <c r="C405">
        <v>113338.99</v>
      </c>
      <c r="D405" s="1" t="s">
        <v>820</v>
      </c>
      <c r="E405">
        <v>113338.99</v>
      </c>
      <c r="F405">
        <v>0</v>
      </c>
      <c r="G405" s="1" t="s">
        <v>821</v>
      </c>
      <c r="H405">
        <v>3290608.15</v>
      </c>
      <c r="I405">
        <v>3403947.14</v>
      </c>
      <c r="J405">
        <v>1</v>
      </c>
      <c r="K405">
        <v>0</v>
      </c>
      <c r="L405">
        <v>12</v>
      </c>
      <c r="M405">
        <v>0</v>
      </c>
      <c r="N405">
        <v>1</v>
      </c>
      <c r="O405">
        <v>113338.99</v>
      </c>
    </row>
    <row r="406" spans="1:15" x14ac:dyDescent="0.3">
      <c r="A406">
        <v>36</v>
      </c>
      <c r="B406" s="1" t="s">
        <v>15</v>
      </c>
      <c r="C406">
        <v>886592.76</v>
      </c>
      <c r="D406" s="1" t="s">
        <v>822</v>
      </c>
      <c r="E406">
        <v>886592.76</v>
      </c>
      <c r="F406">
        <v>0</v>
      </c>
      <c r="G406" s="1" t="s">
        <v>823</v>
      </c>
      <c r="H406">
        <v>0</v>
      </c>
      <c r="I406">
        <v>0</v>
      </c>
      <c r="J406">
        <v>1</v>
      </c>
      <c r="K406">
        <v>0</v>
      </c>
      <c r="L406">
        <v>12</v>
      </c>
      <c r="M406">
        <v>0</v>
      </c>
      <c r="N406">
        <v>1</v>
      </c>
      <c r="O406">
        <v>886592.76</v>
      </c>
    </row>
    <row r="407" spans="1:15" x14ac:dyDescent="0.3">
      <c r="A407">
        <v>36</v>
      </c>
      <c r="B407" s="1" t="s">
        <v>18</v>
      </c>
      <c r="C407">
        <v>886592.76</v>
      </c>
      <c r="D407" s="1" t="s">
        <v>824</v>
      </c>
      <c r="E407">
        <v>886592.76</v>
      </c>
      <c r="F407">
        <v>0</v>
      </c>
      <c r="G407" s="1" t="s">
        <v>825</v>
      </c>
      <c r="H407">
        <v>112531.06</v>
      </c>
      <c r="I407">
        <v>999123.82</v>
      </c>
      <c r="J407">
        <v>1</v>
      </c>
      <c r="K407">
        <v>0</v>
      </c>
      <c r="L407">
        <v>12</v>
      </c>
      <c r="M407">
        <v>0</v>
      </c>
      <c r="N407">
        <v>1</v>
      </c>
      <c r="O407">
        <v>886592.76</v>
      </c>
    </row>
    <row r="408" spans="1:15" x14ac:dyDescent="0.3">
      <c r="A408">
        <v>36</v>
      </c>
      <c r="B408" s="1" t="s">
        <v>15</v>
      </c>
      <c r="C408">
        <v>819503.92</v>
      </c>
      <c r="D408" s="1" t="s">
        <v>826</v>
      </c>
      <c r="E408">
        <v>819503.92</v>
      </c>
      <c r="F408">
        <v>0</v>
      </c>
      <c r="G408" s="1" t="s">
        <v>827</v>
      </c>
      <c r="H408">
        <v>0</v>
      </c>
      <c r="I408">
        <v>0</v>
      </c>
      <c r="J408">
        <v>1</v>
      </c>
      <c r="K408">
        <v>0</v>
      </c>
      <c r="L408">
        <v>12</v>
      </c>
      <c r="M408">
        <v>0</v>
      </c>
      <c r="N408">
        <v>1</v>
      </c>
      <c r="O408">
        <v>819503.92</v>
      </c>
    </row>
    <row r="409" spans="1:15" x14ac:dyDescent="0.3">
      <c r="A409">
        <v>36</v>
      </c>
      <c r="B409" s="1" t="s">
        <v>18</v>
      </c>
      <c r="C409">
        <v>819503.92</v>
      </c>
      <c r="D409" s="1" t="s">
        <v>828</v>
      </c>
      <c r="E409">
        <v>819503.92</v>
      </c>
      <c r="F409">
        <v>0</v>
      </c>
      <c r="G409" s="1" t="s">
        <v>829</v>
      </c>
      <c r="H409">
        <v>255585.23</v>
      </c>
      <c r="I409">
        <v>1470226.48</v>
      </c>
      <c r="J409">
        <v>1</v>
      </c>
      <c r="K409">
        <v>0</v>
      </c>
      <c r="L409">
        <v>12</v>
      </c>
      <c r="M409">
        <v>0</v>
      </c>
      <c r="N409">
        <v>1</v>
      </c>
      <c r="O409">
        <v>819503.92</v>
      </c>
    </row>
    <row r="410" spans="1:15" x14ac:dyDescent="0.3">
      <c r="A410">
        <v>36</v>
      </c>
      <c r="B410" s="1" t="s">
        <v>15</v>
      </c>
      <c r="C410">
        <v>636</v>
      </c>
      <c r="D410" s="1" t="s">
        <v>830</v>
      </c>
      <c r="E410">
        <v>636</v>
      </c>
      <c r="F410">
        <v>0</v>
      </c>
      <c r="G410" s="1" t="s">
        <v>831</v>
      </c>
      <c r="H410">
        <v>0</v>
      </c>
      <c r="I410">
        <v>0</v>
      </c>
      <c r="J410">
        <v>1</v>
      </c>
      <c r="K410">
        <v>0</v>
      </c>
      <c r="L410">
        <v>12</v>
      </c>
      <c r="M410">
        <v>0</v>
      </c>
      <c r="N410">
        <v>1</v>
      </c>
      <c r="O410">
        <v>636</v>
      </c>
    </row>
    <row r="411" spans="1:15" x14ac:dyDescent="0.3">
      <c r="A411">
        <v>36</v>
      </c>
      <c r="B411" s="1" t="s">
        <v>18</v>
      </c>
      <c r="C411">
        <v>636</v>
      </c>
      <c r="D411" s="1" t="s">
        <v>832</v>
      </c>
      <c r="E411">
        <v>636</v>
      </c>
      <c r="F411">
        <v>0</v>
      </c>
      <c r="G411" s="1" t="s">
        <v>833</v>
      </c>
      <c r="H411">
        <v>0</v>
      </c>
      <c r="I411">
        <v>636</v>
      </c>
      <c r="J411">
        <v>1</v>
      </c>
      <c r="K411">
        <v>0</v>
      </c>
      <c r="L411">
        <v>12</v>
      </c>
      <c r="M411">
        <v>0</v>
      </c>
      <c r="N411">
        <v>1</v>
      </c>
      <c r="O411">
        <v>636</v>
      </c>
    </row>
    <row r="412" spans="1:15" x14ac:dyDescent="0.3">
      <c r="A412">
        <v>36</v>
      </c>
      <c r="B412" s="1" t="s">
        <v>15</v>
      </c>
      <c r="C412">
        <v>32382.959999999999</v>
      </c>
      <c r="D412" s="1" t="s">
        <v>834</v>
      </c>
      <c r="E412">
        <v>32382.959999999999</v>
      </c>
      <c r="F412">
        <v>0</v>
      </c>
      <c r="G412" s="1" t="s">
        <v>835</v>
      </c>
      <c r="H412">
        <v>0</v>
      </c>
      <c r="I412">
        <v>0</v>
      </c>
      <c r="J412">
        <v>1</v>
      </c>
      <c r="K412">
        <v>0</v>
      </c>
      <c r="L412">
        <v>12</v>
      </c>
      <c r="M412">
        <v>0</v>
      </c>
      <c r="N412">
        <v>1</v>
      </c>
      <c r="O412">
        <v>32382.959999999999</v>
      </c>
    </row>
    <row r="413" spans="1:15" x14ac:dyDescent="0.3">
      <c r="A413">
        <v>36</v>
      </c>
      <c r="B413" s="1" t="s">
        <v>18</v>
      </c>
      <c r="C413">
        <v>32382.959999999999</v>
      </c>
      <c r="D413" s="1" t="s">
        <v>836</v>
      </c>
      <c r="E413">
        <v>32382.959999999999</v>
      </c>
      <c r="F413">
        <v>0</v>
      </c>
      <c r="G413" s="1" t="s">
        <v>837</v>
      </c>
      <c r="H413">
        <v>0</v>
      </c>
      <c r="I413">
        <v>32382.959999999999</v>
      </c>
      <c r="J413">
        <v>1</v>
      </c>
      <c r="K413">
        <v>0</v>
      </c>
      <c r="L413">
        <v>12</v>
      </c>
      <c r="M413">
        <v>0</v>
      </c>
      <c r="N413">
        <v>1</v>
      </c>
      <c r="O413">
        <v>32382.959999999999</v>
      </c>
    </row>
    <row r="414" spans="1:15" x14ac:dyDescent="0.3">
      <c r="A414">
        <v>36</v>
      </c>
      <c r="B414" s="1" t="s">
        <v>15</v>
      </c>
      <c r="C414">
        <v>103056</v>
      </c>
      <c r="D414" s="1" t="s">
        <v>838</v>
      </c>
      <c r="E414">
        <v>103056</v>
      </c>
      <c r="F414">
        <v>0</v>
      </c>
      <c r="G414" s="1" t="s">
        <v>839</v>
      </c>
      <c r="H414">
        <v>0</v>
      </c>
      <c r="I414">
        <v>0</v>
      </c>
      <c r="J414">
        <v>1</v>
      </c>
      <c r="K414">
        <v>0</v>
      </c>
      <c r="L414">
        <v>12</v>
      </c>
      <c r="M414">
        <v>0</v>
      </c>
      <c r="N414">
        <v>1</v>
      </c>
      <c r="O414">
        <v>103056</v>
      </c>
    </row>
    <row r="415" spans="1:15" x14ac:dyDescent="0.3">
      <c r="A415">
        <v>36</v>
      </c>
      <c r="B415" s="1" t="s">
        <v>18</v>
      </c>
      <c r="C415">
        <v>103056</v>
      </c>
      <c r="D415" s="1" t="s">
        <v>840</v>
      </c>
      <c r="E415">
        <v>103056</v>
      </c>
      <c r="F415">
        <v>0</v>
      </c>
      <c r="G415" s="1" t="s">
        <v>841</v>
      </c>
      <c r="H415">
        <v>444182.13</v>
      </c>
      <c r="I415">
        <v>547238.13</v>
      </c>
      <c r="J415">
        <v>1</v>
      </c>
      <c r="K415">
        <v>0</v>
      </c>
      <c r="L415">
        <v>12</v>
      </c>
      <c r="M415">
        <v>0</v>
      </c>
      <c r="N415">
        <v>1</v>
      </c>
      <c r="O415">
        <v>103056</v>
      </c>
    </row>
    <row r="416" spans="1:15" x14ac:dyDescent="0.3">
      <c r="A416">
        <v>36</v>
      </c>
      <c r="B416" s="1" t="s">
        <v>18</v>
      </c>
      <c r="C416">
        <v>234377.29</v>
      </c>
      <c r="D416" s="1" t="s">
        <v>842</v>
      </c>
      <c r="E416">
        <v>0</v>
      </c>
      <c r="F416">
        <v>0</v>
      </c>
      <c r="G416" s="1" t="s">
        <v>843</v>
      </c>
      <c r="H416">
        <v>34937.86</v>
      </c>
      <c r="I416">
        <v>269315.15000000002</v>
      </c>
      <c r="J416">
        <v>1</v>
      </c>
      <c r="K416">
        <v>0</v>
      </c>
      <c r="L416">
        <v>12</v>
      </c>
      <c r="M416">
        <v>0</v>
      </c>
      <c r="N416">
        <v>0</v>
      </c>
      <c r="O416">
        <v>0</v>
      </c>
    </row>
    <row r="417" spans="1:15" x14ac:dyDescent="0.3">
      <c r="A417">
        <v>36</v>
      </c>
      <c r="B417" s="1" t="s">
        <v>15</v>
      </c>
      <c r="C417">
        <v>1684039.12</v>
      </c>
      <c r="D417" s="1" t="s">
        <v>844</v>
      </c>
      <c r="E417">
        <v>1684039.12</v>
      </c>
      <c r="F417">
        <v>0</v>
      </c>
      <c r="G417" s="1" t="s">
        <v>845</v>
      </c>
      <c r="H417">
        <v>0</v>
      </c>
      <c r="I417">
        <v>0</v>
      </c>
      <c r="J417">
        <v>1</v>
      </c>
      <c r="K417">
        <v>0</v>
      </c>
      <c r="L417">
        <v>12</v>
      </c>
      <c r="M417">
        <v>0</v>
      </c>
      <c r="N417">
        <v>1</v>
      </c>
      <c r="O417">
        <v>1684039.12</v>
      </c>
    </row>
    <row r="418" spans="1:15" x14ac:dyDescent="0.3">
      <c r="A418">
        <v>36</v>
      </c>
      <c r="B418" s="1" t="s">
        <v>18</v>
      </c>
      <c r="C418">
        <v>1684039.12</v>
      </c>
      <c r="D418" s="1" t="s">
        <v>846</v>
      </c>
      <c r="E418">
        <v>1684039.12</v>
      </c>
      <c r="F418">
        <v>0</v>
      </c>
      <c r="G418" s="1" t="s">
        <v>99</v>
      </c>
      <c r="H418">
        <v>33000000</v>
      </c>
      <c r="I418">
        <v>34600000</v>
      </c>
      <c r="J418">
        <v>1</v>
      </c>
      <c r="K418">
        <v>0</v>
      </c>
      <c r="L418">
        <v>12</v>
      </c>
      <c r="M418">
        <v>0</v>
      </c>
      <c r="N418">
        <v>1</v>
      </c>
      <c r="O418">
        <v>1684039.12</v>
      </c>
    </row>
    <row r="419" spans="1:15" x14ac:dyDescent="0.3">
      <c r="A419">
        <v>37</v>
      </c>
      <c r="B419" s="1" t="s">
        <v>15</v>
      </c>
      <c r="C419">
        <v>1842</v>
      </c>
      <c r="D419" s="1" t="s">
        <v>847</v>
      </c>
      <c r="E419">
        <v>1842</v>
      </c>
      <c r="F419">
        <v>0</v>
      </c>
      <c r="G419" s="1" t="s">
        <v>848</v>
      </c>
      <c r="H419">
        <v>0</v>
      </c>
      <c r="I419">
        <v>0</v>
      </c>
      <c r="J419">
        <v>1</v>
      </c>
      <c r="K419">
        <v>0</v>
      </c>
      <c r="L419">
        <v>13</v>
      </c>
      <c r="M419">
        <v>0</v>
      </c>
      <c r="N419">
        <v>1</v>
      </c>
      <c r="O419">
        <v>1842</v>
      </c>
    </row>
    <row r="420" spans="1:15" x14ac:dyDescent="0.3">
      <c r="A420">
        <v>37</v>
      </c>
      <c r="B420" s="1" t="s">
        <v>18</v>
      </c>
      <c r="C420">
        <v>1842</v>
      </c>
      <c r="D420" s="1" t="s">
        <v>849</v>
      </c>
      <c r="E420">
        <v>1842</v>
      </c>
      <c r="F420">
        <v>0</v>
      </c>
      <c r="G420" s="1" t="s">
        <v>850</v>
      </c>
      <c r="H420">
        <v>0</v>
      </c>
      <c r="I420">
        <v>1842</v>
      </c>
      <c r="J420">
        <v>1</v>
      </c>
      <c r="K420">
        <v>0</v>
      </c>
      <c r="L420">
        <v>13</v>
      </c>
      <c r="M420">
        <v>0</v>
      </c>
      <c r="N420">
        <v>1</v>
      </c>
      <c r="O420">
        <v>1842</v>
      </c>
    </row>
    <row r="421" spans="1:15" x14ac:dyDescent="0.3">
      <c r="A421">
        <v>37</v>
      </c>
      <c r="B421" s="1" t="s">
        <v>15</v>
      </c>
      <c r="C421">
        <v>180967.56</v>
      </c>
      <c r="D421" s="1" t="s">
        <v>851</v>
      </c>
      <c r="E421">
        <v>180967.56</v>
      </c>
      <c r="F421">
        <v>0</v>
      </c>
      <c r="G421" s="1" t="s">
        <v>852</v>
      </c>
      <c r="H421">
        <v>0</v>
      </c>
      <c r="I421">
        <v>0</v>
      </c>
      <c r="J421">
        <v>1</v>
      </c>
      <c r="K421">
        <v>0</v>
      </c>
      <c r="L421">
        <v>13</v>
      </c>
      <c r="M421">
        <v>0</v>
      </c>
      <c r="N421">
        <v>1</v>
      </c>
      <c r="O421">
        <v>180967.56</v>
      </c>
    </row>
    <row r="422" spans="1:15" x14ac:dyDescent="0.3">
      <c r="A422">
        <v>37</v>
      </c>
      <c r="B422" s="1" t="s">
        <v>18</v>
      </c>
      <c r="C422">
        <v>180967.56</v>
      </c>
      <c r="D422" s="1" t="s">
        <v>853</v>
      </c>
      <c r="E422">
        <v>180967.56</v>
      </c>
      <c r="F422">
        <v>0</v>
      </c>
      <c r="G422" s="1" t="s">
        <v>854</v>
      </c>
      <c r="H422">
        <v>95280.53</v>
      </c>
      <c r="I422">
        <v>276248.09999999998</v>
      </c>
      <c r="J422">
        <v>1</v>
      </c>
      <c r="K422">
        <v>0</v>
      </c>
      <c r="L422">
        <v>13</v>
      </c>
      <c r="M422">
        <v>0</v>
      </c>
      <c r="N422">
        <v>1</v>
      </c>
      <c r="O422">
        <v>180967.56</v>
      </c>
    </row>
    <row r="423" spans="1:15" x14ac:dyDescent="0.3">
      <c r="A423">
        <v>37</v>
      </c>
      <c r="B423" s="1" t="s">
        <v>15</v>
      </c>
      <c r="C423">
        <v>93083.27</v>
      </c>
      <c r="D423" s="1" t="s">
        <v>855</v>
      </c>
      <c r="E423">
        <v>93083.27</v>
      </c>
      <c r="F423">
        <v>0</v>
      </c>
      <c r="G423" s="1" t="s">
        <v>856</v>
      </c>
      <c r="H423">
        <v>0</v>
      </c>
      <c r="I423">
        <v>0</v>
      </c>
      <c r="J423">
        <v>1</v>
      </c>
      <c r="K423">
        <v>0</v>
      </c>
      <c r="L423">
        <v>13</v>
      </c>
      <c r="M423">
        <v>0</v>
      </c>
      <c r="N423">
        <v>1</v>
      </c>
      <c r="O423">
        <v>93083.27</v>
      </c>
    </row>
    <row r="424" spans="1:15" x14ac:dyDescent="0.3">
      <c r="A424">
        <v>37</v>
      </c>
      <c r="B424" s="1" t="s">
        <v>18</v>
      </c>
      <c r="C424">
        <v>93083.27</v>
      </c>
      <c r="D424" s="1" t="s">
        <v>857</v>
      </c>
      <c r="E424">
        <v>93083.27</v>
      </c>
      <c r="F424">
        <v>0</v>
      </c>
      <c r="G424" s="1" t="s">
        <v>858</v>
      </c>
      <c r="H424">
        <v>2466124.85</v>
      </c>
      <c r="I424">
        <v>2559208.13</v>
      </c>
      <c r="J424">
        <v>1</v>
      </c>
      <c r="K424">
        <v>0</v>
      </c>
      <c r="L424">
        <v>13</v>
      </c>
      <c r="M424">
        <v>0</v>
      </c>
      <c r="N424">
        <v>1</v>
      </c>
      <c r="O424">
        <v>93083.27</v>
      </c>
    </row>
    <row r="425" spans="1:15" x14ac:dyDescent="0.3">
      <c r="A425">
        <v>37</v>
      </c>
      <c r="B425" s="1" t="s">
        <v>15</v>
      </c>
      <c r="C425">
        <v>5979556.0599999996</v>
      </c>
      <c r="D425" s="1" t="s">
        <v>859</v>
      </c>
      <c r="E425">
        <v>5979556.0599999996</v>
      </c>
      <c r="F425">
        <v>0</v>
      </c>
      <c r="G425" s="1" t="s">
        <v>860</v>
      </c>
      <c r="H425">
        <v>0</v>
      </c>
      <c r="I425">
        <v>0</v>
      </c>
      <c r="J425">
        <v>1</v>
      </c>
      <c r="K425">
        <v>0</v>
      </c>
      <c r="L425">
        <v>13</v>
      </c>
      <c r="M425">
        <v>0</v>
      </c>
      <c r="N425">
        <v>1</v>
      </c>
      <c r="O425">
        <v>5979556.0599999996</v>
      </c>
    </row>
    <row r="426" spans="1:15" x14ac:dyDescent="0.3">
      <c r="A426">
        <v>37</v>
      </c>
      <c r="B426" s="1" t="s">
        <v>18</v>
      </c>
      <c r="C426">
        <v>5979556.0599999996</v>
      </c>
      <c r="D426" s="1" t="s">
        <v>861</v>
      </c>
      <c r="E426">
        <v>5979556.0599999996</v>
      </c>
      <c r="F426">
        <v>0</v>
      </c>
      <c r="G426" s="1" t="s">
        <v>862</v>
      </c>
      <c r="H426">
        <v>0</v>
      </c>
      <c r="I426">
        <v>5979556.0599999996</v>
      </c>
      <c r="J426">
        <v>1</v>
      </c>
      <c r="K426">
        <v>0</v>
      </c>
      <c r="L426">
        <v>13</v>
      </c>
      <c r="M426">
        <v>0</v>
      </c>
      <c r="N426">
        <v>1</v>
      </c>
      <c r="O426">
        <v>5979556.0599999996</v>
      </c>
    </row>
    <row r="427" spans="1:15" x14ac:dyDescent="0.3">
      <c r="A427">
        <v>37</v>
      </c>
      <c r="B427" s="1" t="s">
        <v>15</v>
      </c>
      <c r="C427">
        <v>128133</v>
      </c>
      <c r="D427" s="1" t="s">
        <v>863</v>
      </c>
      <c r="E427">
        <v>128133</v>
      </c>
      <c r="F427">
        <v>0</v>
      </c>
      <c r="G427" s="1" t="s">
        <v>864</v>
      </c>
      <c r="H427">
        <v>0</v>
      </c>
      <c r="I427">
        <v>0</v>
      </c>
      <c r="J427">
        <v>1</v>
      </c>
      <c r="K427">
        <v>0</v>
      </c>
      <c r="L427">
        <v>13</v>
      </c>
      <c r="M427">
        <v>0</v>
      </c>
      <c r="N427">
        <v>1</v>
      </c>
      <c r="O427">
        <v>128133</v>
      </c>
    </row>
    <row r="428" spans="1:15" x14ac:dyDescent="0.3">
      <c r="A428">
        <v>37</v>
      </c>
      <c r="B428" s="1" t="s">
        <v>18</v>
      </c>
      <c r="C428">
        <v>128133</v>
      </c>
      <c r="D428" s="1" t="s">
        <v>865</v>
      </c>
      <c r="E428">
        <v>128133</v>
      </c>
      <c r="F428">
        <v>0</v>
      </c>
      <c r="G428" s="1" t="s">
        <v>866</v>
      </c>
      <c r="H428">
        <v>160395.62</v>
      </c>
      <c r="I428">
        <v>288528.62</v>
      </c>
      <c r="J428">
        <v>1</v>
      </c>
      <c r="K428">
        <v>0</v>
      </c>
      <c r="L428">
        <v>13</v>
      </c>
      <c r="M428">
        <v>0</v>
      </c>
      <c r="N428">
        <v>1</v>
      </c>
      <c r="O428">
        <v>128133</v>
      </c>
    </row>
    <row r="429" spans="1:15" x14ac:dyDescent="0.3">
      <c r="A429">
        <v>37</v>
      </c>
      <c r="B429" s="1" t="s">
        <v>15</v>
      </c>
      <c r="C429">
        <v>503793.25</v>
      </c>
      <c r="D429" s="1" t="s">
        <v>867</v>
      </c>
      <c r="E429">
        <v>503793.25</v>
      </c>
      <c r="F429">
        <v>0</v>
      </c>
      <c r="G429" s="1" t="s">
        <v>868</v>
      </c>
      <c r="H429">
        <v>0</v>
      </c>
      <c r="I429">
        <v>95709.62</v>
      </c>
      <c r="J429">
        <v>1</v>
      </c>
      <c r="K429">
        <v>0</v>
      </c>
      <c r="L429">
        <v>13</v>
      </c>
      <c r="M429">
        <v>0</v>
      </c>
      <c r="N429">
        <v>1</v>
      </c>
      <c r="O429">
        <v>503793.25</v>
      </c>
    </row>
    <row r="430" spans="1:15" x14ac:dyDescent="0.3">
      <c r="A430">
        <v>37</v>
      </c>
      <c r="B430" s="1" t="s">
        <v>18</v>
      </c>
      <c r="C430">
        <v>503793.25</v>
      </c>
      <c r="D430" s="1" t="s">
        <v>869</v>
      </c>
      <c r="E430">
        <v>503793.25</v>
      </c>
      <c r="F430">
        <v>0</v>
      </c>
      <c r="G430" s="1" t="s">
        <v>870</v>
      </c>
      <c r="H430">
        <v>10100000</v>
      </c>
      <c r="I430">
        <v>10600000</v>
      </c>
      <c r="J430">
        <v>1</v>
      </c>
      <c r="K430">
        <v>0</v>
      </c>
      <c r="L430">
        <v>13</v>
      </c>
      <c r="M430">
        <v>0</v>
      </c>
      <c r="N430">
        <v>1</v>
      </c>
      <c r="O430">
        <v>503793.25</v>
      </c>
    </row>
    <row r="431" spans="1:15" x14ac:dyDescent="0.3">
      <c r="A431">
        <v>37</v>
      </c>
      <c r="B431" s="1" t="s">
        <v>18</v>
      </c>
      <c r="C431">
        <v>112486.46</v>
      </c>
      <c r="D431" s="1" t="s">
        <v>871</v>
      </c>
      <c r="E431">
        <v>0</v>
      </c>
      <c r="F431">
        <v>0</v>
      </c>
      <c r="G431" s="1" t="s">
        <v>872</v>
      </c>
      <c r="H431">
        <v>257274.47</v>
      </c>
      <c r="I431">
        <v>369760.93</v>
      </c>
      <c r="J431">
        <v>1</v>
      </c>
      <c r="K431">
        <v>0</v>
      </c>
      <c r="L431">
        <v>13</v>
      </c>
      <c r="M431">
        <v>0</v>
      </c>
      <c r="N431">
        <v>0</v>
      </c>
      <c r="O431">
        <v>0</v>
      </c>
    </row>
    <row r="432" spans="1:15" x14ac:dyDescent="0.3">
      <c r="A432">
        <v>38</v>
      </c>
      <c r="B432" s="1" t="s">
        <v>15</v>
      </c>
      <c r="C432">
        <v>448004.86</v>
      </c>
      <c r="D432" s="1" t="s">
        <v>873</v>
      </c>
      <c r="E432">
        <v>448004.86</v>
      </c>
      <c r="F432">
        <v>0</v>
      </c>
      <c r="G432" s="1" t="s">
        <v>874</v>
      </c>
      <c r="H432">
        <v>0</v>
      </c>
      <c r="I432">
        <v>0</v>
      </c>
      <c r="J432">
        <v>1</v>
      </c>
      <c r="K432">
        <v>0</v>
      </c>
      <c r="L432">
        <v>14</v>
      </c>
      <c r="M432">
        <v>0</v>
      </c>
      <c r="N432">
        <v>1</v>
      </c>
      <c r="O432">
        <v>448004.86</v>
      </c>
    </row>
    <row r="433" spans="1:15" x14ac:dyDescent="0.3">
      <c r="A433">
        <v>38</v>
      </c>
      <c r="B433" s="1" t="s">
        <v>18</v>
      </c>
      <c r="C433">
        <v>448004.86</v>
      </c>
      <c r="D433" s="1" t="s">
        <v>875</v>
      </c>
      <c r="E433">
        <v>448004.86</v>
      </c>
      <c r="F433">
        <v>0</v>
      </c>
      <c r="G433" s="1" t="s">
        <v>876</v>
      </c>
      <c r="H433">
        <v>147828.66</v>
      </c>
      <c r="I433">
        <v>595833.52</v>
      </c>
      <c r="J433">
        <v>1</v>
      </c>
      <c r="K433">
        <v>0</v>
      </c>
      <c r="L433">
        <v>14</v>
      </c>
      <c r="M433">
        <v>0</v>
      </c>
      <c r="N433">
        <v>1</v>
      </c>
      <c r="O433">
        <v>448004.86</v>
      </c>
    </row>
    <row r="434" spans="1:15" x14ac:dyDescent="0.3">
      <c r="A434">
        <v>38</v>
      </c>
      <c r="B434" s="1" t="s">
        <v>15</v>
      </c>
      <c r="C434">
        <v>90204.54</v>
      </c>
      <c r="D434" s="1" t="s">
        <v>877</v>
      </c>
      <c r="E434">
        <v>90204.54</v>
      </c>
      <c r="F434">
        <v>0</v>
      </c>
      <c r="G434" s="1" t="s">
        <v>878</v>
      </c>
      <c r="H434">
        <v>0</v>
      </c>
      <c r="I434">
        <v>0</v>
      </c>
      <c r="J434">
        <v>1</v>
      </c>
      <c r="K434">
        <v>0</v>
      </c>
      <c r="L434">
        <v>14</v>
      </c>
      <c r="M434">
        <v>0</v>
      </c>
      <c r="N434">
        <v>1</v>
      </c>
      <c r="O434">
        <v>90204.54</v>
      </c>
    </row>
    <row r="435" spans="1:15" x14ac:dyDescent="0.3">
      <c r="A435">
        <v>38</v>
      </c>
      <c r="B435" s="1" t="s">
        <v>18</v>
      </c>
      <c r="C435">
        <v>90204.54</v>
      </c>
      <c r="D435" s="1" t="s">
        <v>879</v>
      </c>
      <c r="E435">
        <v>90204.54</v>
      </c>
      <c r="F435">
        <v>0</v>
      </c>
      <c r="G435" s="1" t="s">
        <v>880</v>
      </c>
      <c r="H435">
        <v>0</v>
      </c>
      <c r="I435">
        <v>90204.54</v>
      </c>
      <c r="J435">
        <v>1</v>
      </c>
      <c r="K435">
        <v>0</v>
      </c>
      <c r="L435">
        <v>14</v>
      </c>
      <c r="M435">
        <v>0</v>
      </c>
      <c r="N435">
        <v>1</v>
      </c>
      <c r="O435">
        <v>90204.54</v>
      </c>
    </row>
    <row r="436" spans="1:15" x14ac:dyDescent="0.3">
      <c r="A436">
        <v>38</v>
      </c>
      <c r="B436" s="1" t="s">
        <v>18</v>
      </c>
      <c r="C436">
        <v>577418.98</v>
      </c>
      <c r="D436" s="1" t="s">
        <v>881</v>
      </c>
      <c r="E436">
        <v>0</v>
      </c>
      <c r="F436">
        <v>0</v>
      </c>
      <c r="G436" s="1" t="s">
        <v>882</v>
      </c>
      <c r="H436">
        <v>0</v>
      </c>
      <c r="I436">
        <v>577418.98</v>
      </c>
      <c r="J436">
        <v>1</v>
      </c>
      <c r="K436">
        <v>0</v>
      </c>
      <c r="L436">
        <v>14</v>
      </c>
      <c r="M436">
        <v>0</v>
      </c>
      <c r="N436">
        <v>0</v>
      </c>
      <c r="O436">
        <v>0</v>
      </c>
    </row>
    <row r="437" spans="1:15" x14ac:dyDescent="0.3">
      <c r="A437">
        <v>38</v>
      </c>
      <c r="B437" s="1" t="s">
        <v>15</v>
      </c>
      <c r="C437">
        <v>21367</v>
      </c>
      <c r="D437" s="1" t="s">
        <v>883</v>
      </c>
      <c r="E437">
        <v>21367</v>
      </c>
      <c r="F437">
        <v>0</v>
      </c>
      <c r="G437" s="1" t="s">
        <v>884</v>
      </c>
      <c r="H437">
        <v>0</v>
      </c>
      <c r="I437">
        <v>0</v>
      </c>
      <c r="J437">
        <v>1</v>
      </c>
      <c r="K437">
        <v>0</v>
      </c>
      <c r="L437">
        <v>14</v>
      </c>
      <c r="M437">
        <v>0</v>
      </c>
      <c r="N437">
        <v>1</v>
      </c>
      <c r="O437">
        <v>21367</v>
      </c>
    </row>
    <row r="438" spans="1:15" x14ac:dyDescent="0.3">
      <c r="A438">
        <v>38</v>
      </c>
      <c r="B438" s="1" t="s">
        <v>18</v>
      </c>
      <c r="C438">
        <v>21367</v>
      </c>
      <c r="D438" s="1" t="s">
        <v>885</v>
      </c>
      <c r="E438">
        <v>21367</v>
      </c>
      <c r="F438">
        <v>0</v>
      </c>
      <c r="G438" s="1" t="s">
        <v>886</v>
      </c>
      <c r="H438">
        <v>898934.02</v>
      </c>
      <c r="I438">
        <v>920301.02</v>
      </c>
      <c r="J438">
        <v>1</v>
      </c>
      <c r="K438">
        <v>0</v>
      </c>
      <c r="L438">
        <v>14</v>
      </c>
      <c r="M438">
        <v>0</v>
      </c>
      <c r="N438">
        <v>1</v>
      </c>
      <c r="O438">
        <v>21367</v>
      </c>
    </row>
    <row r="439" spans="1:15" x14ac:dyDescent="0.3">
      <c r="A439">
        <v>38</v>
      </c>
      <c r="B439" s="1" t="s">
        <v>15</v>
      </c>
      <c r="C439">
        <v>2395.29</v>
      </c>
      <c r="D439" s="1" t="s">
        <v>887</v>
      </c>
      <c r="E439">
        <v>2395.29</v>
      </c>
      <c r="F439">
        <v>0</v>
      </c>
      <c r="G439" s="1" t="s">
        <v>888</v>
      </c>
      <c r="H439">
        <v>0</v>
      </c>
      <c r="I439">
        <v>0</v>
      </c>
      <c r="J439">
        <v>1</v>
      </c>
      <c r="K439">
        <v>0</v>
      </c>
      <c r="L439">
        <v>14</v>
      </c>
      <c r="M439">
        <v>0</v>
      </c>
      <c r="N439">
        <v>1</v>
      </c>
      <c r="O439">
        <v>2395.29</v>
      </c>
    </row>
    <row r="440" spans="1:15" x14ac:dyDescent="0.3">
      <c r="A440">
        <v>38</v>
      </c>
      <c r="B440" s="1" t="s">
        <v>18</v>
      </c>
      <c r="C440">
        <v>2395.29</v>
      </c>
      <c r="D440" s="1" t="s">
        <v>889</v>
      </c>
      <c r="E440">
        <v>2395.29</v>
      </c>
      <c r="F440">
        <v>0</v>
      </c>
      <c r="G440" s="1" t="s">
        <v>890</v>
      </c>
      <c r="H440">
        <v>276538.59000000003</v>
      </c>
      <c r="I440">
        <v>470937.03</v>
      </c>
      <c r="J440">
        <v>1</v>
      </c>
      <c r="K440">
        <v>0</v>
      </c>
      <c r="L440">
        <v>14</v>
      </c>
      <c r="M440">
        <v>0</v>
      </c>
      <c r="N440">
        <v>1</v>
      </c>
      <c r="O440">
        <v>2395.29</v>
      </c>
    </row>
    <row r="441" spans="1:15" x14ac:dyDescent="0.3">
      <c r="A441">
        <v>38</v>
      </c>
      <c r="B441" s="1" t="s">
        <v>15</v>
      </c>
      <c r="C441">
        <v>7567170.3600000003</v>
      </c>
      <c r="D441" s="1" t="s">
        <v>891</v>
      </c>
      <c r="E441">
        <v>7567170.3600000003</v>
      </c>
      <c r="F441">
        <v>0</v>
      </c>
      <c r="G441" s="1" t="s">
        <v>892</v>
      </c>
      <c r="H441">
        <v>0</v>
      </c>
      <c r="I441">
        <v>0</v>
      </c>
      <c r="J441">
        <v>1</v>
      </c>
      <c r="K441">
        <v>0</v>
      </c>
      <c r="L441">
        <v>14</v>
      </c>
      <c r="M441">
        <v>0</v>
      </c>
      <c r="N441">
        <v>1</v>
      </c>
      <c r="O441">
        <v>7567170.3600000003</v>
      </c>
    </row>
    <row r="442" spans="1:15" x14ac:dyDescent="0.3">
      <c r="A442">
        <v>38</v>
      </c>
      <c r="B442" s="1" t="s">
        <v>18</v>
      </c>
      <c r="C442">
        <v>7567170.3600000003</v>
      </c>
      <c r="D442" s="1" t="s">
        <v>893</v>
      </c>
      <c r="E442">
        <v>7567170.3600000003</v>
      </c>
      <c r="F442">
        <v>0</v>
      </c>
      <c r="G442" s="1" t="s">
        <v>894</v>
      </c>
      <c r="H442">
        <v>345425.4</v>
      </c>
      <c r="I442">
        <v>7912595.75</v>
      </c>
      <c r="J442">
        <v>1</v>
      </c>
      <c r="K442">
        <v>0</v>
      </c>
      <c r="L442">
        <v>14</v>
      </c>
      <c r="M442">
        <v>0</v>
      </c>
      <c r="N442">
        <v>1</v>
      </c>
      <c r="O442">
        <v>7567170.3600000003</v>
      </c>
    </row>
    <row r="443" spans="1:15" x14ac:dyDescent="0.3">
      <c r="A443">
        <v>38</v>
      </c>
      <c r="B443" s="1" t="s">
        <v>15</v>
      </c>
      <c r="C443">
        <v>3372</v>
      </c>
      <c r="D443" s="1" t="s">
        <v>895</v>
      </c>
      <c r="E443">
        <v>3372</v>
      </c>
      <c r="F443">
        <v>0</v>
      </c>
      <c r="G443" s="1" t="s">
        <v>896</v>
      </c>
      <c r="H443">
        <v>0</v>
      </c>
      <c r="I443">
        <v>0</v>
      </c>
      <c r="J443">
        <v>1</v>
      </c>
      <c r="K443">
        <v>0</v>
      </c>
      <c r="L443">
        <v>14</v>
      </c>
      <c r="M443">
        <v>0</v>
      </c>
      <c r="N443">
        <v>1</v>
      </c>
      <c r="O443">
        <v>3372</v>
      </c>
    </row>
    <row r="444" spans="1:15" x14ac:dyDescent="0.3">
      <c r="A444">
        <v>38</v>
      </c>
      <c r="B444" s="1" t="s">
        <v>18</v>
      </c>
      <c r="C444">
        <v>3372</v>
      </c>
      <c r="D444" s="1" t="s">
        <v>897</v>
      </c>
      <c r="E444">
        <v>3372</v>
      </c>
      <c r="F444">
        <v>0</v>
      </c>
      <c r="G444" s="1" t="s">
        <v>898</v>
      </c>
      <c r="H444">
        <v>456659.44</v>
      </c>
      <c r="I444">
        <v>460031.44</v>
      </c>
      <c r="J444">
        <v>1</v>
      </c>
      <c r="K444">
        <v>0</v>
      </c>
      <c r="L444">
        <v>14</v>
      </c>
      <c r="M444">
        <v>0</v>
      </c>
      <c r="N444">
        <v>1</v>
      </c>
      <c r="O444">
        <v>3372</v>
      </c>
    </row>
    <row r="445" spans="1:15" x14ac:dyDescent="0.3">
      <c r="A445">
        <v>38</v>
      </c>
      <c r="B445" s="1" t="s">
        <v>18</v>
      </c>
      <c r="C445">
        <v>407005.78</v>
      </c>
      <c r="D445" s="1" t="s">
        <v>899</v>
      </c>
      <c r="E445">
        <v>0</v>
      </c>
      <c r="F445">
        <v>0</v>
      </c>
      <c r="G445" s="1" t="s">
        <v>900</v>
      </c>
      <c r="H445">
        <v>0</v>
      </c>
      <c r="I445">
        <v>407005.78</v>
      </c>
      <c r="J445">
        <v>1</v>
      </c>
      <c r="K445">
        <v>0</v>
      </c>
      <c r="L445">
        <v>14</v>
      </c>
      <c r="M445">
        <v>0</v>
      </c>
      <c r="N445">
        <v>0</v>
      </c>
      <c r="O445">
        <v>0</v>
      </c>
    </row>
    <row r="446" spans="1:15" x14ac:dyDescent="0.3">
      <c r="A446">
        <v>38</v>
      </c>
      <c r="B446" s="1" t="s">
        <v>15</v>
      </c>
      <c r="C446">
        <v>360688.3</v>
      </c>
      <c r="D446" s="1" t="s">
        <v>901</v>
      </c>
      <c r="E446">
        <v>360688.3</v>
      </c>
      <c r="F446">
        <v>0</v>
      </c>
      <c r="G446" s="1" t="s">
        <v>902</v>
      </c>
      <c r="H446">
        <v>0</v>
      </c>
      <c r="I446">
        <v>0</v>
      </c>
      <c r="J446">
        <v>1</v>
      </c>
      <c r="K446">
        <v>0</v>
      </c>
      <c r="L446">
        <v>14</v>
      </c>
      <c r="M446">
        <v>0</v>
      </c>
      <c r="N446">
        <v>1</v>
      </c>
      <c r="O446">
        <v>360688.3</v>
      </c>
    </row>
    <row r="447" spans="1:15" x14ac:dyDescent="0.3">
      <c r="A447">
        <v>38</v>
      </c>
      <c r="B447" s="1" t="s">
        <v>18</v>
      </c>
      <c r="C447">
        <v>360688.3</v>
      </c>
      <c r="D447" s="1" t="s">
        <v>903</v>
      </c>
      <c r="E447">
        <v>360688.3</v>
      </c>
      <c r="F447">
        <v>0</v>
      </c>
      <c r="G447" s="1" t="s">
        <v>904</v>
      </c>
      <c r="H447">
        <v>0</v>
      </c>
      <c r="I447">
        <v>360688.3</v>
      </c>
      <c r="J447">
        <v>1</v>
      </c>
      <c r="K447">
        <v>0</v>
      </c>
      <c r="L447">
        <v>14</v>
      </c>
      <c r="M447">
        <v>0</v>
      </c>
      <c r="N447">
        <v>1</v>
      </c>
      <c r="O447">
        <v>360688.3</v>
      </c>
    </row>
    <row r="448" spans="1:15" x14ac:dyDescent="0.3">
      <c r="A448">
        <v>39</v>
      </c>
      <c r="B448" s="1" t="s">
        <v>15</v>
      </c>
      <c r="C448">
        <v>2070814.27</v>
      </c>
      <c r="D448" s="1" t="s">
        <v>905</v>
      </c>
      <c r="E448">
        <v>2070814.27</v>
      </c>
      <c r="F448">
        <v>0</v>
      </c>
      <c r="G448" s="1" t="s">
        <v>906</v>
      </c>
      <c r="H448">
        <v>0</v>
      </c>
      <c r="I448">
        <v>0</v>
      </c>
      <c r="J448">
        <v>1</v>
      </c>
      <c r="K448">
        <v>0</v>
      </c>
      <c r="L448">
        <v>15</v>
      </c>
      <c r="M448">
        <v>0</v>
      </c>
      <c r="N448">
        <v>1</v>
      </c>
      <c r="O448">
        <v>2070814.27</v>
      </c>
    </row>
    <row r="449" spans="1:15" x14ac:dyDescent="0.3">
      <c r="A449">
        <v>39</v>
      </c>
      <c r="B449" s="1" t="s">
        <v>18</v>
      </c>
      <c r="C449">
        <v>2070814.27</v>
      </c>
      <c r="D449" s="1" t="s">
        <v>907</v>
      </c>
      <c r="E449">
        <v>2070814.27</v>
      </c>
      <c r="F449">
        <v>0</v>
      </c>
      <c r="G449" s="1" t="s">
        <v>908</v>
      </c>
      <c r="H449">
        <v>0</v>
      </c>
      <c r="I449">
        <v>2070814.27</v>
      </c>
      <c r="J449">
        <v>1</v>
      </c>
      <c r="K449">
        <v>0</v>
      </c>
      <c r="L449">
        <v>15</v>
      </c>
      <c r="M449">
        <v>0</v>
      </c>
      <c r="N449">
        <v>1</v>
      </c>
      <c r="O449">
        <v>2070814.27</v>
      </c>
    </row>
    <row r="450" spans="1:15" x14ac:dyDescent="0.3">
      <c r="A450">
        <v>39</v>
      </c>
      <c r="B450" s="1" t="s">
        <v>15</v>
      </c>
      <c r="C450">
        <v>238717.5</v>
      </c>
      <c r="D450" s="1" t="s">
        <v>909</v>
      </c>
      <c r="E450">
        <v>238717.5</v>
      </c>
      <c r="F450">
        <v>0</v>
      </c>
      <c r="G450" s="1" t="s">
        <v>910</v>
      </c>
      <c r="H450">
        <v>0</v>
      </c>
      <c r="I450">
        <v>0</v>
      </c>
      <c r="J450">
        <v>1</v>
      </c>
      <c r="K450">
        <v>0</v>
      </c>
      <c r="L450">
        <v>15</v>
      </c>
      <c r="M450">
        <v>0</v>
      </c>
      <c r="N450">
        <v>1</v>
      </c>
      <c r="O450">
        <v>238717.5</v>
      </c>
    </row>
    <row r="451" spans="1:15" x14ac:dyDescent="0.3">
      <c r="A451">
        <v>39</v>
      </c>
      <c r="B451" s="1" t="s">
        <v>18</v>
      </c>
      <c r="C451">
        <v>238717.5</v>
      </c>
      <c r="D451" s="1" t="s">
        <v>911</v>
      </c>
      <c r="E451">
        <v>238717.5</v>
      </c>
      <c r="F451">
        <v>0</v>
      </c>
      <c r="G451" s="1" t="s">
        <v>912</v>
      </c>
      <c r="H451">
        <v>601511.4</v>
      </c>
      <c r="I451">
        <v>671690.05</v>
      </c>
      <c r="J451">
        <v>1</v>
      </c>
      <c r="K451">
        <v>0</v>
      </c>
      <c r="L451">
        <v>15</v>
      </c>
      <c r="M451">
        <v>0</v>
      </c>
      <c r="N451">
        <v>1</v>
      </c>
      <c r="O451">
        <v>238717.5</v>
      </c>
    </row>
    <row r="452" spans="1:15" x14ac:dyDescent="0.3">
      <c r="A452">
        <v>39</v>
      </c>
      <c r="B452" s="1" t="s">
        <v>15</v>
      </c>
      <c r="C452">
        <v>18887</v>
      </c>
      <c r="D452" s="1" t="s">
        <v>913</v>
      </c>
      <c r="E452">
        <v>18887</v>
      </c>
      <c r="F452">
        <v>0</v>
      </c>
      <c r="G452" s="1" t="s">
        <v>914</v>
      </c>
      <c r="H452">
        <v>0</v>
      </c>
      <c r="I452">
        <v>0</v>
      </c>
      <c r="J452">
        <v>1</v>
      </c>
      <c r="K452">
        <v>0</v>
      </c>
      <c r="L452">
        <v>15</v>
      </c>
      <c r="M452">
        <v>0</v>
      </c>
      <c r="N452">
        <v>1</v>
      </c>
      <c r="O452">
        <v>18887</v>
      </c>
    </row>
    <row r="453" spans="1:15" x14ac:dyDescent="0.3">
      <c r="A453">
        <v>39</v>
      </c>
      <c r="B453" s="1" t="s">
        <v>18</v>
      </c>
      <c r="C453">
        <v>18887</v>
      </c>
      <c r="D453" s="1" t="s">
        <v>915</v>
      </c>
      <c r="E453">
        <v>18887</v>
      </c>
      <c r="F453">
        <v>0</v>
      </c>
      <c r="G453" s="1" t="s">
        <v>916</v>
      </c>
      <c r="H453">
        <v>131489.74</v>
      </c>
      <c r="I453">
        <v>150376.74</v>
      </c>
      <c r="J453">
        <v>1</v>
      </c>
      <c r="K453">
        <v>0</v>
      </c>
      <c r="L453">
        <v>15</v>
      </c>
      <c r="M453">
        <v>0</v>
      </c>
      <c r="N453">
        <v>1</v>
      </c>
      <c r="O453">
        <v>18887</v>
      </c>
    </row>
    <row r="454" spans="1:15" x14ac:dyDescent="0.3">
      <c r="A454">
        <v>39</v>
      </c>
      <c r="B454" s="1" t="s">
        <v>15</v>
      </c>
      <c r="C454">
        <v>7937954.2000000002</v>
      </c>
      <c r="D454" s="1" t="s">
        <v>917</v>
      </c>
      <c r="E454">
        <v>7937954.2000000002</v>
      </c>
      <c r="F454">
        <v>0</v>
      </c>
      <c r="G454" s="1" t="s">
        <v>918</v>
      </c>
      <c r="H454">
        <v>0</v>
      </c>
      <c r="I454">
        <v>0</v>
      </c>
      <c r="J454">
        <v>1</v>
      </c>
      <c r="K454">
        <v>0</v>
      </c>
      <c r="L454">
        <v>15</v>
      </c>
      <c r="M454">
        <v>0</v>
      </c>
      <c r="N454">
        <v>1</v>
      </c>
      <c r="O454">
        <v>7937954.2000000002</v>
      </c>
    </row>
    <row r="455" spans="1:15" x14ac:dyDescent="0.3">
      <c r="A455">
        <v>39</v>
      </c>
      <c r="B455" s="1" t="s">
        <v>18</v>
      </c>
      <c r="C455">
        <v>7937954.2000000002</v>
      </c>
      <c r="D455" s="1" t="s">
        <v>919</v>
      </c>
      <c r="E455">
        <v>7937954.2000000002</v>
      </c>
      <c r="F455">
        <v>0</v>
      </c>
      <c r="G455" s="1" t="s">
        <v>920</v>
      </c>
      <c r="H455">
        <v>2716480.56</v>
      </c>
      <c r="I455">
        <v>10700000</v>
      </c>
      <c r="J455">
        <v>1</v>
      </c>
      <c r="K455">
        <v>0</v>
      </c>
      <c r="L455">
        <v>15</v>
      </c>
      <c r="M455">
        <v>0</v>
      </c>
      <c r="N455">
        <v>1</v>
      </c>
      <c r="O455">
        <v>7937954.2000000002</v>
      </c>
    </row>
    <row r="456" spans="1:15" x14ac:dyDescent="0.3">
      <c r="A456">
        <v>39</v>
      </c>
      <c r="B456" s="1" t="s">
        <v>15</v>
      </c>
      <c r="C456">
        <v>39013.300000000003</v>
      </c>
      <c r="D456" s="1" t="s">
        <v>921</v>
      </c>
      <c r="E456">
        <v>39013.300000000003</v>
      </c>
      <c r="F456">
        <v>0</v>
      </c>
      <c r="G456" s="1" t="s">
        <v>922</v>
      </c>
      <c r="H456">
        <v>0</v>
      </c>
      <c r="I456">
        <v>0</v>
      </c>
      <c r="J456">
        <v>1</v>
      </c>
      <c r="K456">
        <v>0</v>
      </c>
      <c r="L456">
        <v>15</v>
      </c>
      <c r="M456">
        <v>0</v>
      </c>
      <c r="N456">
        <v>1</v>
      </c>
      <c r="O456">
        <v>39013.300000000003</v>
      </c>
    </row>
    <row r="457" spans="1:15" x14ac:dyDescent="0.3">
      <c r="A457">
        <v>39</v>
      </c>
      <c r="B457" s="1" t="s">
        <v>18</v>
      </c>
      <c r="C457">
        <v>39013.300000000003</v>
      </c>
      <c r="D457" s="1" t="s">
        <v>923</v>
      </c>
      <c r="E457">
        <v>39013.300000000003</v>
      </c>
      <c r="F457">
        <v>0</v>
      </c>
      <c r="G457" s="1" t="s">
        <v>924</v>
      </c>
      <c r="H457">
        <v>924162.55</v>
      </c>
      <c r="I457">
        <v>1089489.1100000001</v>
      </c>
      <c r="J457">
        <v>1</v>
      </c>
      <c r="K457">
        <v>0</v>
      </c>
      <c r="L457">
        <v>15</v>
      </c>
      <c r="M457">
        <v>0</v>
      </c>
      <c r="N457">
        <v>1</v>
      </c>
      <c r="O457">
        <v>39013.300000000003</v>
      </c>
    </row>
    <row r="458" spans="1:15" x14ac:dyDescent="0.3">
      <c r="A458">
        <v>39</v>
      </c>
      <c r="B458" s="1" t="s">
        <v>15</v>
      </c>
      <c r="C458">
        <v>152042.16</v>
      </c>
      <c r="D458" s="1" t="s">
        <v>925</v>
      </c>
      <c r="E458">
        <v>152042.16</v>
      </c>
      <c r="F458">
        <v>0</v>
      </c>
      <c r="G458" s="1" t="s">
        <v>926</v>
      </c>
      <c r="H458">
        <v>0</v>
      </c>
      <c r="I458">
        <v>0</v>
      </c>
      <c r="J458">
        <v>1</v>
      </c>
      <c r="K458">
        <v>0</v>
      </c>
      <c r="L458">
        <v>15</v>
      </c>
      <c r="M458">
        <v>0</v>
      </c>
      <c r="N458">
        <v>1</v>
      </c>
      <c r="O458">
        <v>152042.16</v>
      </c>
    </row>
    <row r="459" spans="1:15" x14ac:dyDescent="0.3">
      <c r="A459">
        <v>39</v>
      </c>
      <c r="B459" s="1" t="s">
        <v>18</v>
      </c>
      <c r="C459">
        <v>152042.16</v>
      </c>
      <c r="D459" s="1" t="s">
        <v>927</v>
      </c>
      <c r="E459">
        <v>152042.16</v>
      </c>
      <c r="F459">
        <v>0</v>
      </c>
      <c r="G459" s="1" t="s">
        <v>928</v>
      </c>
      <c r="H459">
        <v>710428.02</v>
      </c>
      <c r="I459">
        <v>862470.18</v>
      </c>
      <c r="J459">
        <v>1</v>
      </c>
      <c r="K459">
        <v>0</v>
      </c>
      <c r="L459">
        <v>15</v>
      </c>
      <c r="M459">
        <v>0</v>
      </c>
      <c r="N459">
        <v>1</v>
      </c>
      <c r="O459">
        <v>152042.16</v>
      </c>
    </row>
    <row r="460" spans="1:15" x14ac:dyDescent="0.3">
      <c r="A460">
        <v>40</v>
      </c>
      <c r="B460" s="1" t="s">
        <v>15</v>
      </c>
      <c r="C460">
        <v>26950.06</v>
      </c>
      <c r="D460" s="1" t="s">
        <v>929</v>
      </c>
      <c r="E460">
        <v>26950.06</v>
      </c>
      <c r="F460">
        <v>0</v>
      </c>
      <c r="G460" s="1" t="s">
        <v>930</v>
      </c>
      <c r="H460">
        <v>0</v>
      </c>
      <c r="I460">
        <v>0</v>
      </c>
      <c r="J460">
        <v>1</v>
      </c>
      <c r="K460">
        <v>0</v>
      </c>
      <c r="L460">
        <v>16</v>
      </c>
      <c r="M460">
        <v>0</v>
      </c>
      <c r="N460">
        <v>1</v>
      </c>
      <c r="O460">
        <v>26950.06</v>
      </c>
    </row>
    <row r="461" spans="1:15" x14ac:dyDescent="0.3">
      <c r="A461">
        <v>40</v>
      </c>
      <c r="B461" s="1" t="s">
        <v>18</v>
      </c>
      <c r="C461">
        <v>26950.06</v>
      </c>
      <c r="D461" s="1" t="s">
        <v>931</v>
      </c>
      <c r="E461">
        <v>26950.06</v>
      </c>
      <c r="F461">
        <v>0</v>
      </c>
      <c r="G461" s="1" t="s">
        <v>932</v>
      </c>
      <c r="H461">
        <v>255430.21</v>
      </c>
      <c r="I461">
        <v>282380.27</v>
      </c>
      <c r="J461">
        <v>1</v>
      </c>
      <c r="K461">
        <v>0</v>
      </c>
      <c r="L461">
        <v>16</v>
      </c>
      <c r="M461">
        <v>0</v>
      </c>
      <c r="N461">
        <v>1</v>
      </c>
      <c r="O461">
        <v>26950.06</v>
      </c>
    </row>
    <row r="462" spans="1:15" x14ac:dyDescent="0.3">
      <c r="A462">
        <v>40</v>
      </c>
      <c r="B462" s="1" t="s">
        <v>15</v>
      </c>
      <c r="C462">
        <v>20314.97</v>
      </c>
      <c r="D462" s="1" t="s">
        <v>933</v>
      </c>
      <c r="E462">
        <v>20314.97</v>
      </c>
      <c r="F462">
        <v>0</v>
      </c>
      <c r="G462" s="1" t="s">
        <v>934</v>
      </c>
      <c r="H462">
        <v>0</v>
      </c>
      <c r="I462">
        <v>0</v>
      </c>
      <c r="J462">
        <v>1</v>
      </c>
      <c r="K462">
        <v>0</v>
      </c>
      <c r="L462">
        <v>16</v>
      </c>
      <c r="M462">
        <v>0</v>
      </c>
      <c r="N462">
        <v>1</v>
      </c>
      <c r="O462">
        <v>20314.97</v>
      </c>
    </row>
    <row r="463" spans="1:15" x14ac:dyDescent="0.3">
      <c r="A463">
        <v>40</v>
      </c>
      <c r="B463" s="1" t="s">
        <v>18</v>
      </c>
      <c r="C463">
        <v>20314.97</v>
      </c>
      <c r="D463" s="1" t="s">
        <v>935</v>
      </c>
      <c r="E463">
        <v>20314.97</v>
      </c>
      <c r="F463">
        <v>0</v>
      </c>
      <c r="G463" s="1" t="s">
        <v>936</v>
      </c>
      <c r="H463">
        <v>1270005.54</v>
      </c>
      <c r="I463">
        <v>1290320.51</v>
      </c>
      <c r="J463">
        <v>1</v>
      </c>
      <c r="K463">
        <v>0</v>
      </c>
      <c r="L463">
        <v>16</v>
      </c>
      <c r="M463">
        <v>0</v>
      </c>
      <c r="N463">
        <v>1</v>
      </c>
      <c r="O463">
        <v>20314.97</v>
      </c>
    </row>
    <row r="464" spans="1:15" x14ac:dyDescent="0.3">
      <c r="A464">
        <v>40</v>
      </c>
      <c r="B464" s="1" t="s">
        <v>15</v>
      </c>
      <c r="C464">
        <v>6188772.4400000004</v>
      </c>
      <c r="D464" s="1" t="s">
        <v>937</v>
      </c>
      <c r="E464">
        <v>6188772.4400000004</v>
      </c>
      <c r="F464">
        <v>0</v>
      </c>
      <c r="G464" s="1" t="s">
        <v>938</v>
      </c>
      <c r="H464">
        <v>0</v>
      </c>
      <c r="I464">
        <v>0</v>
      </c>
      <c r="J464">
        <v>1</v>
      </c>
      <c r="K464">
        <v>0</v>
      </c>
      <c r="L464">
        <v>16</v>
      </c>
      <c r="M464">
        <v>0</v>
      </c>
      <c r="N464">
        <v>1</v>
      </c>
      <c r="O464">
        <v>6188772.4400000004</v>
      </c>
    </row>
    <row r="465" spans="1:15" x14ac:dyDescent="0.3">
      <c r="A465">
        <v>40</v>
      </c>
      <c r="B465" s="1" t="s">
        <v>18</v>
      </c>
      <c r="C465">
        <v>6188772.4400000004</v>
      </c>
      <c r="D465" s="1" t="s">
        <v>939</v>
      </c>
      <c r="E465">
        <v>6188772.4400000004</v>
      </c>
      <c r="F465">
        <v>0</v>
      </c>
      <c r="G465" s="1" t="s">
        <v>940</v>
      </c>
      <c r="H465">
        <v>6056796.7400000002</v>
      </c>
      <c r="I465">
        <v>12400000</v>
      </c>
      <c r="J465">
        <v>1</v>
      </c>
      <c r="K465">
        <v>0</v>
      </c>
      <c r="L465">
        <v>16</v>
      </c>
      <c r="M465">
        <v>0</v>
      </c>
      <c r="N465">
        <v>1</v>
      </c>
      <c r="O465">
        <v>6188772.4400000004</v>
      </c>
    </row>
    <row r="466" spans="1:15" x14ac:dyDescent="0.3">
      <c r="A466">
        <v>40</v>
      </c>
      <c r="B466" s="1" t="s">
        <v>15</v>
      </c>
      <c r="C466">
        <v>2757431.53</v>
      </c>
      <c r="D466" s="1" t="s">
        <v>941</v>
      </c>
      <c r="E466">
        <v>2757431.53</v>
      </c>
      <c r="F466">
        <v>0</v>
      </c>
      <c r="G466" s="1" t="s">
        <v>942</v>
      </c>
      <c r="H466">
        <v>0</v>
      </c>
      <c r="I466">
        <v>0</v>
      </c>
      <c r="J466">
        <v>1</v>
      </c>
      <c r="K466">
        <v>0</v>
      </c>
      <c r="L466">
        <v>16</v>
      </c>
      <c r="M466">
        <v>0</v>
      </c>
      <c r="N466">
        <v>1</v>
      </c>
      <c r="O466">
        <v>2757431.53</v>
      </c>
    </row>
    <row r="467" spans="1:15" x14ac:dyDescent="0.3">
      <c r="A467">
        <v>40</v>
      </c>
      <c r="B467" s="1" t="s">
        <v>18</v>
      </c>
      <c r="C467">
        <v>2757431.53</v>
      </c>
      <c r="D467" s="1" t="s">
        <v>943</v>
      </c>
      <c r="E467">
        <v>2757431.53</v>
      </c>
      <c r="F467">
        <v>0</v>
      </c>
      <c r="G467" s="1" t="s">
        <v>944</v>
      </c>
      <c r="H467">
        <v>0</v>
      </c>
      <c r="I467">
        <v>2757431.53</v>
      </c>
      <c r="J467">
        <v>1</v>
      </c>
      <c r="K467">
        <v>0</v>
      </c>
      <c r="L467">
        <v>16</v>
      </c>
      <c r="M467">
        <v>0</v>
      </c>
      <c r="N467">
        <v>1</v>
      </c>
      <c r="O467">
        <v>2757431.53</v>
      </c>
    </row>
    <row r="468" spans="1:15" x14ac:dyDescent="0.3">
      <c r="A468">
        <v>40</v>
      </c>
      <c r="B468" s="1" t="s">
        <v>15</v>
      </c>
      <c r="C468">
        <v>7887.75</v>
      </c>
      <c r="D468" s="1" t="s">
        <v>945</v>
      </c>
      <c r="E468">
        <v>7887.75</v>
      </c>
      <c r="F468">
        <v>0</v>
      </c>
      <c r="G468" s="1" t="s">
        <v>946</v>
      </c>
      <c r="H468">
        <v>0</v>
      </c>
      <c r="I468">
        <v>0</v>
      </c>
      <c r="J468">
        <v>1</v>
      </c>
      <c r="K468">
        <v>0</v>
      </c>
      <c r="L468">
        <v>16</v>
      </c>
      <c r="M468">
        <v>0</v>
      </c>
      <c r="N468">
        <v>1</v>
      </c>
      <c r="O468">
        <v>7887.75</v>
      </c>
    </row>
    <row r="469" spans="1:15" x14ac:dyDescent="0.3">
      <c r="A469">
        <v>40</v>
      </c>
      <c r="B469" s="1" t="s">
        <v>18</v>
      </c>
      <c r="C469">
        <v>7887.75</v>
      </c>
      <c r="D469" s="1" t="s">
        <v>947</v>
      </c>
      <c r="E469">
        <v>7887.75</v>
      </c>
      <c r="F469">
        <v>0</v>
      </c>
      <c r="G469" s="1" t="s">
        <v>948</v>
      </c>
      <c r="H469">
        <v>0</v>
      </c>
      <c r="I469">
        <v>7887.75</v>
      </c>
      <c r="J469">
        <v>1</v>
      </c>
      <c r="K469">
        <v>0</v>
      </c>
      <c r="L469">
        <v>16</v>
      </c>
      <c r="M469">
        <v>0</v>
      </c>
      <c r="N469">
        <v>1</v>
      </c>
      <c r="O469">
        <v>7887.75</v>
      </c>
    </row>
    <row r="470" spans="1:15" x14ac:dyDescent="0.3">
      <c r="A470">
        <v>40</v>
      </c>
      <c r="B470" s="1" t="s">
        <v>15</v>
      </c>
      <c r="C470">
        <v>31930.240000000002</v>
      </c>
      <c r="D470" s="1" t="s">
        <v>949</v>
      </c>
      <c r="E470">
        <v>31930.240000000002</v>
      </c>
      <c r="F470">
        <v>0</v>
      </c>
      <c r="G470" s="1" t="s">
        <v>950</v>
      </c>
      <c r="H470">
        <v>0</v>
      </c>
      <c r="I470">
        <v>0</v>
      </c>
      <c r="J470">
        <v>1</v>
      </c>
      <c r="K470">
        <v>0</v>
      </c>
      <c r="L470">
        <v>16</v>
      </c>
      <c r="M470">
        <v>0</v>
      </c>
      <c r="N470">
        <v>1</v>
      </c>
      <c r="O470">
        <v>31930.240000000002</v>
      </c>
    </row>
    <row r="471" spans="1:15" x14ac:dyDescent="0.3">
      <c r="A471">
        <v>40</v>
      </c>
      <c r="B471" s="1" t="s">
        <v>18</v>
      </c>
      <c r="C471">
        <v>31930.240000000002</v>
      </c>
      <c r="D471" s="1" t="s">
        <v>951</v>
      </c>
      <c r="E471">
        <v>31930.240000000002</v>
      </c>
      <c r="F471">
        <v>0</v>
      </c>
      <c r="G471" s="1" t="s">
        <v>952</v>
      </c>
      <c r="H471">
        <v>113287.58</v>
      </c>
      <c r="I471">
        <v>145217.82</v>
      </c>
      <c r="J471">
        <v>1</v>
      </c>
      <c r="K471">
        <v>0</v>
      </c>
      <c r="L471">
        <v>16</v>
      </c>
      <c r="M471">
        <v>0</v>
      </c>
      <c r="N471">
        <v>1</v>
      </c>
      <c r="O471">
        <v>31930.240000000002</v>
      </c>
    </row>
    <row r="472" spans="1:15" x14ac:dyDescent="0.3">
      <c r="A472">
        <v>40</v>
      </c>
      <c r="B472" s="1" t="s">
        <v>15</v>
      </c>
      <c r="C472">
        <v>212613.29</v>
      </c>
      <c r="D472" s="1" t="s">
        <v>953</v>
      </c>
      <c r="E472">
        <v>212613.29</v>
      </c>
      <c r="F472">
        <v>0</v>
      </c>
      <c r="G472" s="1" t="s">
        <v>954</v>
      </c>
      <c r="H472">
        <v>0</v>
      </c>
      <c r="I472">
        <v>0</v>
      </c>
      <c r="J472">
        <v>1</v>
      </c>
      <c r="K472">
        <v>0</v>
      </c>
      <c r="L472">
        <v>16</v>
      </c>
      <c r="M472">
        <v>0</v>
      </c>
      <c r="N472">
        <v>1</v>
      </c>
      <c r="O472">
        <v>212613.29</v>
      </c>
    </row>
    <row r="473" spans="1:15" x14ac:dyDescent="0.3">
      <c r="A473">
        <v>40</v>
      </c>
      <c r="B473" s="1" t="s">
        <v>18</v>
      </c>
      <c r="C473">
        <v>212613.29</v>
      </c>
      <c r="D473" s="1" t="s">
        <v>955</v>
      </c>
      <c r="E473">
        <v>212613.29</v>
      </c>
      <c r="F473">
        <v>0</v>
      </c>
      <c r="G473" s="1" t="s">
        <v>956</v>
      </c>
      <c r="H473">
        <v>1370788.41</v>
      </c>
      <c r="I473">
        <v>1583401.69</v>
      </c>
      <c r="J473">
        <v>1</v>
      </c>
      <c r="K473">
        <v>0</v>
      </c>
      <c r="L473">
        <v>16</v>
      </c>
      <c r="M473">
        <v>0</v>
      </c>
      <c r="N473">
        <v>1</v>
      </c>
      <c r="O473">
        <v>212613.29</v>
      </c>
    </row>
    <row r="474" spans="1:15" x14ac:dyDescent="0.3">
      <c r="A474">
        <v>41</v>
      </c>
      <c r="B474" s="1" t="s">
        <v>15</v>
      </c>
      <c r="C474">
        <v>581889.93999999994</v>
      </c>
      <c r="D474" s="1" t="s">
        <v>957</v>
      </c>
      <c r="E474">
        <v>581889.93999999994</v>
      </c>
      <c r="F474">
        <v>0</v>
      </c>
      <c r="G474" s="1" t="s">
        <v>958</v>
      </c>
      <c r="H474">
        <v>0</v>
      </c>
      <c r="I474">
        <v>0</v>
      </c>
      <c r="J474">
        <v>1</v>
      </c>
      <c r="K474">
        <v>0</v>
      </c>
      <c r="L474">
        <v>17</v>
      </c>
      <c r="M474">
        <v>0</v>
      </c>
      <c r="N474">
        <v>1</v>
      </c>
      <c r="O474">
        <v>581889.93999999994</v>
      </c>
    </row>
    <row r="475" spans="1:15" x14ac:dyDescent="0.3">
      <c r="A475">
        <v>41</v>
      </c>
      <c r="B475" s="1" t="s">
        <v>18</v>
      </c>
      <c r="C475">
        <v>581889.93999999994</v>
      </c>
      <c r="D475" s="1" t="s">
        <v>959</v>
      </c>
      <c r="E475">
        <v>581889.93999999994</v>
      </c>
      <c r="F475">
        <v>0</v>
      </c>
      <c r="G475" s="1" t="s">
        <v>960</v>
      </c>
      <c r="H475">
        <v>359585.03</v>
      </c>
      <c r="I475">
        <v>941474.97</v>
      </c>
      <c r="J475">
        <v>1</v>
      </c>
      <c r="K475">
        <v>0</v>
      </c>
      <c r="L475">
        <v>17</v>
      </c>
      <c r="M475">
        <v>0</v>
      </c>
      <c r="N475">
        <v>1</v>
      </c>
      <c r="O475">
        <v>581889.93999999994</v>
      </c>
    </row>
    <row r="476" spans="1:15" x14ac:dyDescent="0.3">
      <c r="A476">
        <v>41</v>
      </c>
      <c r="B476" s="1" t="s">
        <v>15</v>
      </c>
      <c r="C476">
        <v>1783144.33</v>
      </c>
      <c r="D476" s="1" t="s">
        <v>961</v>
      </c>
      <c r="E476">
        <v>1783144.33</v>
      </c>
      <c r="F476">
        <v>0</v>
      </c>
      <c r="G476" s="1" t="s">
        <v>962</v>
      </c>
      <c r="H476">
        <v>0</v>
      </c>
      <c r="I476">
        <v>0</v>
      </c>
      <c r="J476">
        <v>1</v>
      </c>
      <c r="K476">
        <v>0</v>
      </c>
      <c r="L476">
        <v>17</v>
      </c>
      <c r="M476">
        <v>0</v>
      </c>
      <c r="N476">
        <v>1</v>
      </c>
      <c r="O476">
        <v>1783144.33</v>
      </c>
    </row>
    <row r="477" spans="1:15" x14ac:dyDescent="0.3">
      <c r="A477">
        <v>41</v>
      </c>
      <c r="B477" s="1" t="s">
        <v>18</v>
      </c>
      <c r="C477">
        <v>1783144.33</v>
      </c>
      <c r="D477" s="1" t="s">
        <v>963</v>
      </c>
      <c r="E477">
        <v>1783144.33</v>
      </c>
      <c r="F477">
        <v>0</v>
      </c>
      <c r="G477" s="1" t="s">
        <v>964</v>
      </c>
      <c r="H477">
        <v>1793786.8</v>
      </c>
      <c r="I477">
        <v>3576931.13</v>
      </c>
      <c r="J477">
        <v>1</v>
      </c>
      <c r="K477">
        <v>0</v>
      </c>
      <c r="L477">
        <v>17</v>
      </c>
      <c r="M477">
        <v>0</v>
      </c>
      <c r="N477">
        <v>1</v>
      </c>
      <c r="O477">
        <v>1783144.33</v>
      </c>
    </row>
    <row r="478" spans="1:15" x14ac:dyDescent="0.3">
      <c r="A478">
        <v>41</v>
      </c>
      <c r="B478" s="1" t="s">
        <v>15</v>
      </c>
      <c r="C478">
        <v>82806.2</v>
      </c>
      <c r="D478" s="1" t="s">
        <v>965</v>
      </c>
      <c r="E478">
        <v>82806.2</v>
      </c>
      <c r="F478">
        <v>0</v>
      </c>
      <c r="G478" s="1" t="s">
        <v>966</v>
      </c>
      <c r="H478">
        <v>0</v>
      </c>
      <c r="I478">
        <v>0</v>
      </c>
      <c r="J478">
        <v>1</v>
      </c>
      <c r="K478">
        <v>0</v>
      </c>
      <c r="L478">
        <v>17</v>
      </c>
      <c r="M478">
        <v>0</v>
      </c>
      <c r="N478">
        <v>1</v>
      </c>
      <c r="O478">
        <v>82806.2</v>
      </c>
    </row>
    <row r="479" spans="1:15" x14ac:dyDescent="0.3">
      <c r="A479">
        <v>41</v>
      </c>
      <c r="B479" s="1" t="s">
        <v>18</v>
      </c>
      <c r="C479">
        <v>82806.2</v>
      </c>
      <c r="D479" s="1" t="s">
        <v>967</v>
      </c>
      <c r="E479">
        <v>82806.2</v>
      </c>
      <c r="F479">
        <v>0</v>
      </c>
      <c r="G479" s="1" t="s">
        <v>968</v>
      </c>
      <c r="H479">
        <v>0</v>
      </c>
      <c r="I479">
        <v>0</v>
      </c>
      <c r="J479">
        <v>1</v>
      </c>
      <c r="K479">
        <v>0</v>
      </c>
      <c r="L479">
        <v>17</v>
      </c>
      <c r="M479">
        <v>0</v>
      </c>
      <c r="N479">
        <v>1</v>
      </c>
      <c r="O479">
        <v>82806.2</v>
      </c>
    </row>
    <row r="480" spans="1:15" x14ac:dyDescent="0.3">
      <c r="A480">
        <v>41</v>
      </c>
      <c r="B480" s="1" t="s">
        <v>15</v>
      </c>
      <c r="C480">
        <v>32690.68</v>
      </c>
      <c r="D480" s="1" t="s">
        <v>969</v>
      </c>
      <c r="E480">
        <v>32690.68</v>
      </c>
      <c r="F480">
        <v>0</v>
      </c>
      <c r="G480" s="1" t="s">
        <v>970</v>
      </c>
      <c r="H480">
        <v>0</v>
      </c>
      <c r="I480">
        <v>0</v>
      </c>
      <c r="J480">
        <v>1</v>
      </c>
      <c r="K480">
        <v>0</v>
      </c>
      <c r="L480">
        <v>17</v>
      </c>
      <c r="M480">
        <v>0</v>
      </c>
      <c r="N480">
        <v>1</v>
      </c>
      <c r="O480">
        <v>32690.68</v>
      </c>
    </row>
    <row r="481" spans="1:15" x14ac:dyDescent="0.3">
      <c r="A481">
        <v>41</v>
      </c>
      <c r="B481" s="1" t="s">
        <v>18</v>
      </c>
      <c r="C481">
        <v>32690.68</v>
      </c>
      <c r="D481" s="1" t="s">
        <v>971</v>
      </c>
      <c r="E481">
        <v>32690.68</v>
      </c>
      <c r="F481">
        <v>0</v>
      </c>
      <c r="G481" s="1" t="s">
        <v>972</v>
      </c>
      <c r="H481">
        <v>2361188.1</v>
      </c>
      <c r="I481">
        <v>2393878.7799999998</v>
      </c>
      <c r="J481">
        <v>1</v>
      </c>
      <c r="K481">
        <v>0</v>
      </c>
      <c r="L481">
        <v>17</v>
      </c>
      <c r="M481">
        <v>0</v>
      </c>
      <c r="N481">
        <v>1</v>
      </c>
      <c r="O481">
        <v>32690.68</v>
      </c>
    </row>
    <row r="482" spans="1:15" x14ac:dyDescent="0.3">
      <c r="A482">
        <v>41</v>
      </c>
      <c r="B482" s="1" t="s">
        <v>15</v>
      </c>
      <c r="C482">
        <v>1270564.3400000001</v>
      </c>
      <c r="D482" s="1" t="s">
        <v>973</v>
      </c>
      <c r="E482">
        <v>1270564.3400000001</v>
      </c>
      <c r="F482">
        <v>0</v>
      </c>
      <c r="G482" s="1" t="s">
        <v>974</v>
      </c>
      <c r="H482">
        <v>0</v>
      </c>
      <c r="I482">
        <v>0</v>
      </c>
      <c r="J482">
        <v>1</v>
      </c>
      <c r="K482">
        <v>0</v>
      </c>
      <c r="L482">
        <v>17</v>
      </c>
      <c r="M482">
        <v>0</v>
      </c>
      <c r="N482">
        <v>1</v>
      </c>
      <c r="O482">
        <v>1270564.3400000001</v>
      </c>
    </row>
    <row r="483" spans="1:15" x14ac:dyDescent="0.3">
      <c r="A483">
        <v>41</v>
      </c>
      <c r="B483" s="1" t="s">
        <v>18</v>
      </c>
      <c r="C483">
        <v>1270564.3400000001</v>
      </c>
      <c r="D483" s="1" t="s">
        <v>975</v>
      </c>
      <c r="E483">
        <v>1270564.3400000001</v>
      </c>
      <c r="F483">
        <v>0</v>
      </c>
      <c r="G483" s="1" t="s">
        <v>976</v>
      </c>
      <c r="H483">
        <v>0</v>
      </c>
      <c r="I483">
        <v>1270564.3400000001</v>
      </c>
      <c r="J483">
        <v>1</v>
      </c>
      <c r="K483">
        <v>0</v>
      </c>
      <c r="L483">
        <v>17</v>
      </c>
      <c r="M483">
        <v>0</v>
      </c>
      <c r="N483">
        <v>1</v>
      </c>
      <c r="O483">
        <v>1270564.3400000001</v>
      </c>
    </row>
    <row r="484" spans="1:15" x14ac:dyDescent="0.3">
      <c r="A484">
        <v>41</v>
      </c>
      <c r="B484" s="1" t="s">
        <v>15</v>
      </c>
      <c r="C484">
        <v>2885466.96</v>
      </c>
      <c r="D484" s="1" t="s">
        <v>977</v>
      </c>
      <c r="E484">
        <v>2885466.96</v>
      </c>
      <c r="F484">
        <v>0</v>
      </c>
      <c r="G484" s="1" t="s">
        <v>978</v>
      </c>
      <c r="H484">
        <v>0</v>
      </c>
      <c r="I484">
        <v>0</v>
      </c>
      <c r="J484">
        <v>1</v>
      </c>
      <c r="K484">
        <v>0</v>
      </c>
      <c r="L484">
        <v>17</v>
      </c>
      <c r="M484">
        <v>0</v>
      </c>
      <c r="N484">
        <v>1</v>
      </c>
      <c r="O484">
        <v>2885466.96</v>
      </c>
    </row>
    <row r="485" spans="1:15" x14ac:dyDescent="0.3">
      <c r="A485">
        <v>41</v>
      </c>
      <c r="B485" s="1" t="s">
        <v>18</v>
      </c>
      <c r="C485">
        <v>2885466.96</v>
      </c>
      <c r="D485" s="1" t="s">
        <v>979</v>
      </c>
      <c r="E485">
        <v>2885466.96</v>
      </c>
      <c r="F485">
        <v>0</v>
      </c>
      <c r="G485" s="1" t="s">
        <v>980</v>
      </c>
      <c r="H485">
        <v>28131.01</v>
      </c>
      <c r="I485">
        <v>3268477.05</v>
      </c>
      <c r="J485">
        <v>1</v>
      </c>
      <c r="K485">
        <v>0</v>
      </c>
      <c r="L485">
        <v>17</v>
      </c>
      <c r="M485">
        <v>0</v>
      </c>
      <c r="N485">
        <v>1</v>
      </c>
      <c r="O485">
        <v>2885466.96</v>
      </c>
    </row>
    <row r="486" spans="1:15" x14ac:dyDescent="0.3">
      <c r="A486">
        <v>42</v>
      </c>
      <c r="B486" s="1" t="s">
        <v>15</v>
      </c>
      <c r="C486">
        <v>334276.08</v>
      </c>
      <c r="D486" s="1" t="s">
        <v>981</v>
      </c>
      <c r="E486">
        <v>334276.08</v>
      </c>
      <c r="F486">
        <v>0</v>
      </c>
      <c r="G486" s="1" t="s">
        <v>982</v>
      </c>
      <c r="H486">
        <v>0</v>
      </c>
      <c r="I486">
        <v>0</v>
      </c>
      <c r="J486">
        <v>1</v>
      </c>
      <c r="K486">
        <v>0</v>
      </c>
      <c r="L486">
        <v>18</v>
      </c>
      <c r="M486">
        <v>0</v>
      </c>
      <c r="N486">
        <v>1</v>
      </c>
      <c r="O486">
        <v>334276.08</v>
      </c>
    </row>
    <row r="487" spans="1:15" x14ac:dyDescent="0.3">
      <c r="A487">
        <v>42</v>
      </c>
      <c r="B487" s="1" t="s">
        <v>18</v>
      </c>
      <c r="C487">
        <v>334276.08</v>
      </c>
      <c r="D487" s="1" t="s">
        <v>983</v>
      </c>
      <c r="E487">
        <v>334276.08</v>
      </c>
      <c r="F487">
        <v>0</v>
      </c>
      <c r="G487" s="1" t="s">
        <v>984</v>
      </c>
      <c r="H487">
        <v>318089.61</v>
      </c>
      <c r="I487">
        <v>652365.68000000005</v>
      </c>
      <c r="J487">
        <v>1</v>
      </c>
      <c r="K487">
        <v>0</v>
      </c>
      <c r="L487">
        <v>18</v>
      </c>
      <c r="M487">
        <v>0</v>
      </c>
      <c r="N487">
        <v>1</v>
      </c>
      <c r="O487">
        <v>334276.08</v>
      </c>
    </row>
    <row r="488" spans="1:15" x14ac:dyDescent="0.3">
      <c r="A488">
        <v>42</v>
      </c>
      <c r="B488" s="1" t="s">
        <v>15</v>
      </c>
      <c r="C488">
        <v>3569720.42</v>
      </c>
      <c r="D488" s="1" t="s">
        <v>985</v>
      </c>
      <c r="E488">
        <v>3569720.42</v>
      </c>
      <c r="F488">
        <v>0</v>
      </c>
      <c r="G488" s="1" t="s">
        <v>986</v>
      </c>
      <c r="H488">
        <v>0</v>
      </c>
      <c r="I488">
        <v>0</v>
      </c>
      <c r="J488">
        <v>1</v>
      </c>
      <c r="K488">
        <v>0</v>
      </c>
      <c r="L488">
        <v>18</v>
      </c>
      <c r="M488">
        <v>0</v>
      </c>
      <c r="N488">
        <v>1</v>
      </c>
      <c r="O488">
        <v>3569720.42</v>
      </c>
    </row>
    <row r="489" spans="1:15" x14ac:dyDescent="0.3">
      <c r="A489">
        <v>42</v>
      </c>
      <c r="B489" s="1" t="s">
        <v>18</v>
      </c>
      <c r="C489">
        <v>3569720.42</v>
      </c>
      <c r="D489" s="1" t="s">
        <v>987</v>
      </c>
      <c r="E489">
        <v>3569720.42</v>
      </c>
      <c r="F489">
        <v>0</v>
      </c>
      <c r="G489" s="1" t="s">
        <v>988</v>
      </c>
      <c r="H489">
        <v>0</v>
      </c>
      <c r="I489">
        <v>3569720.42</v>
      </c>
      <c r="J489">
        <v>1</v>
      </c>
      <c r="K489">
        <v>0</v>
      </c>
      <c r="L489">
        <v>18</v>
      </c>
      <c r="M489">
        <v>0</v>
      </c>
      <c r="N489">
        <v>1</v>
      </c>
      <c r="O489">
        <v>3569720.42</v>
      </c>
    </row>
    <row r="490" spans="1:15" x14ac:dyDescent="0.3">
      <c r="A490">
        <v>42</v>
      </c>
      <c r="B490" s="1" t="s">
        <v>15</v>
      </c>
      <c r="C490">
        <v>1566057.28</v>
      </c>
      <c r="D490" s="1" t="s">
        <v>989</v>
      </c>
      <c r="E490">
        <v>1566057.28</v>
      </c>
      <c r="F490">
        <v>0</v>
      </c>
      <c r="G490" s="1" t="s">
        <v>990</v>
      </c>
      <c r="H490">
        <v>0</v>
      </c>
      <c r="I490">
        <v>0</v>
      </c>
      <c r="J490">
        <v>1</v>
      </c>
      <c r="K490">
        <v>0</v>
      </c>
      <c r="L490">
        <v>18</v>
      </c>
      <c r="M490">
        <v>0</v>
      </c>
      <c r="N490">
        <v>1</v>
      </c>
      <c r="O490">
        <v>1566057.28</v>
      </c>
    </row>
    <row r="491" spans="1:15" x14ac:dyDescent="0.3">
      <c r="A491">
        <v>42</v>
      </c>
      <c r="B491" s="1" t="s">
        <v>18</v>
      </c>
      <c r="C491">
        <v>1566057.28</v>
      </c>
      <c r="D491" s="1" t="s">
        <v>991</v>
      </c>
      <c r="E491">
        <v>1566057.28</v>
      </c>
      <c r="F491">
        <v>0</v>
      </c>
      <c r="G491" s="1" t="s">
        <v>992</v>
      </c>
      <c r="H491">
        <v>0</v>
      </c>
      <c r="I491">
        <v>1566057.28</v>
      </c>
      <c r="J491">
        <v>1</v>
      </c>
      <c r="K491">
        <v>0</v>
      </c>
      <c r="L491">
        <v>18</v>
      </c>
      <c r="M491">
        <v>0</v>
      </c>
      <c r="N491">
        <v>1</v>
      </c>
      <c r="O491">
        <v>1566057.28</v>
      </c>
    </row>
    <row r="492" spans="1:15" x14ac:dyDescent="0.3">
      <c r="A492">
        <v>42</v>
      </c>
      <c r="B492" s="1" t="s">
        <v>15</v>
      </c>
      <c r="C492">
        <v>5032484.7300000004</v>
      </c>
      <c r="D492" s="1" t="s">
        <v>993</v>
      </c>
      <c r="E492">
        <v>5032484.7300000004</v>
      </c>
      <c r="F492">
        <v>0</v>
      </c>
      <c r="G492" s="1" t="s">
        <v>994</v>
      </c>
      <c r="H492">
        <v>0</v>
      </c>
      <c r="I492">
        <v>0</v>
      </c>
      <c r="J492">
        <v>1</v>
      </c>
      <c r="K492">
        <v>0</v>
      </c>
      <c r="L492">
        <v>18</v>
      </c>
      <c r="M492">
        <v>0</v>
      </c>
      <c r="N492">
        <v>1</v>
      </c>
      <c r="O492">
        <v>5032484.7300000004</v>
      </c>
    </row>
    <row r="493" spans="1:15" x14ac:dyDescent="0.3">
      <c r="A493">
        <v>42</v>
      </c>
      <c r="B493" s="1" t="s">
        <v>18</v>
      </c>
      <c r="C493">
        <v>5032484.7300000004</v>
      </c>
      <c r="D493" s="1" t="s">
        <v>995</v>
      </c>
      <c r="E493">
        <v>5032484.7300000004</v>
      </c>
      <c r="F493">
        <v>0</v>
      </c>
      <c r="G493" s="1" t="s">
        <v>996</v>
      </c>
      <c r="H493">
        <v>873589.17</v>
      </c>
      <c r="I493">
        <v>5906073.9000000004</v>
      </c>
      <c r="J493">
        <v>1</v>
      </c>
      <c r="K493">
        <v>0</v>
      </c>
      <c r="L493">
        <v>18</v>
      </c>
      <c r="M493">
        <v>0</v>
      </c>
      <c r="N493">
        <v>1</v>
      </c>
      <c r="O493">
        <v>5032484.7300000004</v>
      </c>
    </row>
    <row r="494" spans="1:15" x14ac:dyDescent="0.3">
      <c r="A494">
        <v>42</v>
      </c>
      <c r="B494" s="1" t="s">
        <v>15</v>
      </c>
      <c r="C494">
        <v>36359.57</v>
      </c>
      <c r="D494" s="1" t="s">
        <v>997</v>
      </c>
      <c r="E494">
        <v>36359.57</v>
      </c>
      <c r="F494">
        <v>0</v>
      </c>
      <c r="G494" s="1" t="s">
        <v>998</v>
      </c>
      <c r="H494">
        <v>0</v>
      </c>
      <c r="I494">
        <v>0</v>
      </c>
      <c r="J494">
        <v>1</v>
      </c>
      <c r="K494">
        <v>0</v>
      </c>
      <c r="L494">
        <v>18</v>
      </c>
      <c r="M494">
        <v>0</v>
      </c>
      <c r="N494">
        <v>1</v>
      </c>
      <c r="O494">
        <v>36359.57</v>
      </c>
    </row>
    <row r="495" spans="1:15" x14ac:dyDescent="0.3">
      <c r="A495">
        <v>42</v>
      </c>
      <c r="B495" s="1" t="s">
        <v>18</v>
      </c>
      <c r="C495">
        <v>36359.57</v>
      </c>
      <c r="D495" s="1" t="s">
        <v>999</v>
      </c>
      <c r="E495">
        <v>36359.57</v>
      </c>
      <c r="F495">
        <v>0</v>
      </c>
      <c r="G495" s="1" t="s">
        <v>1000</v>
      </c>
      <c r="H495">
        <v>20206.650000000001</v>
      </c>
      <c r="I495">
        <v>56566.22</v>
      </c>
      <c r="J495">
        <v>1</v>
      </c>
      <c r="K495">
        <v>0</v>
      </c>
      <c r="L495">
        <v>18</v>
      </c>
      <c r="M495">
        <v>0</v>
      </c>
      <c r="N495">
        <v>1</v>
      </c>
      <c r="O495">
        <v>36359.57</v>
      </c>
    </row>
    <row r="496" spans="1:15" x14ac:dyDescent="0.3">
      <c r="A496">
        <v>42</v>
      </c>
      <c r="B496" s="1" t="s">
        <v>15</v>
      </c>
      <c r="C496">
        <v>506867.52</v>
      </c>
      <c r="D496" s="1" t="s">
        <v>1001</v>
      </c>
      <c r="E496">
        <v>506867.52</v>
      </c>
      <c r="F496">
        <v>0</v>
      </c>
      <c r="G496" s="1" t="s">
        <v>1002</v>
      </c>
      <c r="H496">
        <v>0</v>
      </c>
      <c r="I496">
        <v>0</v>
      </c>
      <c r="J496">
        <v>1</v>
      </c>
      <c r="K496">
        <v>0</v>
      </c>
      <c r="L496">
        <v>18</v>
      </c>
      <c r="M496">
        <v>0</v>
      </c>
      <c r="N496">
        <v>1</v>
      </c>
      <c r="O496">
        <v>506867.52</v>
      </c>
    </row>
    <row r="497" spans="1:15" x14ac:dyDescent="0.3">
      <c r="A497">
        <v>42</v>
      </c>
      <c r="B497" s="1" t="s">
        <v>18</v>
      </c>
      <c r="C497">
        <v>506867.52</v>
      </c>
      <c r="D497" s="1" t="s">
        <v>1003</v>
      </c>
      <c r="E497">
        <v>506867.52</v>
      </c>
      <c r="F497">
        <v>0</v>
      </c>
      <c r="G497" s="1" t="s">
        <v>1004</v>
      </c>
      <c r="H497">
        <v>0</v>
      </c>
      <c r="I497">
        <v>458682.99</v>
      </c>
      <c r="J497">
        <v>1</v>
      </c>
      <c r="K497">
        <v>0</v>
      </c>
      <c r="L497">
        <v>18</v>
      </c>
      <c r="M497">
        <v>0</v>
      </c>
      <c r="N497">
        <v>1</v>
      </c>
      <c r="O497">
        <v>506867.52</v>
      </c>
    </row>
    <row r="498" spans="1:15" x14ac:dyDescent="0.3">
      <c r="A498">
        <v>42</v>
      </c>
      <c r="B498" s="1" t="s">
        <v>15</v>
      </c>
      <c r="C498">
        <v>1917497.63</v>
      </c>
      <c r="D498" s="1" t="s">
        <v>1005</v>
      </c>
      <c r="E498">
        <v>1917497.63</v>
      </c>
      <c r="F498">
        <v>0</v>
      </c>
      <c r="G498" s="1" t="s">
        <v>1006</v>
      </c>
      <c r="H498">
        <v>0</v>
      </c>
      <c r="I498">
        <v>0</v>
      </c>
      <c r="J498">
        <v>1</v>
      </c>
      <c r="K498">
        <v>0</v>
      </c>
      <c r="L498">
        <v>18</v>
      </c>
      <c r="M498">
        <v>0</v>
      </c>
      <c r="N498">
        <v>1</v>
      </c>
      <c r="O498">
        <v>1917497.63</v>
      </c>
    </row>
    <row r="499" spans="1:15" x14ac:dyDescent="0.3">
      <c r="A499">
        <v>42</v>
      </c>
      <c r="B499" s="1" t="s">
        <v>18</v>
      </c>
      <c r="C499">
        <v>1917497.63</v>
      </c>
      <c r="D499" s="1" t="s">
        <v>1007</v>
      </c>
      <c r="E499">
        <v>1917497.63</v>
      </c>
      <c r="F499">
        <v>0</v>
      </c>
      <c r="G499" s="1" t="s">
        <v>1008</v>
      </c>
      <c r="H499">
        <v>173507.14</v>
      </c>
      <c r="I499">
        <v>2091004.76</v>
      </c>
      <c r="J499">
        <v>1</v>
      </c>
      <c r="K499">
        <v>0</v>
      </c>
      <c r="L499">
        <v>18</v>
      </c>
      <c r="M499">
        <v>0</v>
      </c>
      <c r="N499">
        <v>1</v>
      </c>
      <c r="O499">
        <v>1917497.63</v>
      </c>
    </row>
    <row r="500" spans="1:15" x14ac:dyDescent="0.3">
      <c r="A500">
        <v>43</v>
      </c>
      <c r="B500" s="1" t="s">
        <v>15</v>
      </c>
      <c r="C500">
        <v>29988</v>
      </c>
      <c r="D500" s="1" t="s">
        <v>1009</v>
      </c>
      <c r="E500">
        <v>29988</v>
      </c>
      <c r="F500">
        <v>0</v>
      </c>
      <c r="G500" s="1" t="s">
        <v>1010</v>
      </c>
      <c r="H500">
        <v>0</v>
      </c>
      <c r="I500">
        <v>0</v>
      </c>
      <c r="J500">
        <v>1</v>
      </c>
      <c r="K500">
        <v>0</v>
      </c>
      <c r="L500">
        <v>19</v>
      </c>
      <c r="M500">
        <v>0</v>
      </c>
      <c r="N500">
        <v>1</v>
      </c>
      <c r="O500">
        <v>29988</v>
      </c>
    </row>
    <row r="501" spans="1:15" x14ac:dyDescent="0.3">
      <c r="A501">
        <v>43</v>
      </c>
      <c r="B501" s="1" t="s">
        <v>18</v>
      </c>
      <c r="C501">
        <v>29988</v>
      </c>
      <c r="D501" s="1" t="s">
        <v>1011</v>
      </c>
      <c r="E501">
        <v>29988</v>
      </c>
      <c r="F501">
        <v>0</v>
      </c>
      <c r="G501" s="1" t="s">
        <v>1012</v>
      </c>
      <c r="H501">
        <v>0</v>
      </c>
      <c r="I501">
        <v>29988</v>
      </c>
      <c r="J501">
        <v>1</v>
      </c>
      <c r="K501">
        <v>0</v>
      </c>
      <c r="L501">
        <v>19</v>
      </c>
      <c r="M501">
        <v>0</v>
      </c>
      <c r="N501">
        <v>1</v>
      </c>
      <c r="O501">
        <v>29988</v>
      </c>
    </row>
    <row r="502" spans="1:15" x14ac:dyDescent="0.3">
      <c r="A502">
        <v>43</v>
      </c>
      <c r="B502" s="1" t="s">
        <v>15</v>
      </c>
      <c r="C502">
        <v>350789.59</v>
      </c>
      <c r="D502" s="1" t="s">
        <v>1013</v>
      </c>
      <c r="E502">
        <v>350789.59</v>
      </c>
      <c r="F502">
        <v>0</v>
      </c>
      <c r="G502" s="1" t="s">
        <v>1014</v>
      </c>
      <c r="H502">
        <v>0</v>
      </c>
      <c r="I502">
        <v>276871.71000000002</v>
      </c>
      <c r="J502">
        <v>1</v>
      </c>
      <c r="K502">
        <v>0</v>
      </c>
      <c r="L502">
        <v>19</v>
      </c>
      <c r="M502">
        <v>0</v>
      </c>
      <c r="N502">
        <v>1</v>
      </c>
      <c r="O502">
        <v>350789.59</v>
      </c>
    </row>
    <row r="503" spans="1:15" x14ac:dyDescent="0.3">
      <c r="A503">
        <v>43</v>
      </c>
      <c r="B503" s="1" t="s">
        <v>18</v>
      </c>
      <c r="C503">
        <v>350789.59</v>
      </c>
      <c r="D503" s="1" t="s">
        <v>1015</v>
      </c>
      <c r="E503">
        <v>350789.59</v>
      </c>
      <c r="F503">
        <v>0</v>
      </c>
      <c r="G503" s="1" t="s">
        <v>1016</v>
      </c>
      <c r="H503">
        <v>8785008.75</v>
      </c>
      <c r="I503">
        <v>9135798.3399999999</v>
      </c>
      <c r="J503">
        <v>1</v>
      </c>
      <c r="K503">
        <v>0</v>
      </c>
      <c r="L503">
        <v>19</v>
      </c>
      <c r="M503">
        <v>0</v>
      </c>
      <c r="N503">
        <v>1</v>
      </c>
      <c r="O503">
        <v>350789.59</v>
      </c>
    </row>
    <row r="504" spans="1:15" x14ac:dyDescent="0.3">
      <c r="A504">
        <v>43</v>
      </c>
      <c r="B504" s="1" t="s">
        <v>15</v>
      </c>
      <c r="C504">
        <v>1395850.55</v>
      </c>
      <c r="D504" s="1" t="s">
        <v>1017</v>
      </c>
      <c r="E504">
        <v>0</v>
      </c>
      <c r="F504">
        <v>0</v>
      </c>
      <c r="G504" s="1" t="s">
        <v>1018</v>
      </c>
      <c r="H504">
        <v>260806.21</v>
      </c>
      <c r="I504">
        <v>1656656.77</v>
      </c>
      <c r="J504">
        <v>1</v>
      </c>
      <c r="K504">
        <v>0</v>
      </c>
      <c r="L504">
        <v>19</v>
      </c>
      <c r="M504">
        <v>0</v>
      </c>
      <c r="N504">
        <v>0</v>
      </c>
      <c r="O504">
        <v>0</v>
      </c>
    </row>
    <row r="505" spans="1:15" x14ac:dyDescent="0.3">
      <c r="A505">
        <v>43</v>
      </c>
      <c r="B505" s="1" t="s">
        <v>15</v>
      </c>
      <c r="C505">
        <v>93459.89</v>
      </c>
      <c r="D505" s="1" t="s">
        <v>1019</v>
      </c>
      <c r="E505">
        <v>93459.89</v>
      </c>
      <c r="F505">
        <v>0</v>
      </c>
      <c r="G505" s="1" t="s">
        <v>1020</v>
      </c>
      <c r="H505">
        <v>0</v>
      </c>
      <c r="I505">
        <v>0</v>
      </c>
      <c r="J505">
        <v>1</v>
      </c>
      <c r="K505">
        <v>0</v>
      </c>
      <c r="L505">
        <v>19</v>
      </c>
      <c r="M505">
        <v>0</v>
      </c>
      <c r="N505">
        <v>1</v>
      </c>
      <c r="O505">
        <v>93459.89</v>
      </c>
    </row>
    <row r="506" spans="1:15" x14ac:dyDescent="0.3">
      <c r="A506">
        <v>43</v>
      </c>
      <c r="B506" s="1" t="s">
        <v>18</v>
      </c>
      <c r="C506">
        <v>93459.89</v>
      </c>
      <c r="D506" s="1" t="s">
        <v>1021</v>
      </c>
      <c r="E506">
        <v>93459.89</v>
      </c>
      <c r="F506">
        <v>0</v>
      </c>
      <c r="G506" s="1" t="s">
        <v>1022</v>
      </c>
      <c r="H506">
        <v>15825.7</v>
      </c>
      <c r="I506">
        <v>109285.59</v>
      </c>
      <c r="J506">
        <v>1</v>
      </c>
      <c r="K506">
        <v>0</v>
      </c>
      <c r="L506">
        <v>19</v>
      </c>
      <c r="M506">
        <v>0</v>
      </c>
      <c r="N506">
        <v>1</v>
      </c>
      <c r="O506">
        <v>93459.89</v>
      </c>
    </row>
    <row r="507" spans="1:15" x14ac:dyDescent="0.3">
      <c r="A507">
        <v>43</v>
      </c>
      <c r="B507" s="1" t="s">
        <v>15</v>
      </c>
      <c r="C507">
        <v>435166.65</v>
      </c>
      <c r="D507" s="1" t="s">
        <v>1023</v>
      </c>
      <c r="E507">
        <v>435166.65</v>
      </c>
      <c r="F507">
        <v>0</v>
      </c>
      <c r="G507" s="1" t="s">
        <v>1024</v>
      </c>
      <c r="H507">
        <v>0</v>
      </c>
      <c r="I507">
        <v>0</v>
      </c>
      <c r="J507">
        <v>1</v>
      </c>
      <c r="K507">
        <v>0</v>
      </c>
      <c r="L507">
        <v>19</v>
      </c>
      <c r="M507">
        <v>0</v>
      </c>
      <c r="N507">
        <v>1</v>
      </c>
      <c r="O507">
        <v>435166.65</v>
      </c>
    </row>
    <row r="508" spans="1:15" x14ac:dyDescent="0.3">
      <c r="A508">
        <v>43</v>
      </c>
      <c r="B508" s="1" t="s">
        <v>18</v>
      </c>
      <c r="C508">
        <v>435166.65</v>
      </c>
      <c r="D508" s="1" t="s">
        <v>1025</v>
      </c>
      <c r="E508">
        <v>435166.65</v>
      </c>
      <c r="F508">
        <v>0</v>
      </c>
      <c r="G508" s="1" t="s">
        <v>1026</v>
      </c>
      <c r="H508">
        <v>449215.85</v>
      </c>
      <c r="I508">
        <v>884382.5</v>
      </c>
      <c r="J508">
        <v>1</v>
      </c>
      <c r="K508">
        <v>0</v>
      </c>
      <c r="L508">
        <v>19</v>
      </c>
      <c r="M508">
        <v>0</v>
      </c>
      <c r="N508">
        <v>1</v>
      </c>
      <c r="O508">
        <v>435166.65</v>
      </c>
    </row>
    <row r="509" spans="1:15" x14ac:dyDescent="0.3">
      <c r="A509">
        <v>43</v>
      </c>
      <c r="B509" s="1" t="s">
        <v>15</v>
      </c>
      <c r="C509">
        <v>21987</v>
      </c>
      <c r="D509" s="1" t="s">
        <v>1027</v>
      </c>
      <c r="E509">
        <v>21987</v>
      </c>
      <c r="F509">
        <v>0</v>
      </c>
      <c r="G509" s="1" t="s">
        <v>1028</v>
      </c>
      <c r="H509">
        <v>0</v>
      </c>
      <c r="I509">
        <v>0</v>
      </c>
      <c r="J509">
        <v>1</v>
      </c>
      <c r="K509">
        <v>0</v>
      </c>
      <c r="L509">
        <v>19</v>
      </c>
      <c r="M509">
        <v>0</v>
      </c>
      <c r="N509">
        <v>1</v>
      </c>
      <c r="O509">
        <v>21987</v>
      </c>
    </row>
    <row r="510" spans="1:15" x14ac:dyDescent="0.3">
      <c r="A510">
        <v>43</v>
      </c>
      <c r="B510" s="1" t="s">
        <v>18</v>
      </c>
      <c r="C510">
        <v>21987</v>
      </c>
      <c r="D510" s="1" t="s">
        <v>1029</v>
      </c>
      <c r="E510">
        <v>21987</v>
      </c>
      <c r="F510">
        <v>0</v>
      </c>
      <c r="G510" s="1" t="s">
        <v>1030</v>
      </c>
      <c r="H510">
        <v>123690.93</v>
      </c>
      <c r="I510">
        <v>145677.94</v>
      </c>
      <c r="J510">
        <v>1</v>
      </c>
      <c r="K510">
        <v>0</v>
      </c>
      <c r="L510">
        <v>19</v>
      </c>
      <c r="M510">
        <v>0</v>
      </c>
      <c r="N510">
        <v>1</v>
      </c>
      <c r="O510">
        <v>21987</v>
      </c>
    </row>
    <row r="511" spans="1:15" x14ac:dyDescent="0.3">
      <c r="A511">
        <v>43</v>
      </c>
      <c r="B511" s="1" t="s">
        <v>15</v>
      </c>
      <c r="C511">
        <v>362152.77</v>
      </c>
      <c r="D511" s="1" t="s">
        <v>1031</v>
      </c>
      <c r="E511">
        <v>362152.77</v>
      </c>
      <c r="F511">
        <v>0</v>
      </c>
      <c r="G511" s="1" t="s">
        <v>1032</v>
      </c>
      <c r="H511">
        <v>0</v>
      </c>
      <c r="I511">
        <v>0</v>
      </c>
      <c r="J511">
        <v>1</v>
      </c>
      <c r="K511">
        <v>0</v>
      </c>
      <c r="L511">
        <v>19</v>
      </c>
      <c r="M511">
        <v>0</v>
      </c>
      <c r="N511">
        <v>1</v>
      </c>
      <c r="O511">
        <v>362152.77</v>
      </c>
    </row>
    <row r="512" spans="1:15" x14ac:dyDescent="0.3">
      <c r="A512">
        <v>43</v>
      </c>
      <c r="B512" s="1" t="s">
        <v>18</v>
      </c>
      <c r="C512">
        <v>362152.77</v>
      </c>
      <c r="D512" s="1" t="s">
        <v>1033</v>
      </c>
      <c r="E512">
        <v>362152.77</v>
      </c>
      <c r="F512">
        <v>0</v>
      </c>
      <c r="G512" s="1" t="s">
        <v>1034</v>
      </c>
      <c r="H512">
        <v>282809.46999999997</v>
      </c>
      <c r="I512">
        <v>644962.23</v>
      </c>
      <c r="J512">
        <v>1</v>
      </c>
      <c r="K512">
        <v>0</v>
      </c>
      <c r="L512">
        <v>19</v>
      </c>
      <c r="M512">
        <v>0</v>
      </c>
      <c r="N512">
        <v>1</v>
      </c>
      <c r="O512">
        <v>362152.77</v>
      </c>
    </row>
    <row r="513" spans="1:15" x14ac:dyDescent="0.3">
      <c r="A513">
        <v>44</v>
      </c>
      <c r="B513" s="1" t="s">
        <v>15</v>
      </c>
      <c r="C513">
        <v>1649818.97</v>
      </c>
      <c r="D513" s="1" t="s">
        <v>1035</v>
      </c>
      <c r="E513">
        <v>1649818.97</v>
      </c>
      <c r="F513">
        <v>0</v>
      </c>
      <c r="G513" s="1" t="s">
        <v>1036</v>
      </c>
      <c r="H513">
        <v>0</v>
      </c>
      <c r="I513">
        <v>0</v>
      </c>
      <c r="J513">
        <v>1</v>
      </c>
      <c r="K513">
        <v>0</v>
      </c>
      <c r="L513">
        <v>20</v>
      </c>
      <c r="M513">
        <v>0</v>
      </c>
      <c r="N513">
        <v>1</v>
      </c>
      <c r="O513">
        <v>1649818.97</v>
      </c>
    </row>
    <row r="514" spans="1:15" x14ac:dyDescent="0.3">
      <c r="A514">
        <v>44</v>
      </c>
      <c r="B514" s="1" t="s">
        <v>18</v>
      </c>
      <c r="C514">
        <v>1649818.97</v>
      </c>
      <c r="D514" s="1" t="s">
        <v>1037</v>
      </c>
      <c r="E514">
        <v>1649818.97</v>
      </c>
      <c r="F514">
        <v>0</v>
      </c>
      <c r="G514" s="1" t="s">
        <v>1038</v>
      </c>
      <c r="H514">
        <v>560704.68000000005</v>
      </c>
      <c r="I514">
        <v>2210523.64</v>
      </c>
      <c r="J514">
        <v>1</v>
      </c>
      <c r="K514">
        <v>0</v>
      </c>
      <c r="L514">
        <v>20</v>
      </c>
      <c r="M514">
        <v>0</v>
      </c>
      <c r="N514">
        <v>1</v>
      </c>
      <c r="O514">
        <v>1649818.97</v>
      </c>
    </row>
    <row r="515" spans="1:15" x14ac:dyDescent="0.3">
      <c r="A515">
        <v>44</v>
      </c>
      <c r="B515" s="1" t="s">
        <v>15</v>
      </c>
      <c r="C515">
        <v>387952.42</v>
      </c>
      <c r="D515" s="1" t="s">
        <v>1039</v>
      </c>
      <c r="E515">
        <v>387952.42</v>
      </c>
      <c r="F515">
        <v>0</v>
      </c>
      <c r="G515" s="1" t="s">
        <v>1040</v>
      </c>
      <c r="H515">
        <v>0</v>
      </c>
      <c r="I515">
        <v>0</v>
      </c>
      <c r="J515">
        <v>1</v>
      </c>
      <c r="K515">
        <v>0</v>
      </c>
      <c r="L515">
        <v>20</v>
      </c>
      <c r="M515">
        <v>0</v>
      </c>
      <c r="N515">
        <v>1</v>
      </c>
      <c r="O515">
        <v>387952.42</v>
      </c>
    </row>
    <row r="516" spans="1:15" x14ac:dyDescent="0.3">
      <c r="A516">
        <v>44</v>
      </c>
      <c r="B516" s="1" t="s">
        <v>18</v>
      </c>
      <c r="C516">
        <v>387952.42</v>
      </c>
      <c r="D516" s="1" t="s">
        <v>1041</v>
      </c>
      <c r="E516">
        <v>387952.42</v>
      </c>
      <c r="F516">
        <v>0</v>
      </c>
      <c r="G516" s="1" t="s">
        <v>1042</v>
      </c>
      <c r="H516">
        <v>2070655.98</v>
      </c>
      <c r="I516">
        <v>2222177.16</v>
      </c>
      <c r="J516">
        <v>1</v>
      </c>
      <c r="K516">
        <v>0</v>
      </c>
      <c r="L516">
        <v>20</v>
      </c>
      <c r="M516">
        <v>0</v>
      </c>
      <c r="N516">
        <v>1</v>
      </c>
      <c r="O516">
        <v>387952.42</v>
      </c>
    </row>
    <row r="517" spans="1:15" x14ac:dyDescent="0.3">
      <c r="A517">
        <v>44</v>
      </c>
      <c r="B517" s="1" t="s">
        <v>15</v>
      </c>
      <c r="C517">
        <v>44571.94</v>
      </c>
      <c r="D517" s="1" t="s">
        <v>1043</v>
      </c>
      <c r="E517">
        <v>44571.94</v>
      </c>
      <c r="F517">
        <v>0</v>
      </c>
      <c r="G517" s="1" t="s">
        <v>1044</v>
      </c>
      <c r="H517">
        <v>0</v>
      </c>
      <c r="I517">
        <v>0</v>
      </c>
      <c r="J517">
        <v>1</v>
      </c>
      <c r="K517">
        <v>0</v>
      </c>
      <c r="L517">
        <v>20</v>
      </c>
      <c r="M517">
        <v>0</v>
      </c>
      <c r="N517">
        <v>1</v>
      </c>
      <c r="O517">
        <v>44571.94</v>
      </c>
    </row>
    <row r="518" spans="1:15" x14ac:dyDescent="0.3">
      <c r="A518">
        <v>44</v>
      </c>
      <c r="B518" s="1" t="s">
        <v>18</v>
      </c>
      <c r="C518">
        <v>44571.94</v>
      </c>
      <c r="D518" s="1" t="s">
        <v>1045</v>
      </c>
      <c r="E518">
        <v>44571.94</v>
      </c>
      <c r="F518">
        <v>0</v>
      </c>
      <c r="G518" s="1" t="s">
        <v>1046</v>
      </c>
      <c r="H518">
        <v>11984</v>
      </c>
      <c r="I518">
        <v>0</v>
      </c>
      <c r="J518">
        <v>1</v>
      </c>
      <c r="K518">
        <v>0</v>
      </c>
      <c r="L518">
        <v>20</v>
      </c>
      <c r="M518">
        <v>0</v>
      </c>
      <c r="N518">
        <v>1</v>
      </c>
      <c r="O518">
        <v>44571.94</v>
      </c>
    </row>
    <row r="519" spans="1:15" x14ac:dyDescent="0.3">
      <c r="A519">
        <v>44</v>
      </c>
      <c r="B519" s="1" t="s">
        <v>15</v>
      </c>
      <c r="C519">
        <v>534255.93999999994</v>
      </c>
      <c r="D519" s="1" t="s">
        <v>1047</v>
      </c>
      <c r="E519">
        <v>534255.93999999994</v>
      </c>
      <c r="F519">
        <v>0</v>
      </c>
      <c r="G519" s="1" t="s">
        <v>1048</v>
      </c>
      <c r="H519">
        <v>0</v>
      </c>
      <c r="I519">
        <v>0</v>
      </c>
      <c r="J519">
        <v>1</v>
      </c>
      <c r="K519">
        <v>0</v>
      </c>
      <c r="L519">
        <v>20</v>
      </c>
      <c r="M519">
        <v>0</v>
      </c>
      <c r="N519">
        <v>1</v>
      </c>
      <c r="O519">
        <v>534255.93999999994</v>
      </c>
    </row>
    <row r="520" spans="1:15" x14ac:dyDescent="0.3">
      <c r="A520">
        <v>44</v>
      </c>
      <c r="B520" s="1" t="s">
        <v>18</v>
      </c>
      <c r="C520">
        <v>534255.93999999994</v>
      </c>
      <c r="D520" s="1" t="s">
        <v>1049</v>
      </c>
      <c r="E520">
        <v>534255.93999999994</v>
      </c>
      <c r="F520">
        <v>0</v>
      </c>
      <c r="G520" s="1" t="s">
        <v>1050</v>
      </c>
      <c r="H520">
        <v>24559</v>
      </c>
      <c r="I520">
        <v>558814.93999999994</v>
      </c>
      <c r="J520">
        <v>1</v>
      </c>
      <c r="K520">
        <v>0</v>
      </c>
      <c r="L520">
        <v>20</v>
      </c>
      <c r="M520">
        <v>0</v>
      </c>
      <c r="N520">
        <v>1</v>
      </c>
      <c r="O520">
        <v>534255.93999999994</v>
      </c>
    </row>
    <row r="521" spans="1:15" x14ac:dyDescent="0.3">
      <c r="A521">
        <v>45</v>
      </c>
      <c r="B521" s="1" t="s">
        <v>15</v>
      </c>
      <c r="C521">
        <v>213983.59</v>
      </c>
      <c r="D521" s="1" t="s">
        <v>1051</v>
      </c>
      <c r="E521">
        <v>213983.59</v>
      </c>
      <c r="F521">
        <v>0</v>
      </c>
      <c r="G521" s="1" t="s">
        <v>1052</v>
      </c>
      <c r="H521">
        <v>0</v>
      </c>
      <c r="I521">
        <v>0</v>
      </c>
      <c r="J521">
        <v>1</v>
      </c>
      <c r="K521">
        <v>0</v>
      </c>
      <c r="L521">
        <v>21</v>
      </c>
      <c r="M521">
        <v>0</v>
      </c>
      <c r="N521">
        <v>1</v>
      </c>
      <c r="O521">
        <v>213983.59</v>
      </c>
    </row>
    <row r="522" spans="1:15" x14ac:dyDescent="0.3">
      <c r="A522">
        <v>45</v>
      </c>
      <c r="B522" s="1" t="s">
        <v>18</v>
      </c>
      <c r="C522">
        <v>213983.59</v>
      </c>
      <c r="D522" s="1" t="s">
        <v>1053</v>
      </c>
      <c r="E522">
        <v>213983.59</v>
      </c>
      <c r="F522">
        <v>0</v>
      </c>
      <c r="G522" s="1" t="s">
        <v>1054</v>
      </c>
      <c r="H522">
        <v>0</v>
      </c>
      <c r="I522">
        <v>213983.59</v>
      </c>
      <c r="J522">
        <v>1</v>
      </c>
      <c r="K522">
        <v>0</v>
      </c>
      <c r="L522">
        <v>21</v>
      </c>
      <c r="M522">
        <v>0</v>
      </c>
      <c r="N522">
        <v>1</v>
      </c>
      <c r="O522">
        <v>213983.59</v>
      </c>
    </row>
    <row r="523" spans="1:15" x14ac:dyDescent="0.3">
      <c r="A523">
        <v>45</v>
      </c>
      <c r="B523" s="1" t="s">
        <v>15</v>
      </c>
      <c r="C523">
        <v>217255.97</v>
      </c>
      <c r="D523" s="1" t="s">
        <v>1055</v>
      </c>
      <c r="E523">
        <v>217255.97</v>
      </c>
      <c r="F523">
        <v>0</v>
      </c>
      <c r="G523" s="1" t="s">
        <v>1056</v>
      </c>
      <c r="H523">
        <v>0</v>
      </c>
      <c r="I523">
        <v>0</v>
      </c>
      <c r="J523">
        <v>1</v>
      </c>
      <c r="K523">
        <v>0</v>
      </c>
      <c r="L523">
        <v>21</v>
      </c>
      <c r="M523">
        <v>0</v>
      </c>
      <c r="N523">
        <v>1</v>
      </c>
      <c r="O523">
        <v>217255.97</v>
      </c>
    </row>
    <row r="524" spans="1:15" x14ac:dyDescent="0.3">
      <c r="A524">
        <v>45</v>
      </c>
      <c r="B524" s="1" t="s">
        <v>18</v>
      </c>
      <c r="C524">
        <v>217255.97</v>
      </c>
      <c r="D524" s="1" t="s">
        <v>1057</v>
      </c>
      <c r="E524">
        <v>217255.97</v>
      </c>
      <c r="F524">
        <v>0</v>
      </c>
      <c r="G524" s="1" t="s">
        <v>1058</v>
      </c>
      <c r="H524">
        <v>2115234.86</v>
      </c>
      <c r="I524">
        <v>2332490.8199999998</v>
      </c>
      <c r="J524">
        <v>1</v>
      </c>
      <c r="K524">
        <v>0</v>
      </c>
      <c r="L524">
        <v>21</v>
      </c>
      <c r="M524">
        <v>0</v>
      </c>
      <c r="N524">
        <v>1</v>
      </c>
      <c r="O524">
        <v>217255.97</v>
      </c>
    </row>
    <row r="525" spans="1:15" x14ac:dyDescent="0.3">
      <c r="A525">
        <v>45</v>
      </c>
      <c r="B525" s="1" t="s">
        <v>15</v>
      </c>
      <c r="C525">
        <v>1069508.42</v>
      </c>
      <c r="D525" s="1" t="s">
        <v>1059</v>
      </c>
      <c r="E525">
        <v>1069508.42</v>
      </c>
      <c r="F525">
        <v>0</v>
      </c>
      <c r="G525" s="1" t="s">
        <v>1060</v>
      </c>
      <c r="H525">
        <v>0</v>
      </c>
      <c r="I525">
        <v>0</v>
      </c>
      <c r="J525">
        <v>1</v>
      </c>
      <c r="K525">
        <v>0</v>
      </c>
      <c r="L525">
        <v>21</v>
      </c>
      <c r="M525">
        <v>0</v>
      </c>
      <c r="N525">
        <v>1</v>
      </c>
      <c r="O525">
        <v>1069508.42</v>
      </c>
    </row>
    <row r="526" spans="1:15" x14ac:dyDescent="0.3">
      <c r="A526">
        <v>45</v>
      </c>
      <c r="B526" s="1" t="s">
        <v>18</v>
      </c>
      <c r="C526">
        <v>1069508.42</v>
      </c>
      <c r="D526" s="1" t="s">
        <v>1061</v>
      </c>
      <c r="E526">
        <v>1069508.42</v>
      </c>
      <c r="F526">
        <v>0</v>
      </c>
      <c r="G526" s="1" t="s">
        <v>1062</v>
      </c>
      <c r="H526">
        <v>172254</v>
      </c>
      <c r="I526">
        <v>1439496.96</v>
      </c>
      <c r="J526">
        <v>1</v>
      </c>
      <c r="K526">
        <v>0</v>
      </c>
      <c r="L526">
        <v>21</v>
      </c>
      <c r="M526">
        <v>0</v>
      </c>
      <c r="N526">
        <v>1</v>
      </c>
      <c r="O526">
        <v>1069508.42</v>
      </c>
    </row>
    <row r="527" spans="1:15" x14ac:dyDescent="0.3">
      <c r="A527">
        <v>45</v>
      </c>
      <c r="B527" s="1" t="s">
        <v>15</v>
      </c>
      <c r="C527">
        <v>5188875.3499999996</v>
      </c>
      <c r="D527" s="1" t="s">
        <v>1063</v>
      </c>
      <c r="E527">
        <v>5188875.3499999996</v>
      </c>
      <c r="F527">
        <v>0</v>
      </c>
      <c r="G527" s="1" t="s">
        <v>1064</v>
      </c>
      <c r="H527">
        <v>0</v>
      </c>
      <c r="I527">
        <v>0</v>
      </c>
      <c r="J527">
        <v>1</v>
      </c>
      <c r="K527">
        <v>0</v>
      </c>
      <c r="L527">
        <v>21</v>
      </c>
      <c r="M527">
        <v>0</v>
      </c>
      <c r="N527">
        <v>1</v>
      </c>
      <c r="O527">
        <v>5188875.3499999996</v>
      </c>
    </row>
    <row r="528" spans="1:15" x14ac:dyDescent="0.3">
      <c r="A528">
        <v>45</v>
      </c>
      <c r="B528" s="1" t="s">
        <v>18</v>
      </c>
      <c r="C528">
        <v>5188875.3499999996</v>
      </c>
      <c r="D528" s="1" t="s">
        <v>1065</v>
      </c>
      <c r="E528">
        <v>5188875.3499999996</v>
      </c>
      <c r="F528">
        <v>0</v>
      </c>
      <c r="G528" s="1" t="s">
        <v>1066</v>
      </c>
      <c r="H528">
        <v>11465</v>
      </c>
      <c r="I528">
        <v>5020573.28</v>
      </c>
      <c r="J528">
        <v>1</v>
      </c>
      <c r="K528">
        <v>0</v>
      </c>
      <c r="L528">
        <v>21</v>
      </c>
      <c r="M528">
        <v>0</v>
      </c>
      <c r="N528">
        <v>1</v>
      </c>
      <c r="O528">
        <v>5188875.3499999996</v>
      </c>
    </row>
    <row r="529" spans="1:15" x14ac:dyDescent="0.3">
      <c r="A529">
        <v>45</v>
      </c>
      <c r="B529" s="1" t="s">
        <v>15</v>
      </c>
      <c r="C529">
        <v>4919642.57</v>
      </c>
      <c r="D529" s="1" t="s">
        <v>1067</v>
      </c>
      <c r="E529">
        <v>4919642.57</v>
      </c>
      <c r="F529">
        <v>0</v>
      </c>
      <c r="G529" s="1" t="s">
        <v>1068</v>
      </c>
      <c r="H529">
        <v>0</v>
      </c>
      <c r="I529">
        <v>0</v>
      </c>
      <c r="J529">
        <v>1</v>
      </c>
      <c r="K529">
        <v>0</v>
      </c>
      <c r="L529">
        <v>21</v>
      </c>
      <c r="M529">
        <v>0</v>
      </c>
      <c r="N529">
        <v>1</v>
      </c>
      <c r="O529">
        <v>4919642.57</v>
      </c>
    </row>
    <row r="530" spans="1:15" x14ac:dyDescent="0.3">
      <c r="A530">
        <v>45</v>
      </c>
      <c r="B530" s="1" t="s">
        <v>18</v>
      </c>
      <c r="C530">
        <v>4919642.57</v>
      </c>
      <c r="D530" s="1" t="s">
        <v>1069</v>
      </c>
      <c r="E530">
        <v>4919642.57</v>
      </c>
      <c r="F530">
        <v>0</v>
      </c>
      <c r="G530" s="1" t="s">
        <v>1070</v>
      </c>
      <c r="H530">
        <v>1414095.92</v>
      </c>
      <c r="I530">
        <v>6333738.4900000002</v>
      </c>
      <c r="J530">
        <v>1</v>
      </c>
      <c r="K530">
        <v>0</v>
      </c>
      <c r="L530">
        <v>21</v>
      </c>
      <c r="M530">
        <v>0</v>
      </c>
      <c r="N530">
        <v>1</v>
      </c>
      <c r="O530">
        <v>4919642.57</v>
      </c>
    </row>
    <row r="531" spans="1:15" x14ac:dyDescent="0.3">
      <c r="A531">
        <v>45</v>
      </c>
      <c r="B531" s="1" t="s">
        <v>15</v>
      </c>
      <c r="C531">
        <v>357836.57</v>
      </c>
      <c r="D531" s="1" t="s">
        <v>1071</v>
      </c>
      <c r="E531">
        <v>357836.57</v>
      </c>
      <c r="F531">
        <v>0</v>
      </c>
      <c r="G531" s="1" t="s">
        <v>1072</v>
      </c>
      <c r="H531">
        <v>0</v>
      </c>
      <c r="I531">
        <v>0</v>
      </c>
      <c r="J531">
        <v>1</v>
      </c>
      <c r="K531">
        <v>0</v>
      </c>
      <c r="L531">
        <v>21</v>
      </c>
      <c r="M531">
        <v>0</v>
      </c>
      <c r="N531">
        <v>1</v>
      </c>
      <c r="O531">
        <v>357836.57</v>
      </c>
    </row>
    <row r="532" spans="1:15" x14ac:dyDescent="0.3">
      <c r="A532">
        <v>45</v>
      </c>
      <c r="B532" s="1" t="s">
        <v>18</v>
      </c>
      <c r="C532">
        <v>357836.57</v>
      </c>
      <c r="D532" s="1" t="s">
        <v>1073</v>
      </c>
      <c r="E532">
        <v>357836.57</v>
      </c>
      <c r="F532">
        <v>0</v>
      </c>
      <c r="G532" s="1" t="s">
        <v>1074</v>
      </c>
      <c r="H532">
        <v>51217.85</v>
      </c>
      <c r="I532">
        <v>409054.43</v>
      </c>
      <c r="J532">
        <v>1</v>
      </c>
      <c r="K532">
        <v>0</v>
      </c>
      <c r="L532">
        <v>21</v>
      </c>
      <c r="M532">
        <v>0</v>
      </c>
      <c r="N532">
        <v>1</v>
      </c>
      <c r="O532">
        <v>357836.57</v>
      </c>
    </row>
    <row r="533" spans="1:15" x14ac:dyDescent="0.3">
      <c r="A533">
        <v>45</v>
      </c>
      <c r="B533" s="1" t="s">
        <v>15</v>
      </c>
      <c r="C533">
        <v>155761.29</v>
      </c>
      <c r="D533" s="1" t="s">
        <v>1075</v>
      </c>
      <c r="E533">
        <v>155761.29</v>
      </c>
      <c r="F533">
        <v>0</v>
      </c>
      <c r="G533" s="1" t="s">
        <v>1076</v>
      </c>
      <c r="H533">
        <v>0</v>
      </c>
      <c r="I533">
        <v>0</v>
      </c>
      <c r="J533">
        <v>1</v>
      </c>
      <c r="K533">
        <v>0</v>
      </c>
      <c r="L533">
        <v>21</v>
      </c>
      <c r="M533">
        <v>0</v>
      </c>
      <c r="N533">
        <v>1</v>
      </c>
      <c r="O533">
        <v>155761.29</v>
      </c>
    </row>
    <row r="534" spans="1:15" x14ac:dyDescent="0.3">
      <c r="A534">
        <v>45</v>
      </c>
      <c r="B534" s="1" t="s">
        <v>18</v>
      </c>
      <c r="C534">
        <v>155761.29</v>
      </c>
      <c r="D534" s="1" t="s">
        <v>1077</v>
      </c>
      <c r="E534">
        <v>155761.29</v>
      </c>
      <c r="F534">
        <v>0</v>
      </c>
      <c r="G534" s="1" t="s">
        <v>1078</v>
      </c>
      <c r="H534">
        <v>192775.45</v>
      </c>
      <c r="I534">
        <v>348536.74</v>
      </c>
      <c r="J534">
        <v>1</v>
      </c>
      <c r="K534">
        <v>0</v>
      </c>
      <c r="L534">
        <v>21</v>
      </c>
      <c r="M534">
        <v>0</v>
      </c>
      <c r="N534">
        <v>1</v>
      </c>
      <c r="O534">
        <v>155761.29</v>
      </c>
    </row>
    <row r="535" spans="1:15" x14ac:dyDescent="0.3">
      <c r="A535">
        <v>45</v>
      </c>
      <c r="B535" s="1" t="s">
        <v>15</v>
      </c>
      <c r="C535">
        <v>7335355.5700000003</v>
      </c>
      <c r="D535" s="1" t="s">
        <v>1079</v>
      </c>
      <c r="E535">
        <v>7335355.5700000003</v>
      </c>
      <c r="F535">
        <v>0</v>
      </c>
      <c r="G535" s="1" t="s">
        <v>1080</v>
      </c>
      <c r="H535">
        <v>0</v>
      </c>
      <c r="I535">
        <v>0</v>
      </c>
      <c r="J535">
        <v>1</v>
      </c>
      <c r="K535">
        <v>0</v>
      </c>
      <c r="L535">
        <v>21</v>
      </c>
      <c r="M535">
        <v>0</v>
      </c>
      <c r="N535">
        <v>1</v>
      </c>
      <c r="O535">
        <v>7335355.5700000003</v>
      </c>
    </row>
    <row r="536" spans="1:15" x14ac:dyDescent="0.3">
      <c r="A536">
        <v>45</v>
      </c>
      <c r="B536" s="1" t="s">
        <v>18</v>
      </c>
      <c r="C536">
        <v>7335355.5700000003</v>
      </c>
      <c r="D536" s="1" t="s">
        <v>1081</v>
      </c>
      <c r="E536">
        <v>7335355.5700000003</v>
      </c>
      <c r="F536">
        <v>0</v>
      </c>
      <c r="G536" s="1" t="s">
        <v>1082</v>
      </c>
      <c r="H536">
        <v>702100.11</v>
      </c>
      <c r="I536">
        <v>8037455.6799999997</v>
      </c>
      <c r="J536">
        <v>1</v>
      </c>
      <c r="K536">
        <v>0</v>
      </c>
      <c r="L536">
        <v>21</v>
      </c>
      <c r="M536">
        <v>0</v>
      </c>
      <c r="N536">
        <v>1</v>
      </c>
      <c r="O536">
        <v>7335355.5700000003</v>
      </c>
    </row>
    <row r="537" spans="1:15" x14ac:dyDescent="0.3">
      <c r="A537">
        <v>46</v>
      </c>
      <c r="B537" s="1" t="s">
        <v>15</v>
      </c>
      <c r="C537">
        <v>9977761.0500000007</v>
      </c>
      <c r="D537" s="1" t="s">
        <v>1083</v>
      </c>
      <c r="E537">
        <v>9977761.0500000007</v>
      </c>
      <c r="F537">
        <v>0</v>
      </c>
      <c r="G537" s="1" t="s">
        <v>1084</v>
      </c>
      <c r="H537">
        <v>0</v>
      </c>
      <c r="I537">
        <v>0</v>
      </c>
      <c r="J537">
        <v>1</v>
      </c>
      <c r="K537">
        <v>0</v>
      </c>
      <c r="L537">
        <v>22</v>
      </c>
      <c r="M537">
        <v>0</v>
      </c>
      <c r="N537">
        <v>1</v>
      </c>
      <c r="O537">
        <v>9977761.0500000007</v>
      </c>
    </row>
    <row r="538" spans="1:15" x14ac:dyDescent="0.3">
      <c r="A538">
        <v>46</v>
      </c>
      <c r="B538" s="1" t="s">
        <v>18</v>
      </c>
      <c r="C538">
        <v>9977761.0500000007</v>
      </c>
      <c r="D538" s="1" t="s">
        <v>1085</v>
      </c>
      <c r="E538">
        <v>9977761.0500000007</v>
      </c>
      <c r="F538">
        <v>0</v>
      </c>
      <c r="G538" s="1" t="s">
        <v>1086</v>
      </c>
      <c r="H538">
        <v>0</v>
      </c>
      <c r="I538">
        <v>9977761.0500000007</v>
      </c>
      <c r="J538">
        <v>1</v>
      </c>
      <c r="K538">
        <v>0</v>
      </c>
      <c r="L538">
        <v>22</v>
      </c>
      <c r="M538">
        <v>0</v>
      </c>
      <c r="N538">
        <v>1</v>
      </c>
      <c r="O538">
        <v>9977761.0500000007</v>
      </c>
    </row>
    <row r="539" spans="1:15" x14ac:dyDescent="0.3">
      <c r="A539">
        <v>46</v>
      </c>
      <c r="B539" s="1" t="s">
        <v>15</v>
      </c>
      <c r="C539">
        <v>35016.230000000003</v>
      </c>
      <c r="D539" s="1" t="s">
        <v>1087</v>
      </c>
      <c r="E539">
        <v>35016.230000000003</v>
      </c>
      <c r="F539">
        <v>0</v>
      </c>
      <c r="G539" s="1" t="s">
        <v>1088</v>
      </c>
      <c r="H539">
        <v>0</v>
      </c>
      <c r="I539">
        <v>0</v>
      </c>
      <c r="J539">
        <v>1</v>
      </c>
      <c r="K539">
        <v>0</v>
      </c>
      <c r="L539">
        <v>22</v>
      </c>
      <c r="M539">
        <v>0</v>
      </c>
      <c r="N539">
        <v>1</v>
      </c>
      <c r="O539">
        <v>35016.230000000003</v>
      </c>
    </row>
    <row r="540" spans="1:15" x14ac:dyDescent="0.3">
      <c r="A540">
        <v>46</v>
      </c>
      <c r="B540" s="1" t="s">
        <v>18</v>
      </c>
      <c r="C540">
        <v>35016.230000000003</v>
      </c>
      <c r="D540" s="1" t="s">
        <v>1089</v>
      </c>
      <c r="E540">
        <v>35016.230000000003</v>
      </c>
      <c r="F540">
        <v>0</v>
      </c>
      <c r="G540" s="1" t="s">
        <v>1090</v>
      </c>
      <c r="H540">
        <v>65435.34</v>
      </c>
      <c r="I540">
        <v>100451.57</v>
      </c>
      <c r="J540">
        <v>1</v>
      </c>
      <c r="K540">
        <v>0</v>
      </c>
      <c r="L540">
        <v>22</v>
      </c>
      <c r="M540">
        <v>0</v>
      </c>
      <c r="N540">
        <v>1</v>
      </c>
      <c r="O540">
        <v>35016.230000000003</v>
      </c>
    </row>
    <row r="541" spans="1:15" x14ac:dyDescent="0.3">
      <c r="A541">
        <v>46</v>
      </c>
      <c r="B541" s="1" t="s">
        <v>15</v>
      </c>
      <c r="C541">
        <v>71372</v>
      </c>
      <c r="D541" s="1" t="s">
        <v>1091</v>
      </c>
      <c r="E541">
        <v>71372</v>
      </c>
      <c r="F541">
        <v>0</v>
      </c>
      <c r="G541" s="1" t="s">
        <v>1092</v>
      </c>
      <c r="H541">
        <v>0</v>
      </c>
      <c r="I541">
        <v>0</v>
      </c>
      <c r="J541">
        <v>1</v>
      </c>
      <c r="K541">
        <v>0</v>
      </c>
      <c r="L541">
        <v>22</v>
      </c>
      <c r="M541">
        <v>0</v>
      </c>
      <c r="N541">
        <v>1</v>
      </c>
      <c r="O541">
        <v>71372</v>
      </c>
    </row>
    <row r="542" spans="1:15" x14ac:dyDescent="0.3">
      <c r="A542">
        <v>46</v>
      </c>
      <c r="B542" s="1" t="s">
        <v>18</v>
      </c>
      <c r="C542">
        <v>71372</v>
      </c>
      <c r="D542" s="1" t="s">
        <v>1093</v>
      </c>
      <c r="E542">
        <v>71372</v>
      </c>
      <c r="F542">
        <v>0</v>
      </c>
      <c r="G542" s="1" t="s">
        <v>781</v>
      </c>
      <c r="H542">
        <v>613464.04</v>
      </c>
      <c r="I542">
        <v>684836.04</v>
      </c>
      <c r="J542">
        <v>1</v>
      </c>
      <c r="K542">
        <v>0</v>
      </c>
      <c r="L542">
        <v>22</v>
      </c>
      <c r="M542">
        <v>0</v>
      </c>
      <c r="N542">
        <v>1</v>
      </c>
      <c r="O542">
        <v>71372</v>
      </c>
    </row>
    <row r="543" spans="1:15" x14ac:dyDescent="0.3">
      <c r="A543">
        <v>46</v>
      </c>
      <c r="B543" s="1" t="s">
        <v>15</v>
      </c>
      <c r="C543">
        <v>945131.85</v>
      </c>
      <c r="D543" s="1" t="s">
        <v>1094</v>
      </c>
      <c r="E543">
        <v>945131.85</v>
      </c>
      <c r="F543">
        <v>0</v>
      </c>
      <c r="G543" s="1" t="s">
        <v>1095</v>
      </c>
      <c r="H543">
        <v>0</v>
      </c>
      <c r="I543">
        <v>0</v>
      </c>
      <c r="J543">
        <v>1</v>
      </c>
      <c r="K543">
        <v>0</v>
      </c>
      <c r="L543">
        <v>22</v>
      </c>
      <c r="M543">
        <v>0</v>
      </c>
      <c r="N543">
        <v>1</v>
      </c>
      <c r="O543">
        <v>945131.85</v>
      </c>
    </row>
    <row r="544" spans="1:15" x14ac:dyDescent="0.3">
      <c r="A544">
        <v>46</v>
      </c>
      <c r="B544" s="1" t="s">
        <v>18</v>
      </c>
      <c r="C544">
        <v>945131.85</v>
      </c>
      <c r="D544" s="1" t="s">
        <v>1096</v>
      </c>
      <c r="E544">
        <v>945131.85</v>
      </c>
      <c r="F544">
        <v>0</v>
      </c>
      <c r="G544" s="1" t="s">
        <v>1097</v>
      </c>
      <c r="H544">
        <v>119561.47</v>
      </c>
      <c r="I544">
        <v>1064693.32</v>
      </c>
      <c r="J544">
        <v>1</v>
      </c>
      <c r="K544">
        <v>0</v>
      </c>
      <c r="L544">
        <v>22</v>
      </c>
      <c r="M544">
        <v>0</v>
      </c>
      <c r="N544">
        <v>1</v>
      </c>
      <c r="O544">
        <v>945131.85</v>
      </c>
    </row>
    <row r="545" spans="1:15" x14ac:dyDescent="0.3">
      <c r="A545">
        <v>46</v>
      </c>
      <c r="B545" s="1" t="s">
        <v>15</v>
      </c>
      <c r="C545">
        <v>736370.54</v>
      </c>
      <c r="D545" s="1" t="s">
        <v>1098</v>
      </c>
      <c r="E545">
        <v>736370.54</v>
      </c>
      <c r="F545">
        <v>0</v>
      </c>
      <c r="G545" s="1" t="s">
        <v>1099</v>
      </c>
      <c r="H545">
        <v>0</v>
      </c>
      <c r="I545">
        <v>0</v>
      </c>
      <c r="J545">
        <v>1</v>
      </c>
      <c r="K545">
        <v>0</v>
      </c>
      <c r="L545">
        <v>22</v>
      </c>
      <c r="M545">
        <v>0</v>
      </c>
      <c r="N545">
        <v>1</v>
      </c>
      <c r="O545">
        <v>736370.54</v>
      </c>
    </row>
    <row r="546" spans="1:15" x14ac:dyDescent="0.3">
      <c r="A546">
        <v>46</v>
      </c>
      <c r="B546" s="1" t="s">
        <v>18</v>
      </c>
      <c r="C546">
        <v>736370.54</v>
      </c>
      <c r="D546" s="1" t="s">
        <v>1100</v>
      </c>
      <c r="E546">
        <v>736370.54</v>
      </c>
      <c r="F546">
        <v>0</v>
      </c>
      <c r="G546" s="1" t="s">
        <v>1101</v>
      </c>
      <c r="H546">
        <v>556478.62</v>
      </c>
      <c r="I546">
        <v>1292849.1499999999</v>
      </c>
      <c r="J546">
        <v>1</v>
      </c>
      <c r="K546">
        <v>0</v>
      </c>
      <c r="L546">
        <v>22</v>
      </c>
      <c r="M546">
        <v>0</v>
      </c>
      <c r="N546">
        <v>1</v>
      </c>
      <c r="O546">
        <v>736370.54</v>
      </c>
    </row>
    <row r="547" spans="1:15" x14ac:dyDescent="0.3">
      <c r="A547">
        <v>46</v>
      </c>
      <c r="B547" s="1" t="s">
        <v>15</v>
      </c>
      <c r="C547">
        <v>82971.91</v>
      </c>
      <c r="D547" s="1" t="s">
        <v>1102</v>
      </c>
      <c r="E547">
        <v>82971.91</v>
      </c>
      <c r="F547">
        <v>0</v>
      </c>
      <c r="G547" s="1" t="s">
        <v>1103</v>
      </c>
      <c r="H547">
        <v>0</v>
      </c>
      <c r="I547">
        <v>0</v>
      </c>
      <c r="J547">
        <v>1</v>
      </c>
      <c r="K547">
        <v>0</v>
      </c>
      <c r="L547">
        <v>22</v>
      </c>
      <c r="M547">
        <v>0</v>
      </c>
      <c r="N547">
        <v>1</v>
      </c>
      <c r="O547">
        <v>82971.91</v>
      </c>
    </row>
    <row r="548" spans="1:15" x14ac:dyDescent="0.3">
      <c r="A548">
        <v>46</v>
      </c>
      <c r="B548" s="1" t="s">
        <v>18</v>
      </c>
      <c r="C548">
        <v>82971.91</v>
      </c>
      <c r="D548" s="1" t="s">
        <v>1104</v>
      </c>
      <c r="E548">
        <v>82971.91</v>
      </c>
      <c r="F548">
        <v>0</v>
      </c>
      <c r="G548" s="1" t="s">
        <v>1105</v>
      </c>
      <c r="H548">
        <v>39316.959999999999</v>
      </c>
      <c r="I548">
        <v>122288.87</v>
      </c>
      <c r="J548">
        <v>1</v>
      </c>
      <c r="K548">
        <v>0</v>
      </c>
      <c r="L548">
        <v>22</v>
      </c>
      <c r="M548">
        <v>0</v>
      </c>
      <c r="N548">
        <v>1</v>
      </c>
      <c r="O548">
        <v>82971.91</v>
      </c>
    </row>
    <row r="549" spans="1:15" x14ac:dyDescent="0.3">
      <c r="A549">
        <v>46</v>
      </c>
      <c r="B549" s="1" t="s">
        <v>15</v>
      </c>
      <c r="C549">
        <v>585010.21</v>
      </c>
      <c r="D549" s="1" t="s">
        <v>1106</v>
      </c>
      <c r="E549">
        <v>585010.21</v>
      </c>
      <c r="F549">
        <v>0</v>
      </c>
      <c r="G549" s="1" t="s">
        <v>1107</v>
      </c>
      <c r="H549">
        <v>0</v>
      </c>
      <c r="I549">
        <v>0</v>
      </c>
      <c r="J549">
        <v>1</v>
      </c>
      <c r="K549">
        <v>0</v>
      </c>
      <c r="L549">
        <v>22</v>
      </c>
      <c r="M549">
        <v>0</v>
      </c>
      <c r="N549">
        <v>1</v>
      </c>
      <c r="O549">
        <v>585010.21</v>
      </c>
    </row>
    <row r="550" spans="1:15" x14ac:dyDescent="0.3">
      <c r="A550">
        <v>46</v>
      </c>
      <c r="B550" s="1" t="s">
        <v>18</v>
      </c>
      <c r="C550">
        <v>585010.21</v>
      </c>
      <c r="D550" s="1" t="s">
        <v>1108</v>
      </c>
      <c r="E550">
        <v>585010.21</v>
      </c>
      <c r="F550">
        <v>0</v>
      </c>
      <c r="G550" s="1" t="s">
        <v>1109</v>
      </c>
      <c r="H550">
        <v>15969.08</v>
      </c>
      <c r="I550">
        <v>600979.29</v>
      </c>
      <c r="J550">
        <v>1</v>
      </c>
      <c r="K550">
        <v>0</v>
      </c>
      <c r="L550">
        <v>22</v>
      </c>
      <c r="M550">
        <v>0</v>
      </c>
      <c r="N550">
        <v>1</v>
      </c>
      <c r="O550">
        <v>585010.21</v>
      </c>
    </row>
    <row r="551" spans="1:15" x14ac:dyDescent="0.3">
      <c r="A551">
        <v>47</v>
      </c>
      <c r="B551" s="1" t="s">
        <v>15</v>
      </c>
      <c r="C551">
        <v>225850.53</v>
      </c>
      <c r="D551" s="1" t="s">
        <v>1110</v>
      </c>
      <c r="E551">
        <v>225850.53</v>
      </c>
      <c r="F551">
        <v>0</v>
      </c>
      <c r="G551" s="1" t="s">
        <v>1111</v>
      </c>
      <c r="H551">
        <v>0</v>
      </c>
      <c r="I551">
        <v>0</v>
      </c>
      <c r="J551">
        <v>1</v>
      </c>
      <c r="K551">
        <v>0</v>
      </c>
      <c r="L551">
        <v>23</v>
      </c>
      <c r="M551">
        <v>0</v>
      </c>
      <c r="N551">
        <v>1</v>
      </c>
      <c r="O551">
        <v>225850.53</v>
      </c>
    </row>
    <row r="552" spans="1:15" x14ac:dyDescent="0.3">
      <c r="A552">
        <v>47</v>
      </c>
      <c r="B552" s="1" t="s">
        <v>18</v>
      </c>
      <c r="C552">
        <v>225850.53</v>
      </c>
      <c r="D552" s="1" t="s">
        <v>1112</v>
      </c>
      <c r="E552">
        <v>225850.53</v>
      </c>
      <c r="F552">
        <v>0</v>
      </c>
      <c r="G552" s="1" t="s">
        <v>1113</v>
      </c>
      <c r="H552">
        <v>5063600.9000000004</v>
      </c>
      <c r="I552">
        <v>5289451.43</v>
      </c>
      <c r="J552">
        <v>1</v>
      </c>
      <c r="K552">
        <v>0</v>
      </c>
      <c r="L552">
        <v>23</v>
      </c>
      <c r="M552">
        <v>0</v>
      </c>
      <c r="N552">
        <v>1</v>
      </c>
      <c r="O552">
        <v>225850.53</v>
      </c>
    </row>
    <row r="553" spans="1:15" x14ac:dyDescent="0.3">
      <c r="A553">
        <v>47</v>
      </c>
      <c r="B553" s="1" t="s">
        <v>15</v>
      </c>
      <c r="C553">
        <v>243028.65</v>
      </c>
      <c r="D553" s="1" t="s">
        <v>1114</v>
      </c>
      <c r="E553">
        <v>243028.65</v>
      </c>
      <c r="F553">
        <v>0</v>
      </c>
      <c r="G553" s="1" t="s">
        <v>1115</v>
      </c>
      <c r="H553">
        <v>0</v>
      </c>
      <c r="I553">
        <v>0</v>
      </c>
      <c r="J553">
        <v>1</v>
      </c>
      <c r="K553">
        <v>0</v>
      </c>
      <c r="L553">
        <v>23</v>
      </c>
      <c r="M553">
        <v>0</v>
      </c>
      <c r="N553">
        <v>1</v>
      </c>
      <c r="O553">
        <v>243028.65</v>
      </c>
    </row>
    <row r="554" spans="1:15" x14ac:dyDescent="0.3">
      <c r="A554">
        <v>47</v>
      </c>
      <c r="B554" s="1" t="s">
        <v>18</v>
      </c>
      <c r="C554">
        <v>243028.65</v>
      </c>
      <c r="D554" s="1" t="s">
        <v>1116</v>
      </c>
      <c r="E554">
        <v>243028.65</v>
      </c>
      <c r="F554">
        <v>0</v>
      </c>
      <c r="G554" s="1" t="s">
        <v>1117</v>
      </c>
      <c r="H554">
        <v>441285.14</v>
      </c>
      <c r="I554">
        <v>684313.79</v>
      </c>
      <c r="J554">
        <v>1</v>
      </c>
      <c r="K554">
        <v>0</v>
      </c>
      <c r="L554">
        <v>23</v>
      </c>
      <c r="M554">
        <v>0</v>
      </c>
      <c r="N554">
        <v>1</v>
      </c>
      <c r="O554">
        <v>243028.65</v>
      </c>
    </row>
    <row r="555" spans="1:15" x14ac:dyDescent="0.3">
      <c r="A555">
        <v>47</v>
      </c>
      <c r="B555" s="1" t="s">
        <v>15</v>
      </c>
      <c r="C555">
        <v>2249574.0099999998</v>
      </c>
      <c r="D555" s="1" t="s">
        <v>1118</v>
      </c>
      <c r="E555">
        <v>2249574.0099999998</v>
      </c>
      <c r="F555">
        <v>0</v>
      </c>
      <c r="G555" s="1" t="s">
        <v>1119</v>
      </c>
      <c r="H555">
        <v>0</v>
      </c>
      <c r="I555">
        <v>0</v>
      </c>
      <c r="J555">
        <v>1</v>
      </c>
      <c r="K555">
        <v>0</v>
      </c>
      <c r="L555">
        <v>23</v>
      </c>
      <c r="M555">
        <v>0</v>
      </c>
      <c r="N555">
        <v>1</v>
      </c>
      <c r="O555">
        <v>2249574.0099999998</v>
      </c>
    </row>
    <row r="556" spans="1:15" x14ac:dyDescent="0.3">
      <c r="A556">
        <v>47</v>
      </c>
      <c r="B556" s="1" t="s">
        <v>18</v>
      </c>
      <c r="C556">
        <v>2249574.0099999998</v>
      </c>
      <c r="D556" s="1" t="s">
        <v>1120</v>
      </c>
      <c r="E556">
        <v>2249574.0099999998</v>
      </c>
      <c r="F556">
        <v>0</v>
      </c>
      <c r="G556" s="1" t="s">
        <v>1121</v>
      </c>
      <c r="H556">
        <v>3785286.98</v>
      </c>
      <c r="I556">
        <v>6034861</v>
      </c>
      <c r="J556">
        <v>1</v>
      </c>
      <c r="K556">
        <v>0</v>
      </c>
      <c r="L556">
        <v>23</v>
      </c>
      <c r="M556">
        <v>0</v>
      </c>
      <c r="N556">
        <v>1</v>
      </c>
      <c r="O556">
        <v>2249574.0099999998</v>
      </c>
    </row>
    <row r="557" spans="1:15" x14ac:dyDescent="0.3">
      <c r="A557">
        <v>47</v>
      </c>
      <c r="B557" s="1" t="s">
        <v>15</v>
      </c>
      <c r="C557">
        <v>13172.17</v>
      </c>
      <c r="D557" s="1" t="s">
        <v>1122</v>
      </c>
      <c r="E557">
        <v>13172.17</v>
      </c>
      <c r="F557">
        <v>0</v>
      </c>
      <c r="G557" s="1" t="s">
        <v>1123</v>
      </c>
      <c r="H557">
        <v>0</v>
      </c>
      <c r="I557">
        <v>0</v>
      </c>
      <c r="J557">
        <v>1</v>
      </c>
      <c r="K557">
        <v>0</v>
      </c>
      <c r="L557">
        <v>23</v>
      </c>
      <c r="M557">
        <v>0</v>
      </c>
      <c r="N557">
        <v>1</v>
      </c>
      <c r="O557">
        <v>13172.17</v>
      </c>
    </row>
    <row r="558" spans="1:15" x14ac:dyDescent="0.3">
      <c r="A558">
        <v>47</v>
      </c>
      <c r="B558" s="1" t="s">
        <v>18</v>
      </c>
      <c r="C558">
        <v>13172.17</v>
      </c>
      <c r="D558" s="1" t="s">
        <v>1124</v>
      </c>
      <c r="E558">
        <v>13172.17</v>
      </c>
      <c r="F558">
        <v>0</v>
      </c>
      <c r="G558" s="1" t="s">
        <v>1125</v>
      </c>
      <c r="H558">
        <v>0</v>
      </c>
      <c r="I558">
        <v>13172.17</v>
      </c>
      <c r="J558">
        <v>1</v>
      </c>
      <c r="K558">
        <v>0</v>
      </c>
      <c r="L558">
        <v>23</v>
      </c>
      <c r="M558">
        <v>0</v>
      </c>
      <c r="N558">
        <v>1</v>
      </c>
      <c r="O558">
        <v>13172.17</v>
      </c>
    </row>
    <row r="559" spans="1:15" x14ac:dyDescent="0.3">
      <c r="A559">
        <v>47</v>
      </c>
      <c r="B559" s="1" t="s">
        <v>15</v>
      </c>
      <c r="C559">
        <v>61487.67</v>
      </c>
      <c r="D559" s="1" t="s">
        <v>1126</v>
      </c>
      <c r="E559">
        <v>61487.67</v>
      </c>
      <c r="F559">
        <v>0</v>
      </c>
      <c r="G559" s="1" t="s">
        <v>1127</v>
      </c>
      <c r="H559">
        <v>0</v>
      </c>
      <c r="I559">
        <v>0</v>
      </c>
      <c r="J559">
        <v>1</v>
      </c>
      <c r="K559">
        <v>0</v>
      </c>
      <c r="L559">
        <v>23</v>
      </c>
      <c r="M559">
        <v>0</v>
      </c>
      <c r="N559">
        <v>1</v>
      </c>
      <c r="O559">
        <v>61487.67</v>
      </c>
    </row>
    <row r="560" spans="1:15" x14ac:dyDescent="0.3">
      <c r="A560">
        <v>47</v>
      </c>
      <c r="B560" s="1" t="s">
        <v>18</v>
      </c>
      <c r="C560">
        <v>61487.67</v>
      </c>
      <c r="D560" s="1" t="s">
        <v>1128</v>
      </c>
      <c r="E560">
        <v>61487.67</v>
      </c>
      <c r="F560">
        <v>0</v>
      </c>
      <c r="G560" s="1" t="s">
        <v>1129</v>
      </c>
      <c r="H560">
        <v>0</v>
      </c>
      <c r="I560">
        <v>61487.67</v>
      </c>
      <c r="J560">
        <v>1</v>
      </c>
      <c r="K560">
        <v>0</v>
      </c>
      <c r="L560">
        <v>23</v>
      </c>
      <c r="M560">
        <v>0</v>
      </c>
      <c r="N560">
        <v>1</v>
      </c>
      <c r="O560">
        <v>61487.67</v>
      </c>
    </row>
    <row r="561" spans="1:15" x14ac:dyDescent="0.3">
      <c r="A561">
        <v>47</v>
      </c>
      <c r="B561" s="1" t="s">
        <v>15</v>
      </c>
      <c r="C561">
        <v>156011.24</v>
      </c>
      <c r="D561" s="1" t="s">
        <v>1130</v>
      </c>
      <c r="E561">
        <v>156011.24</v>
      </c>
      <c r="F561">
        <v>0</v>
      </c>
      <c r="G561" s="1" t="s">
        <v>1131</v>
      </c>
      <c r="H561">
        <v>0</v>
      </c>
      <c r="I561">
        <v>0</v>
      </c>
      <c r="J561">
        <v>1</v>
      </c>
      <c r="K561">
        <v>0</v>
      </c>
      <c r="L561">
        <v>23</v>
      </c>
      <c r="M561">
        <v>0</v>
      </c>
      <c r="N561">
        <v>1</v>
      </c>
      <c r="O561">
        <v>156011.24</v>
      </c>
    </row>
    <row r="562" spans="1:15" x14ac:dyDescent="0.3">
      <c r="A562">
        <v>47</v>
      </c>
      <c r="B562" s="1" t="s">
        <v>18</v>
      </c>
      <c r="C562">
        <v>156011.24</v>
      </c>
      <c r="D562" s="1" t="s">
        <v>1132</v>
      </c>
      <c r="E562">
        <v>156011.24</v>
      </c>
      <c r="F562">
        <v>0</v>
      </c>
      <c r="G562" s="1" t="s">
        <v>1133</v>
      </c>
      <c r="H562">
        <v>152239.96</v>
      </c>
      <c r="I562">
        <v>308251.2</v>
      </c>
      <c r="J562">
        <v>1</v>
      </c>
      <c r="K562">
        <v>0</v>
      </c>
      <c r="L562">
        <v>23</v>
      </c>
      <c r="M562">
        <v>0</v>
      </c>
      <c r="N562">
        <v>1</v>
      </c>
      <c r="O562">
        <v>156011.24</v>
      </c>
    </row>
    <row r="563" spans="1:15" x14ac:dyDescent="0.3">
      <c r="A563">
        <v>47</v>
      </c>
      <c r="B563" s="1" t="s">
        <v>15</v>
      </c>
      <c r="C563">
        <v>36532.839999999997</v>
      </c>
      <c r="D563" s="1" t="s">
        <v>1134</v>
      </c>
      <c r="E563">
        <v>36532.839999999997</v>
      </c>
      <c r="F563">
        <v>0</v>
      </c>
      <c r="G563" s="1" t="s">
        <v>1135</v>
      </c>
      <c r="H563">
        <v>0</v>
      </c>
      <c r="I563">
        <v>0</v>
      </c>
      <c r="J563">
        <v>1</v>
      </c>
      <c r="K563">
        <v>0</v>
      </c>
      <c r="L563">
        <v>23</v>
      </c>
      <c r="M563">
        <v>0</v>
      </c>
      <c r="N563">
        <v>1</v>
      </c>
      <c r="O563">
        <v>36532.839999999997</v>
      </c>
    </row>
    <row r="564" spans="1:15" x14ac:dyDescent="0.3">
      <c r="A564">
        <v>47</v>
      </c>
      <c r="B564" s="1" t="s">
        <v>18</v>
      </c>
      <c r="C564">
        <v>36532.839999999997</v>
      </c>
      <c r="D564" s="1" t="s">
        <v>1136</v>
      </c>
      <c r="E564">
        <v>36532.839999999997</v>
      </c>
      <c r="F564">
        <v>0</v>
      </c>
      <c r="G564" s="1" t="s">
        <v>1137</v>
      </c>
      <c r="H564">
        <v>0</v>
      </c>
      <c r="I564">
        <v>36532.839999999997</v>
      </c>
      <c r="J564">
        <v>1</v>
      </c>
      <c r="K564">
        <v>0</v>
      </c>
      <c r="L564">
        <v>23</v>
      </c>
      <c r="M564">
        <v>0</v>
      </c>
      <c r="N564">
        <v>1</v>
      </c>
      <c r="O564">
        <v>36532.839999999997</v>
      </c>
    </row>
    <row r="565" spans="1:15" x14ac:dyDescent="0.3">
      <c r="A565">
        <v>47</v>
      </c>
      <c r="B565" s="1" t="s">
        <v>15</v>
      </c>
      <c r="C565">
        <v>827921.27</v>
      </c>
      <c r="D565" s="1" t="s">
        <v>1138</v>
      </c>
      <c r="E565">
        <v>827921.27</v>
      </c>
      <c r="F565">
        <v>0</v>
      </c>
      <c r="G565" s="1" t="s">
        <v>1139</v>
      </c>
      <c r="H565">
        <v>0</v>
      </c>
      <c r="I565">
        <v>0</v>
      </c>
      <c r="J565">
        <v>1</v>
      </c>
      <c r="K565">
        <v>0</v>
      </c>
      <c r="L565">
        <v>23</v>
      </c>
      <c r="M565">
        <v>0</v>
      </c>
      <c r="N565">
        <v>1</v>
      </c>
      <c r="O565">
        <v>827921.27</v>
      </c>
    </row>
    <row r="566" spans="1:15" x14ac:dyDescent="0.3">
      <c r="A566">
        <v>47</v>
      </c>
      <c r="B566" s="1" t="s">
        <v>18</v>
      </c>
      <c r="C566">
        <v>827921.27</v>
      </c>
      <c r="D566" s="1" t="s">
        <v>1140</v>
      </c>
      <c r="E566">
        <v>827921.27</v>
      </c>
      <c r="F566">
        <v>0</v>
      </c>
      <c r="G566" s="1" t="s">
        <v>1141</v>
      </c>
      <c r="H566">
        <v>1025081.63</v>
      </c>
      <c r="I566">
        <v>1853002.91</v>
      </c>
      <c r="J566">
        <v>1</v>
      </c>
      <c r="K566">
        <v>0</v>
      </c>
      <c r="L566">
        <v>23</v>
      </c>
      <c r="M566">
        <v>0</v>
      </c>
      <c r="N566">
        <v>1</v>
      </c>
      <c r="O566">
        <v>827921.27</v>
      </c>
    </row>
    <row r="567" spans="1:15" x14ac:dyDescent="0.3">
      <c r="A567">
        <v>47</v>
      </c>
      <c r="B567" s="1" t="s">
        <v>15</v>
      </c>
      <c r="C567">
        <v>667043.9</v>
      </c>
      <c r="D567" s="1" t="s">
        <v>1142</v>
      </c>
      <c r="E567">
        <v>667043.9</v>
      </c>
      <c r="F567">
        <v>0</v>
      </c>
      <c r="G567" s="1" t="s">
        <v>1143</v>
      </c>
      <c r="H567">
        <v>0</v>
      </c>
      <c r="I567">
        <v>0</v>
      </c>
      <c r="J567">
        <v>1</v>
      </c>
      <c r="K567">
        <v>0</v>
      </c>
      <c r="L567">
        <v>23</v>
      </c>
      <c r="M567">
        <v>0</v>
      </c>
      <c r="N567">
        <v>1</v>
      </c>
      <c r="O567">
        <v>667043.9</v>
      </c>
    </row>
    <row r="568" spans="1:15" x14ac:dyDescent="0.3">
      <c r="A568">
        <v>47</v>
      </c>
      <c r="B568" s="1" t="s">
        <v>18</v>
      </c>
      <c r="C568">
        <v>667043.9</v>
      </c>
      <c r="D568" s="1" t="s">
        <v>1144</v>
      </c>
      <c r="E568">
        <v>667043.9</v>
      </c>
      <c r="F568">
        <v>0</v>
      </c>
      <c r="G568" s="1" t="s">
        <v>1145</v>
      </c>
      <c r="H568">
        <v>104132.27</v>
      </c>
      <c r="I568">
        <v>771176.17</v>
      </c>
      <c r="J568">
        <v>1</v>
      </c>
      <c r="K568">
        <v>0</v>
      </c>
      <c r="L568">
        <v>23</v>
      </c>
      <c r="M568">
        <v>0</v>
      </c>
      <c r="N568">
        <v>1</v>
      </c>
      <c r="O568">
        <v>667043.9</v>
      </c>
    </row>
    <row r="569" spans="1:15" x14ac:dyDescent="0.3">
      <c r="A569">
        <v>47</v>
      </c>
      <c r="B569" s="1" t="s">
        <v>15</v>
      </c>
      <c r="C569">
        <v>202978.65</v>
      </c>
      <c r="D569" s="1" t="s">
        <v>1146</v>
      </c>
      <c r="E569">
        <v>0</v>
      </c>
      <c r="F569">
        <v>0</v>
      </c>
      <c r="G569" s="1" t="s">
        <v>1147</v>
      </c>
      <c r="H569">
        <v>2122336.5499999998</v>
      </c>
      <c r="I569">
        <v>2325315.19</v>
      </c>
      <c r="J569">
        <v>1</v>
      </c>
      <c r="K569">
        <v>0</v>
      </c>
      <c r="L569">
        <v>23</v>
      </c>
      <c r="M569">
        <v>0</v>
      </c>
      <c r="N569">
        <v>0</v>
      </c>
      <c r="O569">
        <v>0</v>
      </c>
    </row>
    <row r="570" spans="1:15" x14ac:dyDescent="0.3">
      <c r="A570">
        <v>47</v>
      </c>
      <c r="B570" s="1" t="s">
        <v>15</v>
      </c>
      <c r="C570">
        <v>1388951.5</v>
      </c>
      <c r="D570" s="1" t="s">
        <v>1148</v>
      </c>
      <c r="E570">
        <v>1388951.5</v>
      </c>
      <c r="F570">
        <v>0</v>
      </c>
      <c r="G570" s="1" t="s">
        <v>1149</v>
      </c>
      <c r="H570">
        <v>0</v>
      </c>
      <c r="I570">
        <v>0</v>
      </c>
      <c r="J570">
        <v>1</v>
      </c>
      <c r="K570">
        <v>0</v>
      </c>
      <c r="L570">
        <v>23</v>
      </c>
      <c r="M570">
        <v>0</v>
      </c>
      <c r="N570">
        <v>1</v>
      </c>
      <c r="O570">
        <v>1388951.5</v>
      </c>
    </row>
    <row r="571" spans="1:15" x14ac:dyDescent="0.3">
      <c r="A571">
        <v>47</v>
      </c>
      <c r="B571" s="1" t="s">
        <v>18</v>
      </c>
      <c r="C571">
        <v>1388951.5</v>
      </c>
      <c r="D571" s="1" t="s">
        <v>1150</v>
      </c>
      <c r="E571">
        <v>1388951.5</v>
      </c>
      <c r="F571">
        <v>0</v>
      </c>
      <c r="G571" s="1" t="s">
        <v>1151</v>
      </c>
      <c r="H571">
        <v>459273.45</v>
      </c>
      <c r="I571">
        <v>1848224.95</v>
      </c>
      <c r="J571">
        <v>1</v>
      </c>
      <c r="K571">
        <v>0</v>
      </c>
      <c r="L571">
        <v>23</v>
      </c>
      <c r="M571">
        <v>0</v>
      </c>
      <c r="N571">
        <v>1</v>
      </c>
      <c r="O571">
        <v>1388951.5</v>
      </c>
    </row>
    <row r="572" spans="1:15" x14ac:dyDescent="0.3">
      <c r="A572">
        <v>48</v>
      </c>
      <c r="B572" s="1" t="s">
        <v>15</v>
      </c>
      <c r="C572">
        <v>1215297.01</v>
      </c>
      <c r="D572" s="1" t="s">
        <v>1152</v>
      </c>
      <c r="E572">
        <v>1215297.01</v>
      </c>
      <c r="F572">
        <v>0</v>
      </c>
      <c r="G572" s="1" t="s">
        <v>1153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1215297.01</v>
      </c>
    </row>
    <row r="573" spans="1:15" x14ac:dyDescent="0.3">
      <c r="A573">
        <v>48</v>
      </c>
      <c r="B573" s="1" t="s">
        <v>18</v>
      </c>
      <c r="C573">
        <v>1215297.01</v>
      </c>
      <c r="D573" s="1" t="s">
        <v>1154</v>
      </c>
      <c r="E573">
        <v>1215297.01</v>
      </c>
      <c r="F573">
        <v>0</v>
      </c>
      <c r="G573" s="1" t="s">
        <v>1155</v>
      </c>
      <c r="H573">
        <v>2497294.92</v>
      </c>
      <c r="I573">
        <v>3712591.93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1215297.01</v>
      </c>
    </row>
    <row r="574" spans="1:15" x14ac:dyDescent="0.3">
      <c r="A574">
        <v>48</v>
      </c>
      <c r="B574" s="1" t="s">
        <v>15</v>
      </c>
      <c r="C574">
        <v>337974.21</v>
      </c>
      <c r="D574" s="1" t="s">
        <v>1156</v>
      </c>
      <c r="E574">
        <v>337974.21</v>
      </c>
      <c r="F574">
        <v>0</v>
      </c>
      <c r="G574" s="1" t="s">
        <v>1157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337974.21</v>
      </c>
    </row>
    <row r="575" spans="1:15" x14ac:dyDescent="0.3">
      <c r="A575">
        <v>48</v>
      </c>
      <c r="B575" s="1" t="s">
        <v>18</v>
      </c>
      <c r="C575">
        <v>337974.21</v>
      </c>
      <c r="D575" s="1" t="s">
        <v>1158</v>
      </c>
      <c r="E575">
        <v>337974.21</v>
      </c>
      <c r="F575">
        <v>0</v>
      </c>
      <c r="G575" s="1" t="s">
        <v>1159</v>
      </c>
      <c r="H575">
        <v>0</v>
      </c>
      <c r="I575">
        <v>337974.21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337974.21</v>
      </c>
    </row>
    <row r="576" spans="1:15" x14ac:dyDescent="0.3">
      <c r="A576">
        <v>48</v>
      </c>
      <c r="B576" s="1" t="s">
        <v>15</v>
      </c>
      <c r="C576">
        <v>147267.01</v>
      </c>
      <c r="D576" s="1" t="s">
        <v>1160</v>
      </c>
      <c r="E576">
        <v>147267.01</v>
      </c>
      <c r="F576">
        <v>0</v>
      </c>
      <c r="G576" s="1" t="s">
        <v>1161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147267.01</v>
      </c>
    </row>
    <row r="577" spans="1:15" x14ac:dyDescent="0.3">
      <c r="A577">
        <v>48</v>
      </c>
      <c r="B577" s="1" t="s">
        <v>18</v>
      </c>
      <c r="C577">
        <v>147267.01</v>
      </c>
      <c r="D577" s="1" t="s">
        <v>1162</v>
      </c>
      <c r="E577">
        <v>147267.01</v>
      </c>
      <c r="F577">
        <v>0</v>
      </c>
      <c r="G577" s="1" t="s">
        <v>1163</v>
      </c>
      <c r="H577">
        <v>107418</v>
      </c>
      <c r="I577">
        <v>64210.559999999998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147267.01</v>
      </c>
    </row>
    <row r="578" spans="1:15" x14ac:dyDescent="0.3">
      <c r="A578">
        <v>48</v>
      </c>
      <c r="B578" s="1" t="s">
        <v>15</v>
      </c>
      <c r="C578">
        <v>561374.78</v>
      </c>
      <c r="D578" s="1" t="s">
        <v>1164</v>
      </c>
      <c r="E578">
        <v>561374.78</v>
      </c>
      <c r="F578">
        <v>0</v>
      </c>
      <c r="G578" s="1" t="s">
        <v>1165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561374.78</v>
      </c>
    </row>
    <row r="579" spans="1:15" x14ac:dyDescent="0.3">
      <c r="A579">
        <v>48</v>
      </c>
      <c r="B579" s="1" t="s">
        <v>18</v>
      </c>
      <c r="C579">
        <v>561374.78</v>
      </c>
      <c r="D579" s="1" t="s">
        <v>1166</v>
      </c>
      <c r="E579">
        <v>561374.78</v>
      </c>
      <c r="F579">
        <v>0</v>
      </c>
      <c r="G579" s="1" t="s">
        <v>1167</v>
      </c>
      <c r="H579">
        <v>5726683.5300000003</v>
      </c>
      <c r="I579">
        <v>6288058.3099999996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561374.78</v>
      </c>
    </row>
    <row r="580" spans="1:15" x14ac:dyDescent="0.3">
      <c r="A580">
        <v>48</v>
      </c>
      <c r="B580" s="1" t="s">
        <v>15</v>
      </c>
      <c r="C580">
        <v>5489302.04</v>
      </c>
      <c r="D580" s="1" t="s">
        <v>1168</v>
      </c>
      <c r="E580">
        <v>5489302.04</v>
      </c>
      <c r="F580">
        <v>0</v>
      </c>
      <c r="G580" s="1" t="s">
        <v>1169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5489302.04</v>
      </c>
    </row>
    <row r="581" spans="1:15" x14ac:dyDescent="0.3">
      <c r="A581">
        <v>48</v>
      </c>
      <c r="B581" s="1" t="s">
        <v>18</v>
      </c>
      <c r="C581">
        <v>5489302.04</v>
      </c>
      <c r="D581" s="1" t="s">
        <v>1170</v>
      </c>
      <c r="E581">
        <v>5489302.04</v>
      </c>
      <c r="F581">
        <v>0</v>
      </c>
      <c r="G581" s="1" t="s">
        <v>1171</v>
      </c>
      <c r="H581">
        <v>1356390.81</v>
      </c>
      <c r="I581">
        <v>6845692.8499999996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5489302.04</v>
      </c>
    </row>
    <row r="582" spans="1:15" x14ac:dyDescent="0.3">
      <c r="A582">
        <v>49</v>
      </c>
      <c r="B582" s="1" t="s">
        <v>15</v>
      </c>
      <c r="C582">
        <v>1021129.67</v>
      </c>
      <c r="D582" s="1" t="s">
        <v>1172</v>
      </c>
      <c r="E582">
        <v>1021129.67</v>
      </c>
      <c r="F582">
        <v>0</v>
      </c>
      <c r="G582" s="1" t="s">
        <v>1173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1021129.67</v>
      </c>
    </row>
    <row r="583" spans="1:15" x14ac:dyDescent="0.3">
      <c r="A583">
        <v>49</v>
      </c>
      <c r="B583" s="1" t="s">
        <v>18</v>
      </c>
      <c r="C583">
        <v>1021129.67</v>
      </c>
      <c r="D583" s="1" t="s">
        <v>1174</v>
      </c>
      <c r="E583">
        <v>1021129.67</v>
      </c>
      <c r="F583">
        <v>0</v>
      </c>
      <c r="G583" s="1" t="s">
        <v>1175</v>
      </c>
      <c r="H583">
        <v>86245.92</v>
      </c>
      <c r="I583">
        <v>1107375.5900000001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1021129.67</v>
      </c>
    </row>
    <row r="584" spans="1:15" x14ac:dyDescent="0.3">
      <c r="A584">
        <v>49</v>
      </c>
      <c r="B584" s="1" t="s">
        <v>15</v>
      </c>
      <c r="C584">
        <v>114017.19</v>
      </c>
      <c r="D584" s="1" t="s">
        <v>1176</v>
      </c>
      <c r="E584">
        <v>114017.19</v>
      </c>
      <c r="F584">
        <v>0</v>
      </c>
      <c r="G584" s="1" t="s">
        <v>1177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114017.19</v>
      </c>
    </row>
    <row r="585" spans="1:15" x14ac:dyDescent="0.3">
      <c r="A585">
        <v>49</v>
      </c>
      <c r="B585" s="1" t="s">
        <v>18</v>
      </c>
      <c r="C585">
        <v>114017.19</v>
      </c>
      <c r="D585" s="1" t="s">
        <v>1178</v>
      </c>
      <c r="E585">
        <v>114017.19</v>
      </c>
      <c r="F585">
        <v>0</v>
      </c>
      <c r="G585" s="1" t="s">
        <v>1179</v>
      </c>
      <c r="H585">
        <v>2822872.88</v>
      </c>
      <c r="I585">
        <v>2936890.07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114017.19</v>
      </c>
    </row>
    <row r="586" spans="1:15" x14ac:dyDescent="0.3">
      <c r="A586">
        <v>50</v>
      </c>
      <c r="B586" s="1" t="s">
        <v>15</v>
      </c>
      <c r="C586">
        <v>112668.54</v>
      </c>
      <c r="D586" s="1" t="s">
        <v>1180</v>
      </c>
      <c r="E586">
        <v>112668.54</v>
      </c>
      <c r="F586">
        <v>0</v>
      </c>
      <c r="G586" s="1" t="s">
        <v>1181</v>
      </c>
      <c r="H586">
        <v>0</v>
      </c>
      <c r="I586">
        <v>0</v>
      </c>
      <c r="J586">
        <v>1</v>
      </c>
      <c r="K586">
        <v>0</v>
      </c>
      <c r="L586">
        <v>2</v>
      </c>
      <c r="M586">
        <v>0</v>
      </c>
      <c r="N586">
        <v>1</v>
      </c>
      <c r="O586">
        <v>112668.54</v>
      </c>
    </row>
    <row r="587" spans="1:15" x14ac:dyDescent="0.3">
      <c r="A587">
        <v>50</v>
      </c>
      <c r="B587" s="1" t="s">
        <v>18</v>
      </c>
      <c r="C587">
        <v>112668.54</v>
      </c>
      <c r="D587" s="1" t="s">
        <v>1182</v>
      </c>
      <c r="E587">
        <v>112668.54</v>
      </c>
      <c r="F587">
        <v>0</v>
      </c>
      <c r="G587" s="1" t="s">
        <v>1183</v>
      </c>
      <c r="H587">
        <v>0</v>
      </c>
      <c r="I587">
        <v>112668.54</v>
      </c>
      <c r="J587">
        <v>1</v>
      </c>
      <c r="K587">
        <v>0</v>
      </c>
      <c r="L587">
        <v>2</v>
      </c>
      <c r="M587">
        <v>0</v>
      </c>
      <c r="N587">
        <v>1</v>
      </c>
      <c r="O587">
        <v>112668.54</v>
      </c>
    </row>
    <row r="588" spans="1:15" x14ac:dyDescent="0.3">
      <c r="A588">
        <v>50</v>
      </c>
      <c r="B588" s="1" t="s">
        <v>15</v>
      </c>
      <c r="C588">
        <v>967153.5</v>
      </c>
      <c r="D588" s="1" t="s">
        <v>1184</v>
      </c>
      <c r="E588">
        <v>967153.5</v>
      </c>
      <c r="F588">
        <v>0</v>
      </c>
      <c r="G588" s="1" t="s">
        <v>1185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0</v>
      </c>
      <c r="N588">
        <v>1</v>
      </c>
      <c r="O588">
        <v>967153.5</v>
      </c>
    </row>
    <row r="589" spans="1:15" x14ac:dyDescent="0.3">
      <c r="A589">
        <v>50</v>
      </c>
      <c r="B589" s="1" t="s">
        <v>18</v>
      </c>
      <c r="C589">
        <v>967153.5</v>
      </c>
      <c r="D589" s="1" t="s">
        <v>1186</v>
      </c>
      <c r="E589">
        <v>967153.5</v>
      </c>
      <c r="F589">
        <v>0</v>
      </c>
      <c r="G589" s="1" t="s">
        <v>1187</v>
      </c>
      <c r="H589">
        <v>183670.2</v>
      </c>
      <c r="I589">
        <v>1150823.7</v>
      </c>
      <c r="J589">
        <v>1</v>
      </c>
      <c r="K589">
        <v>0</v>
      </c>
      <c r="L589">
        <v>2</v>
      </c>
      <c r="M589">
        <v>0</v>
      </c>
      <c r="N589">
        <v>1</v>
      </c>
      <c r="O589">
        <v>967153.5</v>
      </c>
    </row>
    <row r="590" spans="1:15" x14ac:dyDescent="0.3">
      <c r="A590">
        <v>50</v>
      </c>
      <c r="B590" s="1" t="s">
        <v>15</v>
      </c>
      <c r="C590">
        <v>592737.43000000005</v>
      </c>
      <c r="D590" s="1" t="s">
        <v>1188</v>
      </c>
      <c r="E590">
        <v>592737.43000000005</v>
      </c>
      <c r="F590">
        <v>0</v>
      </c>
      <c r="G590" s="1" t="s">
        <v>1189</v>
      </c>
      <c r="H590">
        <v>0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1</v>
      </c>
      <c r="O590">
        <v>592737.43000000005</v>
      </c>
    </row>
    <row r="591" spans="1:15" x14ac:dyDescent="0.3">
      <c r="A591">
        <v>50</v>
      </c>
      <c r="B591" s="1" t="s">
        <v>18</v>
      </c>
      <c r="C591">
        <v>592737.43000000005</v>
      </c>
      <c r="D591" s="1" t="s">
        <v>1190</v>
      </c>
      <c r="E591">
        <v>592737.43000000005</v>
      </c>
      <c r="F591">
        <v>0</v>
      </c>
      <c r="G591" s="1" t="s">
        <v>1191</v>
      </c>
      <c r="H591">
        <v>163646.39000000001</v>
      </c>
      <c r="I591">
        <v>756383.82</v>
      </c>
      <c r="J591">
        <v>1</v>
      </c>
      <c r="K591">
        <v>0</v>
      </c>
      <c r="L591">
        <v>2</v>
      </c>
      <c r="M591">
        <v>0</v>
      </c>
      <c r="N591">
        <v>1</v>
      </c>
      <c r="O591">
        <v>592737.43000000005</v>
      </c>
    </row>
    <row r="592" spans="1:15" x14ac:dyDescent="0.3">
      <c r="A592">
        <v>51</v>
      </c>
      <c r="B592" s="1" t="s">
        <v>15</v>
      </c>
      <c r="C592">
        <v>202887.77</v>
      </c>
      <c r="D592" s="1" t="s">
        <v>1192</v>
      </c>
      <c r="E592">
        <v>202887.77</v>
      </c>
      <c r="F592">
        <v>0</v>
      </c>
      <c r="G592" s="1" t="s">
        <v>1193</v>
      </c>
      <c r="H592">
        <v>0</v>
      </c>
      <c r="I592">
        <v>0</v>
      </c>
      <c r="J592">
        <v>1</v>
      </c>
      <c r="K592">
        <v>0</v>
      </c>
      <c r="L592">
        <v>3</v>
      </c>
      <c r="M592">
        <v>0</v>
      </c>
      <c r="N592">
        <v>1</v>
      </c>
      <c r="O592">
        <v>202887.77</v>
      </c>
    </row>
    <row r="593" spans="1:15" x14ac:dyDescent="0.3">
      <c r="A593">
        <v>51</v>
      </c>
      <c r="B593" s="1" t="s">
        <v>18</v>
      </c>
      <c r="C593">
        <v>202887.77</v>
      </c>
      <c r="D593" s="1" t="s">
        <v>1194</v>
      </c>
      <c r="E593">
        <v>202887.77</v>
      </c>
      <c r="F593">
        <v>0</v>
      </c>
      <c r="G593" s="1" t="s">
        <v>1195</v>
      </c>
      <c r="H593">
        <v>0</v>
      </c>
      <c r="I593">
        <v>202887.77</v>
      </c>
      <c r="J593">
        <v>1</v>
      </c>
      <c r="K593">
        <v>0</v>
      </c>
      <c r="L593">
        <v>3</v>
      </c>
      <c r="M593">
        <v>0</v>
      </c>
      <c r="N593">
        <v>1</v>
      </c>
      <c r="O593">
        <v>202887.77</v>
      </c>
    </row>
    <row r="594" spans="1:15" x14ac:dyDescent="0.3">
      <c r="A594">
        <v>51</v>
      </c>
      <c r="B594" s="1" t="s">
        <v>15</v>
      </c>
      <c r="C594">
        <v>339275.64</v>
      </c>
      <c r="D594" s="1" t="s">
        <v>1196</v>
      </c>
      <c r="E594">
        <v>339275.64</v>
      </c>
      <c r="F594">
        <v>0</v>
      </c>
      <c r="G594" s="1" t="s">
        <v>1197</v>
      </c>
      <c r="H594">
        <v>0</v>
      </c>
      <c r="I594">
        <v>0</v>
      </c>
      <c r="J594">
        <v>1</v>
      </c>
      <c r="K594">
        <v>0</v>
      </c>
      <c r="L594">
        <v>3</v>
      </c>
      <c r="M594">
        <v>0</v>
      </c>
      <c r="N594">
        <v>1</v>
      </c>
      <c r="O594">
        <v>339275.64</v>
      </c>
    </row>
    <row r="595" spans="1:15" x14ac:dyDescent="0.3">
      <c r="A595">
        <v>51</v>
      </c>
      <c r="B595" s="1" t="s">
        <v>18</v>
      </c>
      <c r="C595">
        <v>339275.64</v>
      </c>
      <c r="D595" s="1" t="s">
        <v>1198</v>
      </c>
      <c r="E595">
        <v>339275.64</v>
      </c>
      <c r="F595">
        <v>0</v>
      </c>
      <c r="G595" s="1" t="s">
        <v>1199</v>
      </c>
      <c r="H595">
        <v>1481576.03</v>
      </c>
      <c r="I595">
        <v>1820851.68</v>
      </c>
      <c r="J595">
        <v>1</v>
      </c>
      <c r="K595">
        <v>0</v>
      </c>
      <c r="L595">
        <v>3</v>
      </c>
      <c r="M595">
        <v>0</v>
      </c>
      <c r="N595">
        <v>1</v>
      </c>
      <c r="O595">
        <v>339275.64</v>
      </c>
    </row>
    <row r="596" spans="1:15" x14ac:dyDescent="0.3">
      <c r="A596">
        <v>51</v>
      </c>
      <c r="B596" s="1" t="s">
        <v>15</v>
      </c>
      <c r="C596">
        <v>115881.21</v>
      </c>
      <c r="D596" s="1" t="s">
        <v>1200</v>
      </c>
      <c r="E596">
        <v>115881.21</v>
      </c>
      <c r="F596">
        <v>0</v>
      </c>
      <c r="G596" s="1" t="s">
        <v>1201</v>
      </c>
      <c r="H596">
        <v>0</v>
      </c>
      <c r="I596">
        <v>0</v>
      </c>
      <c r="J596">
        <v>1</v>
      </c>
      <c r="K596">
        <v>0</v>
      </c>
      <c r="L596">
        <v>3</v>
      </c>
      <c r="M596">
        <v>0</v>
      </c>
      <c r="N596">
        <v>1</v>
      </c>
      <c r="O596">
        <v>115881.21</v>
      </c>
    </row>
    <row r="597" spans="1:15" x14ac:dyDescent="0.3">
      <c r="A597">
        <v>51</v>
      </c>
      <c r="B597" s="1" t="s">
        <v>18</v>
      </c>
      <c r="C597">
        <v>115881.21</v>
      </c>
      <c r="D597" s="1" t="s">
        <v>1202</v>
      </c>
      <c r="E597">
        <v>115881.21</v>
      </c>
      <c r="F597">
        <v>0</v>
      </c>
      <c r="G597" s="1" t="s">
        <v>1203</v>
      </c>
      <c r="H597">
        <v>4774288.04</v>
      </c>
      <c r="I597">
        <v>4890169.26</v>
      </c>
      <c r="J597">
        <v>1</v>
      </c>
      <c r="K597">
        <v>0</v>
      </c>
      <c r="L597">
        <v>3</v>
      </c>
      <c r="M597">
        <v>0</v>
      </c>
      <c r="N597">
        <v>1</v>
      </c>
      <c r="O597">
        <v>115881.21</v>
      </c>
    </row>
    <row r="598" spans="1:15" x14ac:dyDescent="0.3">
      <c r="A598">
        <v>51</v>
      </c>
      <c r="B598" s="1" t="s">
        <v>15</v>
      </c>
      <c r="C598">
        <v>1398946.33</v>
      </c>
      <c r="D598" s="1" t="s">
        <v>1204</v>
      </c>
      <c r="E598">
        <v>1398946.33</v>
      </c>
      <c r="F598">
        <v>0</v>
      </c>
      <c r="G598" s="1" t="s">
        <v>1205</v>
      </c>
      <c r="H598">
        <v>0</v>
      </c>
      <c r="I598">
        <v>0</v>
      </c>
      <c r="J598">
        <v>1</v>
      </c>
      <c r="K598">
        <v>0</v>
      </c>
      <c r="L598">
        <v>3</v>
      </c>
      <c r="M598">
        <v>0</v>
      </c>
      <c r="N598">
        <v>1</v>
      </c>
      <c r="O598">
        <v>1398946.33</v>
      </c>
    </row>
    <row r="599" spans="1:15" x14ac:dyDescent="0.3">
      <c r="A599">
        <v>51</v>
      </c>
      <c r="B599" s="1" t="s">
        <v>18</v>
      </c>
      <c r="C599">
        <v>1398946.33</v>
      </c>
      <c r="D599" s="1" t="s">
        <v>1206</v>
      </c>
      <c r="E599">
        <v>1398946.33</v>
      </c>
      <c r="F599">
        <v>0</v>
      </c>
      <c r="G599" s="1" t="s">
        <v>1207</v>
      </c>
      <c r="H599">
        <v>0</v>
      </c>
      <c r="I599">
        <v>1398946.33</v>
      </c>
      <c r="J599">
        <v>1</v>
      </c>
      <c r="K599">
        <v>0</v>
      </c>
      <c r="L599">
        <v>3</v>
      </c>
      <c r="M599">
        <v>0</v>
      </c>
      <c r="N599">
        <v>1</v>
      </c>
      <c r="O599">
        <v>1398946.33</v>
      </c>
    </row>
    <row r="600" spans="1:15" x14ac:dyDescent="0.3">
      <c r="A600">
        <v>51</v>
      </c>
      <c r="B600" s="1" t="s">
        <v>15</v>
      </c>
      <c r="C600">
        <v>1170282.92</v>
      </c>
      <c r="D600" s="1" t="s">
        <v>1208</v>
      </c>
      <c r="E600">
        <v>1170282.92</v>
      </c>
      <c r="F600">
        <v>0</v>
      </c>
      <c r="G600" s="1" t="s">
        <v>1209</v>
      </c>
      <c r="H600">
        <v>0</v>
      </c>
      <c r="I600">
        <v>0</v>
      </c>
      <c r="J600">
        <v>1</v>
      </c>
      <c r="K600">
        <v>0</v>
      </c>
      <c r="L600">
        <v>3</v>
      </c>
      <c r="M600">
        <v>0</v>
      </c>
      <c r="N600">
        <v>1</v>
      </c>
      <c r="O600">
        <v>1170282.92</v>
      </c>
    </row>
    <row r="601" spans="1:15" x14ac:dyDescent="0.3">
      <c r="A601">
        <v>51</v>
      </c>
      <c r="B601" s="1" t="s">
        <v>18</v>
      </c>
      <c r="C601">
        <v>1170282.92</v>
      </c>
      <c r="D601" s="1" t="s">
        <v>1210</v>
      </c>
      <c r="E601">
        <v>1170282.92</v>
      </c>
      <c r="F601">
        <v>0</v>
      </c>
      <c r="G601" s="1" t="s">
        <v>1211</v>
      </c>
      <c r="H601">
        <v>173264.14</v>
      </c>
      <c r="I601">
        <v>1343547.06</v>
      </c>
      <c r="J601">
        <v>1</v>
      </c>
      <c r="K601">
        <v>0</v>
      </c>
      <c r="L601">
        <v>3</v>
      </c>
      <c r="M601">
        <v>0</v>
      </c>
      <c r="N601">
        <v>1</v>
      </c>
      <c r="O601">
        <v>1170282.92</v>
      </c>
    </row>
    <row r="602" spans="1:15" x14ac:dyDescent="0.3">
      <c r="A602">
        <v>51</v>
      </c>
      <c r="B602" s="1" t="s">
        <v>15</v>
      </c>
      <c r="C602">
        <v>567932.31000000006</v>
      </c>
      <c r="D602" s="1" t="s">
        <v>1212</v>
      </c>
      <c r="E602">
        <v>567932.31000000006</v>
      </c>
      <c r="F602">
        <v>0</v>
      </c>
      <c r="G602" s="1" t="s">
        <v>1213</v>
      </c>
      <c r="H602">
        <v>0</v>
      </c>
      <c r="I602">
        <v>0</v>
      </c>
      <c r="J602">
        <v>1</v>
      </c>
      <c r="K602">
        <v>0</v>
      </c>
      <c r="L602">
        <v>3</v>
      </c>
      <c r="M602">
        <v>0</v>
      </c>
      <c r="N602">
        <v>1</v>
      </c>
      <c r="O602">
        <v>567932.31000000006</v>
      </c>
    </row>
    <row r="603" spans="1:15" x14ac:dyDescent="0.3">
      <c r="A603">
        <v>51</v>
      </c>
      <c r="B603" s="1" t="s">
        <v>18</v>
      </c>
      <c r="C603">
        <v>567932.31000000006</v>
      </c>
      <c r="D603" s="1" t="s">
        <v>1214</v>
      </c>
      <c r="E603">
        <v>567932.31000000006</v>
      </c>
      <c r="F603">
        <v>0</v>
      </c>
      <c r="G603" s="1" t="s">
        <v>1215</v>
      </c>
      <c r="H603">
        <v>0</v>
      </c>
      <c r="I603">
        <v>567932.31000000006</v>
      </c>
      <c r="J603">
        <v>1</v>
      </c>
      <c r="K603">
        <v>0</v>
      </c>
      <c r="L603">
        <v>3</v>
      </c>
      <c r="M603">
        <v>0</v>
      </c>
      <c r="N603">
        <v>1</v>
      </c>
      <c r="O603">
        <v>567932.31000000006</v>
      </c>
    </row>
    <row r="604" spans="1:15" x14ac:dyDescent="0.3">
      <c r="A604">
        <v>51</v>
      </c>
      <c r="B604" s="1" t="s">
        <v>15</v>
      </c>
      <c r="C604">
        <v>361460.79</v>
      </c>
      <c r="D604" s="1" t="s">
        <v>1216</v>
      </c>
      <c r="E604">
        <v>361460.79</v>
      </c>
      <c r="F604">
        <v>0</v>
      </c>
      <c r="G604" s="1" t="s">
        <v>1217</v>
      </c>
      <c r="H604">
        <v>0</v>
      </c>
      <c r="I604">
        <v>0</v>
      </c>
      <c r="J604">
        <v>1</v>
      </c>
      <c r="K604">
        <v>0</v>
      </c>
      <c r="L604">
        <v>3</v>
      </c>
      <c r="M604">
        <v>0</v>
      </c>
      <c r="N604">
        <v>1</v>
      </c>
      <c r="O604">
        <v>361460.79</v>
      </c>
    </row>
    <row r="605" spans="1:15" x14ac:dyDescent="0.3">
      <c r="A605">
        <v>51</v>
      </c>
      <c r="B605" s="1" t="s">
        <v>18</v>
      </c>
      <c r="C605">
        <v>361460.79</v>
      </c>
      <c r="D605" s="1" t="s">
        <v>1218</v>
      </c>
      <c r="E605">
        <v>361460.79</v>
      </c>
      <c r="F605">
        <v>0</v>
      </c>
      <c r="G605" s="1" t="s">
        <v>1219</v>
      </c>
      <c r="H605">
        <v>991487.78</v>
      </c>
      <c r="I605">
        <v>1352948.57</v>
      </c>
      <c r="J605">
        <v>1</v>
      </c>
      <c r="K605">
        <v>0</v>
      </c>
      <c r="L605">
        <v>3</v>
      </c>
      <c r="M605">
        <v>0</v>
      </c>
      <c r="N605">
        <v>1</v>
      </c>
      <c r="O605">
        <v>361460.79</v>
      </c>
    </row>
    <row r="606" spans="1:15" x14ac:dyDescent="0.3">
      <c r="A606">
        <v>52</v>
      </c>
      <c r="B606" s="1" t="s">
        <v>15</v>
      </c>
      <c r="C606">
        <v>7484125.1200000001</v>
      </c>
      <c r="D606" s="1" t="s">
        <v>1220</v>
      </c>
      <c r="E606">
        <v>7484125.1200000001</v>
      </c>
      <c r="F606">
        <v>0</v>
      </c>
      <c r="G606" s="1" t="s">
        <v>1221</v>
      </c>
      <c r="H606">
        <v>0</v>
      </c>
      <c r="I606">
        <v>0</v>
      </c>
      <c r="J606">
        <v>1</v>
      </c>
      <c r="K606">
        <v>0</v>
      </c>
      <c r="L606">
        <v>4</v>
      </c>
      <c r="M606">
        <v>0</v>
      </c>
      <c r="N606">
        <v>1</v>
      </c>
      <c r="O606">
        <v>7484125.1200000001</v>
      </c>
    </row>
    <row r="607" spans="1:15" x14ac:dyDescent="0.3">
      <c r="A607">
        <v>52</v>
      </c>
      <c r="B607" s="1" t="s">
        <v>18</v>
      </c>
      <c r="C607">
        <v>7484125.1200000001</v>
      </c>
      <c r="D607" s="1" t="s">
        <v>1222</v>
      </c>
      <c r="E607">
        <v>7484125.1200000001</v>
      </c>
      <c r="F607">
        <v>0</v>
      </c>
      <c r="G607" s="1" t="s">
        <v>1223</v>
      </c>
      <c r="H607">
        <v>62896.23</v>
      </c>
      <c r="I607">
        <v>7547021.3600000003</v>
      </c>
      <c r="J607">
        <v>1</v>
      </c>
      <c r="K607">
        <v>0</v>
      </c>
      <c r="L607">
        <v>4</v>
      </c>
      <c r="M607">
        <v>0</v>
      </c>
      <c r="N607">
        <v>1</v>
      </c>
      <c r="O607">
        <v>7484125.1200000001</v>
      </c>
    </row>
    <row r="608" spans="1:15" x14ac:dyDescent="0.3">
      <c r="A608">
        <v>52</v>
      </c>
      <c r="B608" s="1" t="s">
        <v>15</v>
      </c>
      <c r="C608">
        <v>1093155.19</v>
      </c>
      <c r="D608" s="1" t="s">
        <v>1224</v>
      </c>
      <c r="E608">
        <v>1093155.19</v>
      </c>
      <c r="F608">
        <v>0</v>
      </c>
      <c r="G608" s="1" t="s">
        <v>1225</v>
      </c>
      <c r="H608">
        <v>0</v>
      </c>
      <c r="I608">
        <v>0</v>
      </c>
      <c r="J608">
        <v>1</v>
      </c>
      <c r="K608">
        <v>0</v>
      </c>
      <c r="L608">
        <v>4</v>
      </c>
      <c r="M608">
        <v>0</v>
      </c>
      <c r="N608">
        <v>1</v>
      </c>
      <c r="O608">
        <v>1093155.19</v>
      </c>
    </row>
    <row r="609" spans="1:15" x14ac:dyDescent="0.3">
      <c r="A609">
        <v>52</v>
      </c>
      <c r="B609" s="1" t="s">
        <v>18</v>
      </c>
      <c r="C609">
        <v>1093155.19</v>
      </c>
      <c r="D609" s="1" t="s">
        <v>1226</v>
      </c>
      <c r="E609">
        <v>1093155.19</v>
      </c>
      <c r="F609">
        <v>0</v>
      </c>
      <c r="G609" s="1" t="s">
        <v>1227</v>
      </c>
      <c r="H609">
        <v>1966451.64</v>
      </c>
      <c r="I609">
        <v>3059606.83</v>
      </c>
      <c r="J609">
        <v>1</v>
      </c>
      <c r="K609">
        <v>0</v>
      </c>
      <c r="L609">
        <v>4</v>
      </c>
      <c r="M609">
        <v>0</v>
      </c>
      <c r="N609">
        <v>1</v>
      </c>
      <c r="O609">
        <v>1093155.19</v>
      </c>
    </row>
    <row r="610" spans="1:15" x14ac:dyDescent="0.3">
      <c r="A610">
        <v>52</v>
      </c>
      <c r="B610" s="1" t="s">
        <v>15</v>
      </c>
      <c r="C610">
        <v>128426.58</v>
      </c>
      <c r="D610" s="1" t="s">
        <v>1228</v>
      </c>
      <c r="E610">
        <v>128426.58</v>
      </c>
      <c r="F610">
        <v>0</v>
      </c>
      <c r="G610" s="1" t="s">
        <v>1229</v>
      </c>
      <c r="H610">
        <v>0</v>
      </c>
      <c r="I610">
        <v>0</v>
      </c>
      <c r="J610">
        <v>1</v>
      </c>
      <c r="K610">
        <v>0</v>
      </c>
      <c r="L610">
        <v>4</v>
      </c>
      <c r="M610">
        <v>0</v>
      </c>
      <c r="N610">
        <v>1</v>
      </c>
      <c r="O610">
        <v>128426.58</v>
      </c>
    </row>
    <row r="611" spans="1:15" x14ac:dyDescent="0.3">
      <c r="A611">
        <v>52</v>
      </c>
      <c r="B611" s="1" t="s">
        <v>18</v>
      </c>
      <c r="C611">
        <v>128426.58</v>
      </c>
      <c r="D611" s="1" t="s">
        <v>1230</v>
      </c>
      <c r="E611">
        <v>128426.58</v>
      </c>
      <c r="F611">
        <v>0</v>
      </c>
      <c r="G611" s="1" t="s">
        <v>1231</v>
      </c>
      <c r="H611">
        <v>0</v>
      </c>
      <c r="I611">
        <v>128426.58</v>
      </c>
      <c r="J611">
        <v>1</v>
      </c>
      <c r="K611">
        <v>0</v>
      </c>
      <c r="L611">
        <v>4</v>
      </c>
      <c r="M611">
        <v>0</v>
      </c>
      <c r="N611">
        <v>1</v>
      </c>
      <c r="O611">
        <v>128426.58</v>
      </c>
    </row>
    <row r="612" spans="1:15" x14ac:dyDescent="0.3">
      <c r="A612">
        <v>52</v>
      </c>
      <c r="B612" s="1" t="s">
        <v>15</v>
      </c>
      <c r="C612">
        <v>969259.07</v>
      </c>
      <c r="D612" s="1" t="s">
        <v>1232</v>
      </c>
      <c r="E612">
        <v>969259.07</v>
      </c>
      <c r="F612">
        <v>0</v>
      </c>
      <c r="G612" s="1" t="s">
        <v>1233</v>
      </c>
      <c r="H612">
        <v>0</v>
      </c>
      <c r="I612">
        <v>0</v>
      </c>
      <c r="J612">
        <v>1</v>
      </c>
      <c r="K612">
        <v>0</v>
      </c>
      <c r="L612">
        <v>4</v>
      </c>
      <c r="M612">
        <v>0</v>
      </c>
      <c r="N612">
        <v>1</v>
      </c>
      <c r="O612">
        <v>969259.07</v>
      </c>
    </row>
    <row r="613" spans="1:15" x14ac:dyDescent="0.3">
      <c r="A613">
        <v>52</v>
      </c>
      <c r="B613" s="1" t="s">
        <v>18</v>
      </c>
      <c r="C613">
        <v>969259.07</v>
      </c>
      <c r="D613" s="1" t="s">
        <v>1234</v>
      </c>
      <c r="E613">
        <v>969259.07</v>
      </c>
      <c r="F613">
        <v>0</v>
      </c>
      <c r="G613" s="1" t="s">
        <v>1235</v>
      </c>
      <c r="H613">
        <v>85723.45</v>
      </c>
      <c r="I613">
        <v>1054982.52</v>
      </c>
      <c r="J613">
        <v>1</v>
      </c>
      <c r="K613">
        <v>0</v>
      </c>
      <c r="L613">
        <v>4</v>
      </c>
      <c r="M613">
        <v>0</v>
      </c>
      <c r="N613">
        <v>1</v>
      </c>
      <c r="O613">
        <v>969259.07</v>
      </c>
    </row>
    <row r="614" spans="1:15" x14ac:dyDescent="0.3">
      <c r="A614">
        <v>53</v>
      </c>
      <c r="B614" s="1" t="s">
        <v>15</v>
      </c>
      <c r="C614">
        <v>1631640.02</v>
      </c>
      <c r="D614" s="1" t="s">
        <v>1236</v>
      </c>
      <c r="E614">
        <v>1631640.02</v>
      </c>
      <c r="F614">
        <v>0</v>
      </c>
      <c r="G614" s="1" t="s">
        <v>1237</v>
      </c>
      <c r="H614">
        <v>0</v>
      </c>
      <c r="I614">
        <v>0</v>
      </c>
      <c r="J614">
        <v>1</v>
      </c>
      <c r="K614">
        <v>0</v>
      </c>
      <c r="L614">
        <v>5</v>
      </c>
      <c r="M614">
        <v>0</v>
      </c>
      <c r="N614">
        <v>1</v>
      </c>
      <c r="O614">
        <v>1631640.02</v>
      </c>
    </row>
    <row r="615" spans="1:15" x14ac:dyDescent="0.3">
      <c r="A615">
        <v>53</v>
      </c>
      <c r="B615" s="1" t="s">
        <v>18</v>
      </c>
      <c r="C615">
        <v>1631640.02</v>
      </c>
      <c r="D615" s="1" t="s">
        <v>1238</v>
      </c>
      <c r="E615">
        <v>1631640.02</v>
      </c>
      <c r="F615">
        <v>0</v>
      </c>
      <c r="G615" s="1" t="s">
        <v>1239</v>
      </c>
      <c r="H615">
        <v>705298.87</v>
      </c>
      <c r="I615">
        <v>2336938.89</v>
      </c>
      <c r="J615">
        <v>1</v>
      </c>
      <c r="K615">
        <v>0</v>
      </c>
      <c r="L615">
        <v>5</v>
      </c>
      <c r="M615">
        <v>0</v>
      </c>
      <c r="N615">
        <v>1</v>
      </c>
      <c r="O615">
        <v>1631640.02</v>
      </c>
    </row>
    <row r="616" spans="1:15" x14ac:dyDescent="0.3">
      <c r="A616">
        <v>53</v>
      </c>
      <c r="B616" s="1" t="s">
        <v>15</v>
      </c>
      <c r="C616">
        <v>99139.27</v>
      </c>
      <c r="D616" s="1" t="s">
        <v>1240</v>
      </c>
      <c r="E616">
        <v>99139.27</v>
      </c>
      <c r="F616">
        <v>0</v>
      </c>
      <c r="G616" s="1" t="s">
        <v>1241</v>
      </c>
      <c r="H616">
        <v>0</v>
      </c>
      <c r="I616">
        <v>0</v>
      </c>
      <c r="J616">
        <v>1</v>
      </c>
      <c r="K616">
        <v>0</v>
      </c>
      <c r="L616">
        <v>5</v>
      </c>
      <c r="M616">
        <v>0</v>
      </c>
      <c r="N616">
        <v>1</v>
      </c>
      <c r="O616">
        <v>99139.27</v>
      </c>
    </row>
    <row r="617" spans="1:15" x14ac:dyDescent="0.3">
      <c r="A617">
        <v>53</v>
      </c>
      <c r="B617" s="1" t="s">
        <v>18</v>
      </c>
      <c r="C617">
        <v>99139.27</v>
      </c>
      <c r="D617" s="1" t="s">
        <v>1242</v>
      </c>
      <c r="E617">
        <v>99139.27</v>
      </c>
      <c r="F617">
        <v>0</v>
      </c>
      <c r="G617" s="1" t="s">
        <v>1243</v>
      </c>
      <c r="H617">
        <v>28766.55</v>
      </c>
      <c r="I617">
        <v>127905.82</v>
      </c>
      <c r="J617">
        <v>1</v>
      </c>
      <c r="K617">
        <v>0</v>
      </c>
      <c r="L617">
        <v>5</v>
      </c>
      <c r="M617">
        <v>0</v>
      </c>
      <c r="N617">
        <v>1</v>
      </c>
      <c r="O617">
        <v>99139.27</v>
      </c>
    </row>
    <row r="618" spans="1:15" x14ac:dyDescent="0.3">
      <c r="A618">
        <v>53</v>
      </c>
      <c r="B618" s="1" t="s">
        <v>15</v>
      </c>
      <c r="C618">
        <v>6215.44</v>
      </c>
      <c r="D618" s="1" t="s">
        <v>1244</v>
      </c>
      <c r="E618">
        <v>6215.44</v>
      </c>
      <c r="F618">
        <v>0</v>
      </c>
      <c r="G618" s="1" t="s">
        <v>1245</v>
      </c>
      <c r="H618">
        <v>0</v>
      </c>
      <c r="I618">
        <v>0</v>
      </c>
      <c r="J618">
        <v>1</v>
      </c>
      <c r="K618">
        <v>0</v>
      </c>
      <c r="L618">
        <v>5</v>
      </c>
      <c r="M618">
        <v>0</v>
      </c>
      <c r="N618">
        <v>1</v>
      </c>
      <c r="O618">
        <v>6215.44</v>
      </c>
    </row>
    <row r="619" spans="1:15" x14ac:dyDescent="0.3">
      <c r="A619">
        <v>53</v>
      </c>
      <c r="B619" s="1" t="s">
        <v>18</v>
      </c>
      <c r="C619">
        <v>6215.44</v>
      </c>
      <c r="D619" s="1" t="s">
        <v>1246</v>
      </c>
      <c r="E619">
        <v>6215.44</v>
      </c>
      <c r="F619">
        <v>0</v>
      </c>
      <c r="G619" s="1" t="s">
        <v>1247</v>
      </c>
      <c r="H619">
        <v>191197.42</v>
      </c>
      <c r="I619">
        <v>197412.85</v>
      </c>
      <c r="J619">
        <v>1</v>
      </c>
      <c r="K619">
        <v>0</v>
      </c>
      <c r="L619">
        <v>5</v>
      </c>
      <c r="M619">
        <v>0</v>
      </c>
      <c r="N619">
        <v>1</v>
      </c>
      <c r="O619">
        <v>6215.44</v>
      </c>
    </row>
    <row r="620" spans="1:15" x14ac:dyDescent="0.3">
      <c r="A620">
        <v>53</v>
      </c>
      <c r="B620" s="1" t="s">
        <v>15</v>
      </c>
      <c r="C620">
        <v>3640271.29</v>
      </c>
      <c r="D620" s="1" t="s">
        <v>1248</v>
      </c>
      <c r="E620">
        <v>3640271.29</v>
      </c>
      <c r="F620">
        <v>0</v>
      </c>
      <c r="G620" s="1" t="s">
        <v>1249</v>
      </c>
      <c r="H620">
        <v>0</v>
      </c>
      <c r="I620">
        <v>0</v>
      </c>
      <c r="J620">
        <v>1</v>
      </c>
      <c r="K620">
        <v>0</v>
      </c>
      <c r="L620">
        <v>5</v>
      </c>
      <c r="M620">
        <v>0</v>
      </c>
      <c r="N620">
        <v>1</v>
      </c>
      <c r="O620">
        <v>3640271.29</v>
      </c>
    </row>
    <row r="621" spans="1:15" x14ac:dyDescent="0.3">
      <c r="A621">
        <v>53</v>
      </c>
      <c r="B621" s="1" t="s">
        <v>18</v>
      </c>
      <c r="C621">
        <v>3640271.29</v>
      </c>
      <c r="D621" s="1" t="s">
        <v>1250</v>
      </c>
      <c r="E621">
        <v>3640271.29</v>
      </c>
      <c r="F621">
        <v>0</v>
      </c>
      <c r="G621" s="1" t="s">
        <v>1251</v>
      </c>
      <c r="H621">
        <v>6525.95</v>
      </c>
      <c r="I621">
        <v>3646797.25</v>
      </c>
      <c r="J621">
        <v>1</v>
      </c>
      <c r="K621">
        <v>0</v>
      </c>
      <c r="L621">
        <v>5</v>
      </c>
      <c r="M621">
        <v>0</v>
      </c>
      <c r="N621">
        <v>1</v>
      </c>
      <c r="O621">
        <v>3640271.29</v>
      </c>
    </row>
    <row r="622" spans="1:15" x14ac:dyDescent="0.3">
      <c r="A622">
        <v>53</v>
      </c>
      <c r="B622" s="1" t="s">
        <v>15</v>
      </c>
      <c r="C622">
        <v>931684.75</v>
      </c>
      <c r="D622" s="1" t="s">
        <v>1252</v>
      </c>
      <c r="E622">
        <v>931684.75</v>
      </c>
      <c r="F622">
        <v>0</v>
      </c>
      <c r="G622" s="1" t="s">
        <v>1253</v>
      </c>
      <c r="H622">
        <v>0</v>
      </c>
      <c r="I622">
        <v>0</v>
      </c>
      <c r="J622">
        <v>1</v>
      </c>
      <c r="K622">
        <v>0</v>
      </c>
      <c r="L622">
        <v>5</v>
      </c>
      <c r="M622">
        <v>0</v>
      </c>
      <c r="N622">
        <v>1</v>
      </c>
      <c r="O622">
        <v>931684.75</v>
      </c>
    </row>
    <row r="623" spans="1:15" x14ac:dyDescent="0.3">
      <c r="A623">
        <v>53</v>
      </c>
      <c r="B623" s="1" t="s">
        <v>18</v>
      </c>
      <c r="C623">
        <v>931684.75</v>
      </c>
      <c r="D623" s="1" t="s">
        <v>1254</v>
      </c>
      <c r="E623">
        <v>931684.75</v>
      </c>
      <c r="F623">
        <v>0</v>
      </c>
      <c r="G623" s="1" t="s">
        <v>1255</v>
      </c>
      <c r="H623">
        <v>3608144.66</v>
      </c>
      <c r="I623">
        <v>4539829.41</v>
      </c>
      <c r="J623">
        <v>1</v>
      </c>
      <c r="K623">
        <v>0</v>
      </c>
      <c r="L623">
        <v>5</v>
      </c>
      <c r="M623">
        <v>0</v>
      </c>
      <c r="N623">
        <v>1</v>
      </c>
      <c r="O623">
        <v>931684.75</v>
      </c>
    </row>
    <row r="624" spans="1:15" x14ac:dyDescent="0.3">
      <c r="A624">
        <v>54</v>
      </c>
      <c r="B624" s="1" t="s">
        <v>15</v>
      </c>
      <c r="C624">
        <v>1350574.58</v>
      </c>
      <c r="D624" s="1" t="s">
        <v>1256</v>
      </c>
      <c r="E624">
        <v>1350574.58</v>
      </c>
      <c r="F624">
        <v>0</v>
      </c>
      <c r="G624" s="1" t="s">
        <v>1257</v>
      </c>
      <c r="H624">
        <v>0</v>
      </c>
      <c r="I624">
        <v>0</v>
      </c>
      <c r="J624">
        <v>1</v>
      </c>
      <c r="K624">
        <v>0</v>
      </c>
      <c r="L624">
        <v>6</v>
      </c>
      <c r="M624">
        <v>0</v>
      </c>
      <c r="N624">
        <v>1</v>
      </c>
      <c r="O624">
        <v>1350574.58</v>
      </c>
    </row>
    <row r="625" spans="1:15" x14ac:dyDescent="0.3">
      <c r="A625">
        <v>54</v>
      </c>
      <c r="B625" s="1" t="s">
        <v>18</v>
      </c>
      <c r="C625">
        <v>1350574.58</v>
      </c>
      <c r="D625" s="1" t="s">
        <v>1258</v>
      </c>
      <c r="E625">
        <v>1350574.58</v>
      </c>
      <c r="F625">
        <v>0</v>
      </c>
      <c r="G625" s="1" t="s">
        <v>1259</v>
      </c>
      <c r="H625">
        <v>2925591.98</v>
      </c>
      <c r="I625">
        <v>4276166.57</v>
      </c>
      <c r="J625">
        <v>1</v>
      </c>
      <c r="K625">
        <v>0</v>
      </c>
      <c r="L625">
        <v>6</v>
      </c>
      <c r="M625">
        <v>0</v>
      </c>
      <c r="N625">
        <v>1</v>
      </c>
      <c r="O625">
        <v>1350574.58</v>
      </c>
    </row>
    <row r="626" spans="1:15" x14ac:dyDescent="0.3">
      <c r="A626">
        <v>54</v>
      </c>
      <c r="B626" s="1" t="s">
        <v>15</v>
      </c>
      <c r="C626">
        <v>438224.6</v>
      </c>
      <c r="D626" s="1" t="s">
        <v>1260</v>
      </c>
      <c r="E626">
        <v>438224.6</v>
      </c>
      <c r="F626">
        <v>0</v>
      </c>
      <c r="G626" s="1" t="s">
        <v>1261</v>
      </c>
      <c r="H626">
        <v>0</v>
      </c>
      <c r="I626">
        <v>0</v>
      </c>
      <c r="J626">
        <v>1</v>
      </c>
      <c r="K626">
        <v>0</v>
      </c>
      <c r="L626">
        <v>6</v>
      </c>
      <c r="M626">
        <v>0</v>
      </c>
      <c r="N626">
        <v>1</v>
      </c>
      <c r="O626">
        <v>438224.6</v>
      </c>
    </row>
    <row r="627" spans="1:15" x14ac:dyDescent="0.3">
      <c r="A627">
        <v>54</v>
      </c>
      <c r="B627" s="1" t="s">
        <v>18</v>
      </c>
      <c r="C627">
        <v>438224.6</v>
      </c>
      <c r="D627" s="1" t="s">
        <v>1262</v>
      </c>
      <c r="E627">
        <v>438224.6</v>
      </c>
      <c r="F627">
        <v>0</v>
      </c>
      <c r="G627" s="1" t="s">
        <v>1263</v>
      </c>
      <c r="H627">
        <v>320697.46000000002</v>
      </c>
      <c r="I627">
        <v>758922.05</v>
      </c>
      <c r="J627">
        <v>1</v>
      </c>
      <c r="K627">
        <v>0</v>
      </c>
      <c r="L627">
        <v>6</v>
      </c>
      <c r="M627">
        <v>0</v>
      </c>
      <c r="N627">
        <v>1</v>
      </c>
      <c r="O627">
        <v>438224.6</v>
      </c>
    </row>
    <row r="628" spans="1:15" x14ac:dyDescent="0.3">
      <c r="A628">
        <v>55</v>
      </c>
      <c r="B628" s="1" t="s">
        <v>15</v>
      </c>
      <c r="C628">
        <v>760625.76</v>
      </c>
      <c r="D628" s="1" t="s">
        <v>1264</v>
      </c>
      <c r="E628">
        <v>760625.76</v>
      </c>
      <c r="F628">
        <v>0</v>
      </c>
      <c r="G628" s="1" t="s">
        <v>1265</v>
      </c>
      <c r="H628">
        <v>0</v>
      </c>
      <c r="I628">
        <v>0</v>
      </c>
      <c r="J628">
        <v>1</v>
      </c>
      <c r="K628">
        <v>0</v>
      </c>
      <c r="L628">
        <v>7</v>
      </c>
      <c r="M628">
        <v>0</v>
      </c>
      <c r="N628">
        <v>1</v>
      </c>
      <c r="O628">
        <v>760625.76</v>
      </c>
    </row>
    <row r="629" spans="1:15" x14ac:dyDescent="0.3">
      <c r="A629">
        <v>55</v>
      </c>
      <c r="B629" s="1" t="s">
        <v>18</v>
      </c>
      <c r="C629">
        <v>760625.76</v>
      </c>
      <c r="D629" s="1" t="s">
        <v>1266</v>
      </c>
      <c r="E629">
        <v>760625.76</v>
      </c>
      <c r="F629">
        <v>0</v>
      </c>
      <c r="G629" s="1" t="s">
        <v>1267</v>
      </c>
      <c r="H629">
        <v>128272.02</v>
      </c>
      <c r="I629">
        <v>888897.78</v>
      </c>
      <c r="J629">
        <v>1</v>
      </c>
      <c r="K629">
        <v>0</v>
      </c>
      <c r="L629">
        <v>7</v>
      </c>
      <c r="M629">
        <v>0</v>
      </c>
      <c r="N629">
        <v>1</v>
      </c>
      <c r="O629">
        <v>760625.76</v>
      </c>
    </row>
    <row r="630" spans="1:15" x14ac:dyDescent="0.3">
      <c r="A630">
        <v>55</v>
      </c>
      <c r="B630" s="1" t="s">
        <v>15</v>
      </c>
      <c r="C630">
        <v>309254.05</v>
      </c>
      <c r="D630" s="1" t="s">
        <v>1268</v>
      </c>
      <c r="E630">
        <v>309254.05</v>
      </c>
      <c r="F630">
        <v>0</v>
      </c>
      <c r="G630" s="1" t="s">
        <v>1269</v>
      </c>
      <c r="H630">
        <v>0</v>
      </c>
      <c r="I630">
        <v>0</v>
      </c>
      <c r="J630">
        <v>1</v>
      </c>
      <c r="K630">
        <v>0</v>
      </c>
      <c r="L630">
        <v>7</v>
      </c>
      <c r="M630">
        <v>0</v>
      </c>
      <c r="N630">
        <v>1</v>
      </c>
      <c r="O630">
        <v>309254.05</v>
      </c>
    </row>
    <row r="631" spans="1:15" x14ac:dyDescent="0.3">
      <c r="A631">
        <v>55</v>
      </c>
      <c r="B631" s="1" t="s">
        <v>18</v>
      </c>
      <c r="C631">
        <v>309254.05</v>
      </c>
      <c r="D631" s="1" t="s">
        <v>1270</v>
      </c>
      <c r="E631">
        <v>309254.05</v>
      </c>
      <c r="F631">
        <v>0</v>
      </c>
      <c r="G631" s="1" t="s">
        <v>1271</v>
      </c>
      <c r="H631">
        <v>218535.44</v>
      </c>
      <c r="I631">
        <v>527789.5</v>
      </c>
      <c r="J631">
        <v>1</v>
      </c>
      <c r="K631">
        <v>0</v>
      </c>
      <c r="L631">
        <v>7</v>
      </c>
      <c r="M631">
        <v>0</v>
      </c>
      <c r="N631">
        <v>1</v>
      </c>
      <c r="O631">
        <v>309254.05</v>
      </c>
    </row>
    <row r="632" spans="1:15" x14ac:dyDescent="0.3">
      <c r="A632">
        <v>55</v>
      </c>
      <c r="B632" s="1" t="s">
        <v>15</v>
      </c>
      <c r="C632">
        <v>283400.42</v>
      </c>
      <c r="D632" s="1" t="s">
        <v>1272</v>
      </c>
      <c r="E632">
        <v>283400.42</v>
      </c>
      <c r="F632">
        <v>0</v>
      </c>
      <c r="G632" s="1" t="s">
        <v>1273</v>
      </c>
      <c r="H632">
        <v>0</v>
      </c>
      <c r="I632">
        <v>0</v>
      </c>
      <c r="J632">
        <v>1</v>
      </c>
      <c r="K632">
        <v>0</v>
      </c>
      <c r="L632">
        <v>7</v>
      </c>
      <c r="M632">
        <v>0</v>
      </c>
      <c r="N632">
        <v>1</v>
      </c>
      <c r="O632">
        <v>283400.42</v>
      </c>
    </row>
    <row r="633" spans="1:15" x14ac:dyDescent="0.3">
      <c r="A633">
        <v>55</v>
      </c>
      <c r="B633" s="1" t="s">
        <v>18</v>
      </c>
      <c r="C633">
        <v>283400.42</v>
      </c>
      <c r="D633" s="1" t="s">
        <v>1274</v>
      </c>
      <c r="E633">
        <v>283400.42</v>
      </c>
      <c r="F633">
        <v>0</v>
      </c>
      <c r="G633" s="1" t="s">
        <v>1275</v>
      </c>
      <c r="H633">
        <v>2662439.92</v>
      </c>
      <c r="I633">
        <v>2945840.34</v>
      </c>
      <c r="J633">
        <v>1</v>
      </c>
      <c r="K633">
        <v>0</v>
      </c>
      <c r="L633">
        <v>7</v>
      </c>
      <c r="M633">
        <v>0</v>
      </c>
      <c r="N633">
        <v>1</v>
      </c>
      <c r="O633">
        <v>283400.42</v>
      </c>
    </row>
    <row r="634" spans="1:15" x14ac:dyDescent="0.3">
      <c r="A634">
        <v>55</v>
      </c>
      <c r="B634" s="1" t="s">
        <v>15</v>
      </c>
      <c r="C634">
        <v>109028.8</v>
      </c>
      <c r="D634" s="1" t="s">
        <v>1276</v>
      </c>
      <c r="E634">
        <v>109028.8</v>
      </c>
      <c r="F634">
        <v>0</v>
      </c>
      <c r="G634" s="1" t="s">
        <v>1277</v>
      </c>
      <c r="H634">
        <v>0</v>
      </c>
      <c r="I634">
        <v>0</v>
      </c>
      <c r="J634">
        <v>1</v>
      </c>
      <c r="K634">
        <v>0</v>
      </c>
      <c r="L634">
        <v>7</v>
      </c>
      <c r="M634">
        <v>0</v>
      </c>
      <c r="N634">
        <v>1</v>
      </c>
      <c r="O634">
        <v>109028.8</v>
      </c>
    </row>
    <row r="635" spans="1:15" x14ac:dyDescent="0.3">
      <c r="A635">
        <v>55</v>
      </c>
      <c r="B635" s="1" t="s">
        <v>18</v>
      </c>
      <c r="C635">
        <v>109028.8</v>
      </c>
      <c r="D635" s="1" t="s">
        <v>1278</v>
      </c>
      <c r="E635">
        <v>109028.8</v>
      </c>
      <c r="F635">
        <v>0</v>
      </c>
      <c r="G635" s="1" t="s">
        <v>1279</v>
      </c>
      <c r="H635">
        <v>674110.57</v>
      </c>
      <c r="I635">
        <v>783139.37</v>
      </c>
      <c r="J635">
        <v>1</v>
      </c>
      <c r="K635">
        <v>0</v>
      </c>
      <c r="L635">
        <v>7</v>
      </c>
      <c r="M635">
        <v>0</v>
      </c>
      <c r="N635">
        <v>1</v>
      </c>
      <c r="O635">
        <v>109028.8</v>
      </c>
    </row>
    <row r="636" spans="1:15" x14ac:dyDescent="0.3">
      <c r="A636">
        <v>55</v>
      </c>
      <c r="B636" s="1" t="s">
        <v>15</v>
      </c>
      <c r="C636">
        <v>854550.85</v>
      </c>
      <c r="D636" s="1" t="s">
        <v>1280</v>
      </c>
      <c r="E636">
        <v>854550.85</v>
      </c>
      <c r="F636">
        <v>0</v>
      </c>
      <c r="G636" s="1" t="s">
        <v>1281</v>
      </c>
      <c r="H636">
        <v>0</v>
      </c>
      <c r="I636">
        <v>0</v>
      </c>
      <c r="J636">
        <v>1</v>
      </c>
      <c r="K636">
        <v>0</v>
      </c>
      <c r="L636">
        <v>7</v>
      </c>
      <c r="M636">
        <v>0</v>
      </c>
      <c r="N636">
        <v>1</v>
      </c>
      <c r="O636">
        <v>854550.85</v>
      </c>
    </row>
    <row r="637" spans="1:15" x14ac:dyDescent="0.3">
      <c r="A637">
        <v>55</v>
      </c>
      <c r="B637" s="1" t="s">
        <v>18</v>
      </c>
      <c r="C637">
        <v>854550.85</v>
      </c>
      <c r="D637" s="1" t="s">
        <v>1282</v>
      </c>
      <c r="E637">
        <v>854550.85</v>
      </c>
      <c r="F637">
        <v>0</v>
      </c>
      <c r="G637" s="1" t="s">
        <v>1283</v>
      </c>
      <c r="H637">
        <v>186808.48</v>
      </c>
      <c r="I637">
        <v>1041359.33</v>
      </c>
      <c r="J637">
        <v>1</v>
      </c>
      <c r="K637">
        <v>0</v>
      </c>
      <c r="L637">
        <v>7</v>
      </c>
      <c r="M637">
        <v>0</v>
      </c>
      <c r="N637">
        <v>1</v>
      </c>
      <c r="O637">
        <v>854550.85</v>
      </c>
    </row>
    <row r="638" spans="1:15" x14ac:dyDescent="0.3">
      <c r="A638">
        <v>55</v>
      </c>
      <c r="B638" s="1" t="s">
        <v>15</v>
      </c>
      <c r="C638">
        <v>167715.53</v>
      </c>
      <c r="D638" s="1" t="s">
        <v>1284</v>
      </c>
      <c r="E638">
        <v>167715.53</v>
      </c>
      <c r="F638">
        <v>0</v>
      </c>
      <c r="G638" s="1" t="s">
        <v>1285</v>
      </c>
      <c r="H638">
        <v>0</v>
      </c>
      <c r="I638">
        <v>0</v>
      </c>
      <c r="J638">
        <v>1</v>
      </c>
      <c r="K638">
        <v>0</v>
      </c>
      <c r="L638">
        <v>7</v>
      </c>
      <c r="M638">
        <v>0</v>
      </c>
      <c r="N638">
        <v>1</v>
      </c>
      <c r="O638">
        <v>167715.53</v>
      </c>
    </row>
    <row r="639" spans="1:15" x14ac:dyDescent="0.3">
      <c r="A639">
        <v>55</v>
      </c>
      <c r="B639" s="1" t="s">
        <v>18</v>
      </c>
      <c r="C639">
        <v>167715.53</v>
      </c>
      <c r="D639" s="1" t="s">
        <v>1286</v>
      </c>
      <c r="E639">
        <v>167715.53</v>
      </c>
      <c r="F639">
        <v>0</v>
      </c>
      <c r="G639" s="1" t="s">
        <v>1287</v>
      </c>
      <c r="H639">
        <v>492360.21</v>
      </c>
      <c r="I639">
        <v>660075.73</v>
      </c>
      <c r="J639">
        <v>1</v>
      </c>
      <c r="K639">
        <v>0</v>
      </c>
      <c r="L639">
        <v>7</v>
      </c>
      <c r="M639">
        <v>0</v>
      </c>
      <c r="N639">
        <v>1</v>
      </c>
      <c r="O639">
        <v>167715.53</v>
      </c>
    </row>
    <row r="640" spans="1:15" x14ac:dyDescent="0.3">
      <c r="A640">
        <v>56</v>
      </c>
      <c r="B640" s="1" t="s">
        <v>15</v>
      </c>
      <c r="C640">
        <v>1932200.59</v>
      </c>
      <c r="D640" s="1" t="s">
        <v>1288</v>
      </c>
      <c r="E640">
        <v>1932200.59</v>
      </c>
      <c r="F640">
        <v>0</v>
      </c>
      <c r="G640" s="1" t="s">
        <v>1289</v>
      </c>
      <c r="H640">
        <v>0</v>
      </c>
      <c r="I640">
        <v>0</v>
      </c>
      <c r="J640">
        <v>1</v>
      </c>
      <c r="K640">
        <v>0</v>
      </c>
      <c r="L640">
        <v>8</v>
      </c>
      <c r="M640">
        <v>0</v>
      </c>
      <c r="N640">
        <v>1</v>
      </c>
      <c r="O640">
        <v>1932200.59</v>
      </c>
    </row>
    <row r="641" spans="1:15" x14ac:dyDescent="0.3">
      <c r="A641">
        <v>56</v>
      </c>
      <c r="B641" s="1" t="s">
        <v>18</v>
      </c>
      <c r="C641">
        <v>1932200.59</v>
      </c>
      <c r="D641" s="1" t="s">
        <v>1290</v>
      </c>
      <c r="E641">
        <v>1932200.59</v>
      </c>
      <c r="F641">
        <v>0</v>
      </c>
      <c r="G641" s="1" t="s">
        <v>1291</v>
      </c>
      <c r="H641">
        <v>0</v>
      </c>
      <c r="I641">
        <v>1932200.59</v>
      </c>
      <c r="J641">
        <v>1</v>
      </c>
      <c r="K641">
        <v>0</v>
      </c>
      <c r="L641">
        <v>8</v>
      </c>
      <c r="M641">
        <v>0</v>
      </c>
      <c r="N641">
        <v>1</v>
      </c>
      <c r="O641">
        <v>1932200.59</v>
      </c>
    </row>
    <row r="642" spans="1:15" x14ac:dyDescent="0.3">
      <c r="A642">
        <v>56</v>
      </c>
      <c r="B642" s="1" t="s">
        <v>15</v>
      </c>
      <c r="C642">
        <v>829885.13</v>
      </c>
      <c r="D642" s="1" t="s">
        <v>1292</v>
      </c>
      <c r="E642">
        <v>829885.13</v>
      </c>
      <c r="F642">
        <v>0</v>
      </c>
      <c r="G642" s="1" t="s">
        <v>1293</v>
      </c>
      <c r="H642">
        <v>0</v>
      </c>
      <c r="I642">
        <v>0</v>
      </c>
      <c r="J642">
        <v>1</v>
      </c>
      <c r="K642">
        <v>0</v>
      </c>
      <c r="L642">
        <v>8</v>
      </c>
      <c r="M642">
        <v>0</v>
      </c>
      <c r="N642">
        <v>1</v>
      </c>
      <c r="O642">
        <v>829885.13</v>
      </c>
    </row>
    <row r="643" spans="1:15" x14ac:dyDescent="0.3">
      <c r="A643">
        <v>56</v>
      </c>
      <c r="B643" s="1" t="s">
        <v>18</v>
      </c>
      <c r="C643">
        <v>829885.13</v>
      </c>
      <c r="D643" s="1" t="s">
        <v>1294</v>
      </c>
      <c r="E643">
        <v>829885.13</v>
      </c>
      <c r="F643">
        <v>0</v>
      </c>
      <c r="G643" s="1" t="s">
        <v>1295</v>
      </c>
      <c r="H643">
        <v>13300000</v>
      </c>
      <c r="I643">
        <v>14100000</v>
      </c>
      <c r="J643">
        <v>1</v>
      </c>
      <c r="K643">
        <v>0</v>
      </c>
      <c r="L643">
        <v>8</v>
      </c>
      <c r="M643">
        <v>0</v>
      </c>
      <c r="N643">
        <v>1</v>
      </c>
      <c r="O643">
        <v>829885.13</v>
      </c>
    </row>
    <row r="644" spans="1:15" x14ac:dyDescent="0.3">
      <c r="A644">
        <v>56</v>
      </c>
      <c r="B644" s="1" t="s">
        <v>15</v>
      </c>
      <c r="C644">
        <v>42789.93</v>
      </c>
      <c r="D644" s="1" t="s">
        <v>1296</v>
      </c>
      <c r="E644">
        <v>42789.93</v>
      </c>
      <c r="F644">
        <v>0</v>
      </c>
      <c r="G644" s="1" t="s">
        <v>1297</v>
      </c>
      <c r="H644">
        <v>0</v>
      </c>
      <c r="I644">
        <v>0</v>
      </c>
      <c r="J644">
        <v>1</v>
      </c>
      <c r="K644">
        <v>0</v>
      </c>
      <c r="L644">
        <v>8</v>
      </c>
      <c r="M644">
        <v>0</v>
      </c>
      <c r="N644">
        <v>1</v>
      </c>
      <c r="O644">
        <v>42789.93</v>
      </c>
    </row>
    <row r="645" spans="1:15" x14ac:dyDescent="0.3">
      <c r="A645">
        <v>56</v>
      </c>
      <c r="B645" s="1" t="s">
        <v>18</v>
      </c>
      <c r="C645">
        <v>42789.93</v>
      </c>
      <c r="D645" s="1" t="s">
        <v>1298</v>
      </c>
      <c r="E645">
        <v>42789.93</v>
      </c>
      <c r="F645">
        <v>0</v>
      </c>
      <c r="G645" s="1" t="s">
        <v>1299</v>
      </c>
      <c r="H645">
        <v>0</v>
      </c>
      <c r="I645">
        <v>42789.93</v>
      </c>
      <c r="J645">
        <v>1</v>
      </c>
      <c r="K645">
        <v>0</v>
      </c>
      <c r="L645">
        <v>8</v>
      </c>
      <c r="M645">
        <v>0</v>
      </c>
      <c r="N645">
        <v>1</v>
      </c>
      <c r="O645">
        <v>42789.93</v>
      </c>
    </row>
    <row r="646" spans="1:15" x14ac:dyDescent="0.3">
      <c r="A646">
        <v>56</v>
      </c>
      <c r="B646" s="1" t="s">
        <v>15</v>
      </c>
      <c r="C646">
        <v>136562.78</v>
      </c>
      <c r="D646" s="1" t="s">
        <v>1300</v>
      </c>
      <c r="E646">
        <v>136562.78</v>
      </c>
      <c r="F646">
        <v>0</v>
      </c>
      <c r="G646" s="1" t="s">
        <v>1301</v>
      </c>
      <c r="H646">
        <v>0</v>
      </c>
      <c r="I646">
        <v>0</v>
      </c>
      <c r="J646">
        <v>1</v>
      </c>
      <c r="K646">
        <v>0</v>
      </c>
      <c r="L646">
        <v>8</v>
      </c>
      <c r="M646">
        <v>0</v>
      </c>
      <c r="N646">
        <v>1</v>
      </c>
      <c r="O646">
        <v>136562.78</v>
      </c>
    </row>
    <row r="647" spans="1:15" x14ac:dyDescent="0.3">
      <c r="A647">
        <v>56</v>
      </c>
      <c r="B647" s="1" t="s">
        <v>18</v>
      </c>
      <c r="C647">
        <v>136562.78</v>
      </c>
      <c r="D647" s="1" t="s">
        <v>1302</v>
      </c>
      <c r="E647">
        <v>136562.78</v>
      </c>
      <c r="F647">
        <v>0</v>
      </c>
      <c r="G647" s="1" t="s">
        <v>1303</v>
      </c>
      <c r="H647">
        <v>21100.34</v>
      </c>
      <c r="I647">
        <v>157663.12</v>
      </c>
      <c r="J647">
        <v>1</v>
      </c>
      <c r="K647">
        <v>0</v>
      </c>
      <c r="L647">
        <v>8</v>
      </c>
      <c r="M647">
        <v>0</v>
      </c>
      <c r="N647">
        <v>1</v>
      </c>
      <c r="O647">
        <v>136562.78</v>
      </c>
    </row>
    <row r="648" spans="1:15" x14ac:dyDescent="0.3">
      <c r="A648">
        <v>56</v>
      </c>
      <c r="B648" s="1" t="s">
        <v>15</v>
      </c>
      <c r="C648">
        <v>82767.31</v>
      </c>
      <c r="D648" s="1" t="s">
        <v>1304</v>
      </c>
      <c r="E648">
        <v>82767.31</v>
      </c>
      <c r="F648">
        <v>0</v>
      </c>
      <c r="G648" s="1" t="s">
        <v>1305</v>
      </c>
      <c r="H648">
        <v>0</v>
      </c>
      <c r="I648">
        <v>0</v>
      </c>
      <c r="J648">
        <v>1</v>
      </c>
      <c r="K648">
        <v>0</v>
      </c>
      <c r="L648">
        <v>8</v>
      </c>
      <c r="M648">
        <v>0</v>
      </c>
      <c r="N648">
        <v>1</v>
      </c>
      <c r="O648">
        <v>82767.31</v>
      </c>
    </row>
    <row r="649" spans="1:15" x14ac:dyDescent="0.3">
      <c r="A649">
        <v>56</v>
      </c>
      <c r="B649" s="1" t="s">
        <v>18</v>
      </c>
      <c r="C649">
        <v>82767.31</v>
      </c>
      <c r="D649" s="1" t="s">
        <v>1306</v>
      </c>
      <c r="E649">
        <v>82767.31</v>
      </c>
      <c r="F649">
        <v>0</v>
      </c>
      <c r="G649" s="1" t="s">
        <v>1307</v>
      </c>
      <c r="H649">
        <v>401173.22</v>
      </c>
      <c r="I649">
        <v>483940.53</v>
      </c>
      <c r="J649">
        <v>1</v>
      </c>
      <c r="K649">
        <v>0</v>
      </c>
      <c r="L649">
        <v>8</v>
      </c>
      <c r="M649">
        <v>0</v>
      </c>
      <c r="N649">
        <v>1</v>
      </c>
      <c r="O649">
        <v>82767.31</v>
      </c>
    </row>
    <row r="650" spans="1:15" x14ac:dyDescent="0.3">
      <c r="A650">
        <v>56</v>
      </c>
      <c r="B650" s="1" t="s">
        <v>15</v>
      </c>
      <c r="C650">
        <v>2776135.33</v>
      </c>
      <c r="D650" s="1" t="s">
        <v>1308</v>
      </c>
      <c r="E650">
        <v>2776135.33</v>
      </c>
      <c r="F650">
        <v>0</v>
      </c>
      <c r="G650" s="1" t="s">
        <v>1309</v>
      </c>
      <c r="H650">
        <v>0</v>
      </c>
      <c r="I650">
        <v>0</v>
      </c>
      <c r="J650">
        <v>1</v>
      </c>
      <c r="K650">
        <v>0</v>
      </c>
      <c r="L650">
        <v>8</v>
      </c>
      <c r="M650">
        <v>0</v>
      </c>
      <c r="N650">
        <v>1</v>
      </c>
      <c r="O650">
        <v>2776135.33</v>
      </c>
    </row>
    <row r="651" spans="1:15" x14ac:dyDescent="0.3">
      <c r="A651">
        <v>56</v>
      </c>
      <c r="B651" s="1" t="s">
        <v>18</v>
      </c>
      <c r="C651">
        <v>2776135.33</v>
      </c>
      <c r="D651" s="1" t="s">
        <v>1310</v>
      </c>
      <c r="E651">
        <v>2776135.33</v>
      </c>
      <c r="F651">
        <v>0</v>
      </c>
      <c r="G651" s="1" t="s">
        <v>1311</v>
      </c>
      <c r="H651">
        <v>0</v>
      </c>
      <c r="I651">
        <v>2776135.33</v>
      </c>
      <c r="J651">
        <v>1</v>
      </c>
      <c r="K651">
        <v>0</v>
      </c>
      <c r="L651">
        <v>8</v>
      </c>
      <c r="M651">
        <v>0</v>
      </c>
      <c r="N651">
        <v>1</v>
      </c>
      <c r="O651">
        <v>2776135.33</v>
      </c>
    </row>
    <row r="652" spans="1:15" x14ac:dyDescent="0.3">
      <c r="A652">
        <v>56</v>
      </c>
      <c r="B652" s="1" t="s">
        <v>15</v>
      </c>
      <c r="C652">
        <v>4243468.1900000004</v>
      </c>
      <c r="D652" s="1" t="s">
        <v>1312</v>
      </c>
      <c r="E652">
        <v>4243468.1900000004</v>
      </c>
      <c r="F652">
        <v>0</v>
      </c>
      <c r="G652" s="1" t="s">
        <v>1313</v>
      </c>
      <c r="H652">
        <v>0</v>
      </c>
      <c r="I652">
        <v>0</v>
      </c>
      <c r="J652">
        <v>1</v>
      </c>
      <c r="K652">
        <v>0</v>
      </c>
      <c r="L652">
        <v>8</v>
      </c>
      <c r="M652">
        <v>0</v>
      </c>
      <c r="N652">
        <v>1</v>
      </c>
      <c r="O652">
        <v>4243468.1900000004</v>
      </c>
    </row>
    <row r="653" spans="1:15" x14ac:dyDescent="0.3">
      <c r="A653">
        <v>56</v>
      </c>
      <c r="B653" s="1" t="s">
        <v>18</v>
      </c>
      <c r="C653">
        <v>4243468.1900000004</v>
      </c>
      <c r="D653" s="1" t="s">
        <v>1314</v>
      </c>
      <c r="E653">
        <v>4243468.1900000004</v>
      </c>
      <c r="F653">
        <v>0</v>
      </c>
      <c r="G653" s="1" t="s">
        <v>1315</v>
      </c>
      <c r="H653">
        <v>698483.22</v>
      </c>
      <c r="I653">
        <v>4941951.41</v>
      </c>
      <c r="J653">
        <v>1</v>
      </c>
      <c r="K653">
        <v>0</v>
      </c>
      <c r="L653">
        <v>8</v>
      </c>
      <c r="M653">
        <v>0</v>
      </c>
      <c r="N653">
        <v>1</v>
      </c>
      <c r="O653">
        <v>4243468.1900000004</v>
      </c>
    </row>
    <row r="654" spans="1:15" x14ac:dyDescent="0.3">
      <c r="A654">
        <v>56</v>
      </c>
      <c r="B654" s="1" t="s">
        <v>15</v>
      </c>
      <c r="C654">
        <v>530733.43000000005</v>
      </c>
      <c r="D654" s="1" t="s">
        <v>1316</v>
      </c>
      <c r="E654">
        <v>530733.43000000005</v>
      </c>
      <c r="F654">
        <v>0</v>
      </c>
      <c r="G654" s="1" t="s">
        <v>1317</v>
      </c>
      <c r="H654">
        <v>0</v>
      </c>
      <c r="I654">
        <v>0</v>
      </c>
      <c r="J654">
        <v>1</v>
      </c>
      <c r="K654">
        <v>0</v>
      </c>
      <c r="L654">
        <v>8</v>
      </c>
      <c r="M654">
        <v>0</v>
      </c>
      <c r="N654">
        <v>1</v>
      </c>
      <c r="O654">
        <v>530733.43000000005</v>
      </c>
    </row>
    <row r="655" spans="1:15" x14ac:dyDescent="0.3">
      <c r="A655">
        <v>56</v>
      </c>
      <c r="B655" s="1" t="s">
        <v>18</v>
      </c>
      <c r="C655">
        <v>530733.43000000005</v>
      </c>
      <c r="D655" s="1" t="s">
        <v>1318</v>
      </c>
      <c r="E655">
        <v>530733.43000000005</v>
      </c>
      <c r="F655">
        <v>0</v>
      </c>
      <c r="G655" s="1" t="s">
        <v>1319</v>
      </c>
      <c r="H655">
        <v>233066.99</v>
      </c>
      <c r="I655">
        <v>763800.42</v>
      </c>
      <c r="J655">
        <v>1</v>
      </c>
      <c r="K655">
        <v>0</v>
      </c>
      <c r="L655">
        <v>8</v>
      </c>
      <c r="M655">
        <v>0</v>
      </c>
      <c r="N655">
        <v>1</v>
      </c>
      <c r="O655">
        <v>530733.43000000005</v>
      </c>
    </row>
    <row r="656" spans="1:15" x14ac:dyDescent="0.3">
      <c r="A656">
        <v>56</v>
      </c>
      <c r="B656" s="1" t="s">
        <v>15</v>
      </c>
      <c r="C656">
        <v>325242.69</v>
      </c>
      <c r="D656" s="1" t="s">
        <v>1320</v>
      </c>
      <c r="E656">
        <v>325242.69</v>
      </c>
      <c r="F656">
        <v>0</v>
      </c>
      <c r="G656" s="1" t="s">
        <v>1321</v>
      </c>
      <c r="H656">
        <v>0</v>
      </c>
      <c r="I656">
        <v>0</v>
      </c>
      <c r="J656">
        <v>1</v>
      </c>
      <c r="K656">
        <v>0</v>
      </c>
      <c r="L656">
        <v>8</v>
      </c>
      <c r="M656">
        <v>0</v>
      </c>
      <c r="N656">
        <v>1</v>
      </c>
      <c r="O656">
        <v>325242.69</v>
      </c>
    </row>
    <row r="657" spans="1:15" x14ac:dyDescent="0.3">
      <c r="A657">
        <v>56</v>
      </c>
      <c r="B657" s="1" t="s">
        <v>18</v>
      </c>
      <c r="C657">
        <v>325242.69</v>
      </c>
      <c r="D657" s="1" t="s">
        <v>1322</v>
      </c>
      <c r="E657">
        <v>325242.69</v>
      </c>
      <c r="F657">
        <v>0</v>
      </c>
      <c r="G657" s="1" t="s">
        <v>1323</v>
      </c>
      <c r="H657">
        <v>910845.46</v>
      </c>
      <c r="I657">
        <v>1236088.1499999999</v>
      </c>
      <c r="J657">
        <v>1</v>
      </c>
      <c r="K657">
        <v>0</v>
      </c>
      <c r="L657">
        <v>8</v>
      </c>
      <c r="M657">
        <v>0</v>
      </c>
      <c r="N657">
        <v>1</v>
      </c>
      <c r="O657">
        <v>325242.69</v>
      </c>
    </row>
    <row r="658" spans="1:15" x14ac:dyDescent="0.3">
      <c r="A658">
        <v>57</v>
      </c>
      <c r="B658" s="1" t="s">
        <v>15</v>
      </c>
      <c r="C658">
        <v>157610.10999999999</v>
      </c>
      <c r="D658" s="1" t="s">
        <v>1324</v>
      </c>
      <c r="E658">
        <v>157610.10999999999</v>
      </c>
      <c r="F658">
        <v>0</v>
      </c>
      <c r="G658" s="1" t="s">
        <v>1325</v>
      </c>
      <c r="H658">
        <v>0</v>
      </c>
      <c r="I658">
        <v>0</v>
      </c>
      <c r="J658">
        <v>1</v>
      </c>
      <c r="K658">
        <v>0</v>
      </c>
      <c r="L658">
        <v>9</v>
      </c>
      <c r="M658">
        <v>0</v>
      </c>
      <c r="N658">
        <v>1</v>
      </c>
      <c r="O658">
        <v>157610.10999999999</v>
      </c>
    </row>
    <row r="659" spans="1:15" x14ac:dyDescent="0.3">
      <c r="A659">
        <v>57</v>
      </c>
      <c r="B659" s="1" t="s">
        <v>18</v>
      </c>
      <c r="C659">
        <v>157610.10999999999</v>
      </c>
      <c r="D659" s="1" t="s">
        <v>1326</v>
      </c>
      <c r="E659">
        <v>157610.10999999999</v>
      </c>
      <c r="F659">
        <v>0</v>
      </c>
      <c r="G659" s="1" t="s">
        <v>1327</v>
      </c>
      <c r="H659">
        <v>949587.48</v>
      </c>
      <c r="I659">
        <v>1107197.5900000001</v>
      </c>
      <c r="J659">
        <v>1</v>
      </c>
      <c r="K659">
        <v>0</v>
      </c>
      <c r="L659">
        <v>9</v>
      </c>
      <c r="M659">
        <v>0</v>
      </c>
      <c r="N659">
        <v>1</v>
      </c>
      <c r="O659">
        <v>157610.10999999999</v>
      </c>
    </row>
    <row r="660" spans="1:15" x14ac:dyDescent="0.3">
      <c r="A660">
        <v>57</v>
      </c>
      <c r="B660" s="1" t="s">
        <v>15</v>
      </c>
      <c r="C660">
        <v>354441.19</v>
      </c>
      <c r="D660" s="1" t="s">
        <v>1328</v>
      </c>
      <c r="E660">
        <v>354441.19</v>
      </c>
      <c r="F660">
        <v>0</v>
      </c>
      <c r="G660" s="1" t="s">
        <v>1329</v>
      </c>
      <c r="H660">
        <v>0</v>
      </c>
      <c r="I660">
        <v>0</v>
      </c>
      <c r="J660">
        <v>1</v>
      </c>
      <c r="K660">
        <v>0</v>
      </c>
      <c r="L660">
        <v>9</v>
      </c>
      <c r="M660">
        <v>0</v>
      </c>
      <c r="N660">
        <v>1</v>
      </c>
      <c r="O660">
        <v>354441.19</v>
      </c>
    </row>
    <row r="661" spans="1:15" x14ac:dyDescent="0.3">
      <c r="A661">
        <v>57</v>
      </c>
      <c r="B661" s="1" t="s">
        <v>18</v>
      </c>
      <c r="C661">
        <v>354441.19</v>
      </c>
      <c r="D661" s="1" t="s">
        <v>1330</v>
      </c>
      <c r="E661">
        <v>354441.19</v>
      </c>
      <c r="F661">
        <v>0</v>
      </c>
      <c r="G661" s="1" t="s">
        <v>1331</v>
      </c>
      <c r="H661">
        <v>452296.45</v>
      </c>
      <c r="I661">
        <v>806737.65</v>
      </c>
      <c r="J661">
        <v>1</v>
      </c>
      <c r="K661">
        <v>0</v>
      </c>
      <c r="L661">
        <v>9</v>
      </c>
      <c r="M661">
        <v>0</v>
      </c>
      <c r="N661">
        <v>1</v>
      </c>
      <c r="O661">
        <v>354441.19</v>
      </c>
    </row>
    <row r="662" spans="1:15" x14ac:dyDescent="0.3">
      <c r="A662">
        <v>57</v>
      </c>
      <c r="B662" s="1" t="s">
        <v>15</v>
      </c>
      <c r="C662">
        <v>1014816.16</v>
      </c>
      <c r="D662" s="1" t="s">
        <v>1332</v>
      </c>
      <c r="E662">
        <v>1014816.16</v>
      </c>
      <c r="F662">
        <v>0</v>
      </c>
      <c r="G662" s="1" t="s">
        <v>1333</v>
      </c>
      <c r="H662">
        <v>0</v>
      </c>
      <c r="I662">
        <v>0</v>
      </c>
      <c r="J662">
        <v>1</v>
      </c>
      <c r="K662">
        <v>0</v>
      </c>
      <c r="L662">
        <v>9</v>
      </c>
      <c r="M662">
        <v>0</v>
      </c>
      <c r="N662">
        <v>1</v>
      </c>
      <c r="O662">
        <v>1014816.16</v>
      </c>
    </row>
    <row r="663" spans="1:15" x14ac:dyDescent="0.3">
      <c r="A663">
        <v>57</v>
      </c>
      <c r="B663" s="1" t="s">
        <v>18</v>
      </c>
      <c r="C663">
        <v>1014816.16</v>
      </c>
      <c r="D663" s="1" t="s">
        <v>1334</v>
      </c>
      <c r="E663">
        <v>1014816.16</v>
      </c>
      <c r="F663">
        <v>0</v>
      </c>
      <c r="G663" s="1" t="s">
        <v>1335</v>
      </c>
      <c r="H663">
        <v>1417511.04</v>
      </c>
      <c r="I663">
        <v>2432327.2000000002</v>
      </c>
      <c r="J663">
        <v>1</v>
      </c>
      <c r="K663">
        <v>0</v>
      </c>
      <c r="L663">
        <v>9</v>
      </c>
      <c r="M663">
        <v>0</v>
      </c>
      <c r="N663">
        <v>1</v>
      </c>
      <c r="O663">
        <v>1014816.16</v>
      </c>
    </row>
    <row r="664" spans="1:15" x14ac:dyDescent="0.3">
      <c r="A664">
        <v>58</v>
      </c>
      <c r="B664" s="1" t="s">
        <v>15</v>
      </c>
      <c r="C664">
        <v>246938.77</v>
      </c>
      <c r="D664" s="1" t="s">
        <v>1336</v>
      </c>
      <c r="E664">
        <v>246938.77</v>
      </c>
      <c r="F664">
        <v>0</v>
      </c>
      <c r="G664" s="1" t="s">
        <v>1337</v>
      </c>
      <c r="H664">
        <v>0</v>
      </c>
      <c r="I664">
        <v>0</v>
      </c>
      <c r="J664">
        <v>1</v>
      </c>
      <c r="K664">
        <v>0</v>
      </c>
      <c r="L664">
        <v>10</v>
      </c>
      <c r="M664">
        <v>0</v>
      </c>
      <c r="N664">
        <v>1</v>
      </c>
      <c r="O664">
        <v>246938.77</v>
      </c>
    </row>
    <row r="665" spans="1:15" x14ac:dyDescent="0.3">
      <c r="A665">
        <v>58</v>
      </c>
      <c r="B665" s="1" t="s">
        <v>18</v>
      </c>
      <c r="C665">
        <v>246938.77</v>
      </c>
      <c r="D665" s="1" t="s">
        <v>1338</v>
      </c>
      <c r="E665">
        <v>246938.77</v>
      </c>
      <c r="F665">
        <v>0</v>
      </c>
      <c r="G665" s="1" t="s">
        <v>1339</v>
      </c>
      <c r="H665">
        <v>0</v>
      </c>
      <c r="I665">
        <v>246938.77</v>
      </c>
      <c r="J665">
        <v>1</v>
      </c>
      <c r="K665">
        <v>0</v>
      </c>
      <c r="L665">
        <v>10</v>
      </c>
      <c r="M665">
        <v>0</v>
      </c>
      <c r="N665">
        <v>1</v>
      </c>
      <c r="O665">
        <v>246938.77</v>
      </c>
    </row>
    <row r="666" spans="1:15" x14ac:dyDescent="0.3">
      <c r="A666">
        <v>58</v>
      </c>
      <c r="B666" s="1" t="s">
        <v>15</v>
      </c>
      <c r="C666">
        <v>561948.38</v>
      </c>
      <c r="D666" s="1" t="s">
        <v>1340</v>
      </c>
      <c r="E666">
        <v>561948.38</v>
      </c>
      <c r="F666">
        <v>0</v>
      </c>
      <c r="G666" s="1" t="s">
        <v>1341</v>
      </c>
      <c r="H666">
        <v>0</v>
      </c>
      <c r="I666">
        <v>0</v>
      </c>
      <c r="J666">
        <v>1</v>
      </c>
      <c r="K666">
        <v>0</v>
      </c>
      <c r="L666">
        <v>10</v>
      </c>
      <c r="M666">
        <v>0</v>
      </c>
      <c r="N666">
        <v>1</v>
      </c>
      <c r="O666">
        <v>561948.38</v>
      </c>
    </row>
    <row r="667" spans="1:15" x14ac:dyDescent="0.3">
      <c r="A667">
        <v>58</v>
      </c>
      <c r="B667" s="1" t="s">
        <v>18</v>
      </c>
      <c r="C667">
        <v>561948.38</v>
      </c>
      <c r="D667" s="1" t="s">
        <v>1342</v>
      </c>
      <c r="E667">
        <v>561948.38</v>
      </c>
      <c r="F667">
        <v>0</v>
      </c>
      <c r="G667" s="1" t="s">
        <v>1343</v>
      </c>
      <c r="H667">
        <v>30911.97</v>
      </c>
      <c r="I667">
        <v>592860.35</v>
      </c>
      <c r="J667">
        <v>1</v>
      </c>
      <c r="K667">
        <v>0</v>
      </c>
      <c r="L667">
        <v>10</v>
      </c>
      <c r="M667">
        <v>0</v>
      </c>
      <c r="N667">
        <v>1</v>
      </c>
      <c r="O667">
        <v>561948.38</v>
      </c>
    </row>
    <row r="668" spans="1:15" x14ac:dyDescent="0.3">
      <c r="A668">
        <v>58</v>
      </c>
      <c r="B668" s="1" t="s">
        <v>15</v>
      </c>
      <c r="C668">
        <v>106673.26</v>
      </c>
      <c r="D668" s="1" t="s">
        <v>1344</v>
      </c>
      <c r="E668">
        <v>106673.26</v>
      </c>
      <c r="F668">
        <v>0</v>
      </c>
      <c r="G668" s="1" t="s">
        <v>1345</v>
      </c>
      <c r="H668">
        <v>0</v>
      </c>
      <c r="I668">
        <v>0</v>
      </c>
      <c r="J668">
        <v>1</v>
      </c>
      <c r="K668">
        <v>0</v>
      </c>
      <c r="L668">
        <v>10</v>
      </c>
      <c r="M668">
        <v>0</v>
      </c>
      <c r="N668">
        <v>1</v>
      </c>
      <c r="O668">
        <v>106673.26</v>
      </c>
    </row>
    <row r="669" spans="1:15" x14ac:dyDescent="0.3">
      <c r="A669">
        <v>58</v>
      </c>
      <c r="B669" s="1" t="s">
        <v>18</v>
      </c>
      <c r="C669">
        <v>106673.26</v>
      </c>
      <c r="D669" s="1" t="s">
        <v>1346</v>
      </c>
      <c r="E669">
        <v>106673.26</v>
      </c>
      <c r="F669">
        <v>0</v>
      </c>
      <c r="G669" s="1" t="s">
        <v>1347</v>
      </c>
      <c r="H669">
        <v>0</v>
      </c>
      <c r="I669">
        <v>106673.26</v>
      </c>
      <c r="J669">
        <v>1</v>
      </c>
      <c r="K669">
        <v>0</v>
      </c>
      <c r="L669">
        <v>10</v>
      </c>
      <c r="M669">
        <v>0</v>
      </c>
      <c r="N669">
        <v>1</v>
      </c>
      <c r="O669">
        <v>106673.26</v>
      </c>
    </row>
    <row r="670" spans="1:15" x14ac:dyDescent="0.3">
      <c r="A670">
        <v>58</v>
      </c>
      <c r="B670" s="1" t="s">
        <v>15</v>
      </c>
      <c r="C670">
        <v>6501303.1399999997</v>
      </c>
      <c r="D670" s="1" t="s">
        <v>1348</v>
      </c>
      <c r="E670">
        <v>6501303.1399999997</v>
      </c>
      <c r="F670">
        <v>0</v>
      </c>
      <c r="G670" s="1" t="s">
        <v>1349</v>
      </c>
      <c r="H670">
        <v>0</v>
      </c>
      <c r="I670">
        <v>0</v>
      </c>
      <c r="J670">
        <v>1</v>
      </c>
      <c r="K670">
        <v>0</v>
      </c>
      <c r="L670">
        <v>10</v>
      </c>
      <c r="M670">
        <v>0</v>
      </c>
      <c r="N670">
        <v>1</v>
      </c>
      <c r="O670">
        <v>6501303.1399999997</v>
      </c>
    </row>
    <row r="671" spans="1:15" x14ac:dyDescent="0.3">
      <c r="A671">
        <v>58</v>
      </c>
      <c r="B671" s="1" t="s">
        <v>18</v>
      </c>
      <c r="C671">
        <v>6501303.1399999997</v>
      </c>
      <c r="D671" s="1" t="s">
        <v>1350</v>
      </c>
      <c r="E671">
        <v>6501303.1399999997</v>
      </c>
      <c r="F671">
        <v>0</v>
      </c>
      <c r="G671" s="1" t="s">
        <v>1351</v>
      </c>
      <c r="H671">
        <v>4439499.5</v>
      </c>
      <c r="I671">
        <v>10900000</v>
      </c>
      <c r="J671">
        <v>1</v>
      </c>
      <c r="K671">
        <v>0</v>
      </c>
      <c r="L671">
        <v>10</v>
      </c>
      <c r="M671">
        <v>0</v>
      </c>
      <c r="N671">
        <v>1</v>
      </c>
      <c r="O671">
        <v>6501303.1399999997</v>
      </c>
    </row>
    <row r="672" spans="1:15" x14ac:dyDescent="0.3">
      <c r="A672">
        <v>58</v>
      </c>
      <c r="B672" s="1" t="s">
        <v>15</v>
      </c>
      <c r="C672">
        <v>3156421.43</v>
      </c>
      <c r="D672" s="1" t="s">
        <v>1352</v>
      </c>
      <c r="E672">
        <v>3156421.43</v>
      </c>
      <c r="F672">
        <v>0</v>
      </c>
      <c r="G672" s="1" t="s">
        <v>1353</v>
      </c>
      <c r="H672">
        <v>0</v>
      </c>
      <c r="I672">
        <v>0</v>
      </c>
      <c r="J672">
        <v>1</v>
      </c>
      <c r="K672">
        <v>0</v>
      </c>
      <c r="L672">
        <v>10</v>
      </c>
      <c r="M672">
        <v>0</v>
      </c>
      <c r="N672">
        <v>1</v>
      </c>
      <c r="O672">
        <v>3156421.43</v>
      </c>
    </row>
    <row r="673" spans="1:15" x14ac:dyDescent="0.3">
      <c r="A673">
        <v>58</v>
      </c>
      <c r="B673" s="1" t="s">
        <v>18</v>
      </c>
      <c r="C673">
        <v>3156421.43</v>
      </c>
      <c r="D673" s="1" t="s">
        <v>1354</v>
      </c>
      <c r="E673">
        <v>3156421.43</v>
      </c>
      <c r="F673">
        <v>0</v>
      </c>
      <c r="G673" s="1" t="s">
        <v>1355</v>
      </c>
      <c r="H673">
        <v>181440.45</v>
      </c>
      <c r="I673">
        <v>3337861.88</v>
      </c>
      <c r="J673">
        <v>1</v>
      </c>
      <c r="K673">
        <v>0</v>
      </c>
      <c r="L673">
        <v>10</v>
      </c>
      <c r="M673">
        <v>0</v>
      </c>
      <c r="N673">
        <v>1</v>
      </c>
      <c r="O673">
        <v>3156421.43</v>
      </c>
    </row>
    <row r="674" spans="1:15" x14ac:dyDescent="0.3">
      <c r="A674">
        <v>58</v>
      </c>
      <c r="B674" s="1" t="s">
        <v>15</v>
      </c>
      <c r="C674">
        <v>1789155.73</v>
      </c>
      <c r="D674" s="1" t="s">
        <v>1356</v>
      </c>
      <c r="E674">
        <v>1789155.73</v>
      </c>
      <c r="F674">
        <v>0</v>
      </c>
      <c r="G674" s="1" t="s">
        <v>1357</v>
      </c>
      <c r="H674">
        <v>0</v>
      </c>
      <c r="I674">
        <v>0</v>
      </c>
      <c r="J674">
        <v>1</v>
      </c>
      <c r="K674">
        <v>0</v>
      </c>
      <c r="L674">
        <v>10</v>
      </c>
      <c r="M674">
        <v>0</v>
      </c>
      <c r="N674">
        <v>1</v>
      </c>
      <c r="O674">
        <v>1789155.73</v>
      </c>
    </row>
    <row r="675" spans="1:15" x14ac:dyDescent="0.3">
      <c r="A675">
        <v>58</v>
      </c>
      <c r="B675" s="1" t="s">
        <v>18</v>
      </c>
      <c r="C675">
        <v>1789155.73</v>
      </c>
      <c r="D675" s="1" t="s">
        <v>1358</v>
      </c>
      <c r="E675">
        <v>1789155.73</v>
      </c>
      <c r="F675">
        <v>0</v>
      </c>
      <c r="G675" s="1" t="s">
        <v>1359</v>
      </c>
      <c r="H675">
        <v>2031388.61</v>
      </c>
      <c r="I675">
        <v>3820544.34</v>
      </c>
      <c r="J675">
        <v>1</v>
      </c>
      <c r="K675">
        <v>0</v>
      </c>
      <c r="L675">
        <v>10</v>
      </c>
      <c r="M675">
        <v>0</v>
      </c>
      <c r="N675">
        <v>1</v>
      </c>
      <c r="O675">
        <v>1789155.73</v>
      </c>
    </row>
    <row r="676" spans="1:15" x14ac:dyDescent="0.3">
      <c r="A676">
        <v>58</v>
      </c>
      <c r="B676" s="1" t="s">
        <v>15</v>
      </c>
      <c r="C676">
        <v>456745.18</v>
      </c>
      <c r="D676" s="1" t="s">
        <v>1360</v>
      </c>
      <c r="E676">
        <v>456745.18</v>
      </c>
      <c r="F676">
        <v>0</v>
      </c>
      <c r="G676" s="1" t="s">
        <v>1361</v>
      </c>
      <c r="H676">
        <v>0</v>
      </c>
      <c r="I676">
        <v>0</v>
      </c>
      <c r="J676">
        <v>1</v>
      </c>
      <c r="K676">
        <v>0</v>
      </c>
      <c r="L676">
        <v>10</v>
      </c>
      <c r="M676">
        <v>0</v>
      </c>
      <c r="N676">
        <v>1</v>
      </c>
      <c r="O676">
        <v>456745.18</v>
      </c>
    </row>
    <row r="677" spans="1:15" x14ac:dyDescent="0.3">
      <c r="A677">
        <v>58</v>
      </c>
      <c r="B677" s="1" t="s">
        <v>18</v>
      </c>
      <c r="C677">
        <v>456745.18</v>
      </c>
      <c r="D677" s="1" t="s">
        <v>1362</v>
      </c>
      <c r="E677">
        <v>456745.18</v>
      </c>
      <c r="F677">
        <v>0</v>
      </c>
      <c r="G677" s="1" t="s">
        <v>1363</v>
      </c>
      <c r="H677">
        <v>0</v>
      </c>
      <c r="I677">
        <v>456745.18</v>
      </c>
      <c r="J677">
        <v>1</v>
      </c>
      <c r="K677">
        <v>0</v>
      </c>
      <c r="L677">
        <v>10</v>
      </c>
      <c r="M677">
        <v>0</v>
      </c>
      <c r="N677">
        <v>1</v>
      </c>
      <c r="O677">
        <v>456745.18</v>
      </c>
    </row>
    <row r="678" spans="1:15" x14ac:dyDescent="0.3">
      <c r="A678">
        <v>58</v>
      </c>
      <c r="B678" s="1" t="s">
        <v>15</v>
      </c>
      <c r="C678">
        <v>7108914.2199999997</v>
      </c>
      <c r="D678" s="1" t="s">
        <v>1364</v>
      </c>
      <c r="E678">
        <v>7108914.2199999997</v>
      </c>
      <c r="F678">
        <v>0</v>
      </c>
      <c r="G678" s="1" t="s">
        <v>1365</v>
      </c>
      <c r="H678">
        <v>0</v>
      </c>
      <c r="I678">
        <v>0</v>
      </c>
      <c r="J678">
        <v>1</v>
      </c>
      <c r="K678">
        <v>0</v>
      </c>
      <c r="L678">
        <v>10</v>
      </c>
      <c r="M678">
        <v>0</v>
      </c>
      <c r="N678">
        <v>1</v>
      </c>
      <c r="O678">
        <v>7108914.2199999997</v>
      </c>
    </row>
    <row r="679" spans="1:15" x14ac:dyDescent="0.3">
      <c r="A679">
        <v>58</v>
      </c>
      <c r="B679" s="1" t="s">
        <v>18</v>
      </c>
      <c r="C679">
        <v>7108914.2199999997</v>
      </c>
      <c r="D679" s="1" t="s">
        <v>1366</v>
      </c>
      <c r="E679">
        <v>7108914.2199999997</v>
      </c>
      <c r="F679">
        <v>0</v>
      </c>
      <c r="G679" s="1" t="s">
        <v>1367</v>
      </c>
      <c r="H679">
        <v>0</v>
      </c>
      <c r="I679">
        <v>7108914.2199999997</v>
      </c>
      <c r="J679">
        <v>1</v>
      </c>
      <c r="K679">
        <v>0</v>
      </c>
      <c r="L679">
        <v>10</v>
      </c>
      <c r="M679">
        <v>0</v>
      </c>
      <c r="N679">
        <v>1</v>
      </c>
      <c r="O679">
        <v>7108914.2199999997</v>
      </c>
    </row>
    <row r="680" spans="1:15" x14ac:dyDescent="0.3">
      <c r="A680">
        <v>58</v>
      </c>
      <c r="B680" s="1" t="s">
        <v>15</v>
      </c>
      <c r="C680">
        <v>109525.67</v>
      </c>
      <c r="D680" s="1" t="s">
        <v>1368</v>
      </c>
      <c r="E680">
        <v>109525.67</v>
      </c>
      <c r="F680">
        <v>0</v>
      </c>
      <c r="G680" s="1" t="s">
        <v>1369</v>
      </c>
      <c r="H680">
        <v>0</v>
      </c>
      <c r="I680">
        <v>0</v>
      </c>
      <c r="J680">
        <v>1</v>
      </c>
      <c r="K680">
        <v>0</v>
      </c>
      <c r="L680">
        <v>10</v>
      </c>
      <c r="M680">
        <v>0</v>
      </c>
      <c r="N680">
        <v>1</v>
      </c>
      <c r="O680">
        <v>109525.67</v>
      </c>
    </row>
    <row r="681" spans="1:15" x14ac:dyDescent="0.3">
      <c r="A681">
        <v>58</v>
      </c>
      <c r="B681" s="1" t="s">
        <v>18</v>
      </c>
      <c r="C681">
        <v>109525.67</v>
      </c>
      <c r="D681" s="1" t="s">
        <v>1370</v>
      </c>
      <c r="E681">
        <v>109525.67</v>
      </c>
      <c r="F681">
        <v>0</v>
      </c>
      <c r="G681" s="1" t="s">
        <v>1371</v>
      </c>
      <c r="H681">
        <v>3997342.61</v>
      </c>
      <c r="I681">
        <v>4106868.28</v>
      </c>
      <c r="J681">
        <v>1</v>
      </c>
      <c r="K681">
        <v>0</v>
      </c>
      <c r="L681">
        <v>10</v>
      </c>
      <c r="M681">
        <v>0</v>
      </c>
      <c r="N681">
        <v>1</v>
      </c>
      <c r="O681">
        <v>109525.67</v>
      </c>
    </row>
    <row r="682" spans="1:15" x14ac:dyDescent="0.3">
      <c r="A682">
        <v>58</v>
      </c>
      <c r="B682" s="1" t="s">
        <v>15</v>
      </c>
      <c r="C682">
        <v>378688.65</v>
      </c>
      <c r="D682" s="1" t="s">
        <v>1372</v>
      </c>
      <c r="E682">
        <v>378688.65</v>
      </c>
      <c r="F682">
        <v>0</v>
      </c>
      <c r="G682" s="1" t="s">
        <v>1373</v>
      </c>
      <c r="H682">
        <v>0</v>
      </c>
      <c r="I682">
        <v>0</v>
      </c>
      <c r="J682">
        <v>1</v>
      </c>
      <c r="K682">
        <v>0</v>
      </c>
      <c r="L682">
        <v>10</v>
      </c>
      <c r="M682">
        <v>0</v>
      </c>
      <c r="N682">
        <v>1</v>
      </c>
      <c r="O682">
        <v>378688.65</v>
      </c>
    </row>
    <row r="683" spans="1:15" x14ac:dyDescent="0.3">
      <c r="A683">
        <v>58</v>
      </c>
      <c r="B683" s="1" t="s">
        <v>18</v>
      </c>
      <c r="C683">
        <v>378688.65</v>
      </c>
      <c r="D683" s="1" t="s">
        <v>1374</v>
      </c>
      <c r="E683">
        <v>378688.65</v>
      </c>
      <c r="F683">
        <v>0</v>
      </c>
      <c r="G683" s="1" t="s">
        <v>1375</v>
      </c>
      <c r="H683">
        <v>0</v>
      </c>
      <c r="I683">
        <v>378688.65</v>
      </c>
      <c r="J683">
        <v>1</v>
      </c>
      <c r="K683">
        <v>0</v>
      </c>
      <c r="L683">
        <v>10</v>
      </c>
      <c r="M683">
        <v>0</v>
      </c>
      <c r="N683">
        <v>1</v>
      </c>
      <c r="O683">
        <v>378688.65</v>
      </c>
    </row>
    <row r="684" spans="1:15" x14ac:dyDescent="0.3">
      <c r="A684">
        <v>59</v>
      </c>
      <c r="B684" s="1" t="s">
        <v>15</v>
      </c>
      <c r="C684">
        <v>394388.09</v>
      </c>
      <c r="D684" s="1" t="s">
        <v>1376</v>
      </c>
      <c r="E684">
        <v>394388.09</v>
      </c>
      <c r="F684">
        <v>0</v>
      </c>
      <c r="G684" s="1" t="s">
        <v>1377</v>
      </c>
      <c r="H684">
        <v>0</v>
      </c>
      <c r="I684">
        <v>0</v>
      </c>
      <c r="J684">
        <v>1</v>
      </c>
      <c r="K684">
        <v>0</v>
      </c>
      <c r="L684">
        <v>11</v>
      </c>
      <c r="M684">
        <v>0</v>
      </c>
      <c r="N684">
        <v>1</v>
      </c>
      <c r="O684">
        <v>394388.09</v>
      </c>
    </row>
    <row r="685" spans="1:15" x14ac:dyDescent="0.3">
      <c r="A685">
        <v>59</v>
      </c>
      <c r="B685" s="1" t="s">
        <v>18</v>
      </c>
      <c r="C685">
        <v>394388.09</v>
      </c>
      <c r="D685" s="1" t="s">
        <v>1378</v>
      </c>
      <c r="E685">
        <v>394388.09</v>
      </c>
      <c r="F685">
        <v>0</v>
      </c>
      <c r="G685" s="1" t="s">
        <v>1379</v>
      </c>
      <c r="H685">
        <v>1260564.49</v>
      </c>
      <c r="I685">
        <v>1654952.58</v>
      </c>
      <c r="J685">
        <v>1</v>
      </c>
      <c r="K685">
        <v>0</v>
      </c>
      <c r="L685">
        <v>11</v>
      </c>
      <c r="M685">
        <v>0</v>
      </c>
      <c r="N685">
        <v>1</v>
      </c>
      <c r="O685">
        <v>394388.09</v>
      </c>
    </row>
    <row r="686" spans="1:15" x14ac:dyDescent="0.3">
      <c r="A686">
        <v>59</v>
      </c>
      <c r="B686" s="1" t="s">
        <v>15</v>
      </c>
      <c r="C686">
        <v>3904257.51</v>
      </c>
      <c r="D686" s="1" t="s">
        <v>1380</v>
      </c>
      <c r="E686">
        <v>3904257.51</v>
      </c>
      <c r="F686">
        <v>0</v>
      </c>
      <c r="G686" s="1" t="s">
        <v>1381</v>
      </c>
      <c r="H686">
        <v>0</v>
      </c>
      <c r="I686">
        <v>0</v>
      </c>
      <c r="J686">
        <v>1</v>
      </c>
      <c r="K686">
        <v>0</v>
      </c>
      <c r="L686">
        <v>11</v>
      </c>
      <c r="M686">
        <v>0</v>
      </c>
      <c r="N686">
        <v>1</v>
      </c>
      <c r="O686">
        <v>3904257.51</v>
      </c>
    </row>
    <row r="687" spans="1:15" x14ac:dyDescent="0.3">
      <c r="A687">
        <v>59</v>
      </c>
      <c r="B687" s="1" t="s">
        <v>18</v>
      </c>
      <c r="C687">
        <v>3904257.51</v>
      </c>
      <c r="D687" s="1" t="s">
        <v>1382</v>
      </c>
      <c r="E687">
        <v>3904257.51</v>
      </c>
      <c r="F687">
        <v>0</v>
      </c>
      <c r="G687" s="1" t="s">
        <v>1383</v>
      </c>
      <c r="H687">
        <v>0</v>
      </c>
      <c r="I687">
        <v>3904257.51</v>
      </c>
      <c r="J687">
        <v>1</v>
      </c>
      <c r="K687">
        <v>0</v>
      </c>
      <c r="L687">
        <v>11</v>
      </c>
      <c r="M687">
        <v>0</v>
      </c>
      <c r="N687">
        <v>1</v>
      </c>
      <c r="O687">
        <v>3904257.51</v>
      </c>
    </row>
    <row r="688" spans="1:15" x14ac:dyDescent="0.3">
      <c r="A688">
        <v>59</v>
      </c>
      <c r="B688" s="1" t="s">
        <v>15</v>
      </c>
      <c r="C688">
        <v>3857176.83</v>
      </c>
      <c r="D688" s="1" t="s">
        <v>1384</v>
      </c>
      <c r="E688">
        <v>3857176.83</v>
      </c>
      <c r="F688">
        <v>0</v>
      </c>
      <c r="G688" s="1" t="s">
        <v>1385</v>
      </c>
      <c r="H688">
        <v>0</v>
      </c>
      <c r="I688">
        <v>0</v>
      </c>
      <c r="J688">
        <v>1</v>
      </c>
      <c r="K688">
        <v>0</v>
      </c>
      <c r="L688">
        <v>11</v>
      </c>
      <c r="M688">
        <v>0</v>
      </c>
      <c r="N688">
        <v>1</v>
      </c>
      <c r="O688">
        <v>3857176.83</v>
      </c>
    </row>
    <row r="689" spans="1:15" x14ac:dyDescent="0.3">
      <c r="A689">
        <v>59</v>
      </c>
      <c r="B689" s="1" t="s">
        <v>18</v>
      </c>
      <c r="C689">
        <v>3857176.83</v>
      </c>
      <c r="D689" s="1" t="s">
        <v>1386</v>
      </c>
      <c r="E689">
        <v>3857176.83</v>
      </c>
      <c r="F689">
        <v>0</v>
      </c>
      <c r="G689" s="1" t="s">
        <v>1387</v>
      </c>
      <c r="H689">
        <v>228541.62</v>
      </c>
      <c r="I689">
        <v>4085718.45</v>
      </c>
      <c r="J689">
        <v>1</v>
      </c>
      <c r="K689">
        <v>0</v>
      </c>
      <c r="L689">
        <v>11</v>
      </c>
      <c r="M689">
        <v>0</v>
      </c>
      <c r="N689">
        <v>1</v>
      </c>
      <c r="O689">
        <v>3857176.83</v>
      </c>
    </row>
    <row r="690" spans="1:15" x14ac:dyDescent="0.3">
      <c r="A690">
        <v>59</v>
      </c>
      <c r="B690" s="1" t="s">
        <v>15</v>
      </c>
      <c r="C690">
        <v>21174.45</v>
      </c>
      <c r="D690" s="1" t="s">
        <v>1388</v>
      </c>
      <c r="E690">
        <v>21174.45</v>
      </c>
      <c r="F690">
        <v>0</v>
      </c>
      <c r="G690" s="1" t="s">
        <v>1389</v>
      </c>
      <c r="H690">
        <v>0</v>
      </c>
      <c r="I690">
        <v>0</v>
      </c>
      <c r="J690">
        <v>1</v>
      </c>
      <c r="K690">
        <v>0</v>
      </c>
      <c r="L690">
        <v>11</v>
      </c>
      <c r="M690">
        <v>0</v>
      </c>
      <c r="N690">
        <v>1</v>
      </c>
      <c r="O690">
        <v>21174.45</v>
      </c>
    </row>
    <row r="691" spans="1:15" x14ac:dyDescent="0.3">
      <c r="A691">
        <v>59</v>
      </c>
      <c r="B691" s="1" t="s">
        <v>18</v>
      </c>
      <c r="C691">
        <v>21174.45</v>
      </c>
      <c r="D691" s="1" t="s">
        <v>1390</v>
      </c>
      <c r="E691">
        <v>21174.45</v>
      </c>
      <c r="F691">
        <v>0</v>
      </c>
      <c r="G691" s="1" t="s">
        <v>1391</v>
      </c>
      <c r="H691">
        <v>31409.08</v>
      </c>
      <c r="I691">
        <v>52583.53</v>
      </c>
      <c r="J691">
        <v>1</v>
      </c>
      <c r="K691">
        <v>0</v>
      </c>
      <c r="L691">
        <v>11</v>
      </c>
      <c r="M691">
        <v>0</v>
      </c>
      <c r="N691">
        <v>1</v>
      </c>
      <c r="O691">
        <v>21174.45</v>
      </c>
    </row>
    <row r="692" spans="1:15" x14ac:dyDescent="0.3">
      <c r="A692">
        <v>59</v>
      </c>
      <c r="B692" s="1" t="s">
        <v>15</v>
      </c>
      <c r="C692">
        <v>192765.49</v>
      </c>
      <c r="D692" s="1" t="s">
        <v>1392</v>
      </c>
      <c r="E692">
        <v>192765.49</v>
      </c>
      <c r="F692">
        <v>0</v>
      </c>
      <c r="G692" s="1" t="s">
        <v>1393</v>
      </c>
      <c r="H692">
        <v>0</v>
      </c>
      <c r="I692">
        <v>0</v>
      </c>
      <c r="J692">
        <v>1</v>
      </c>
      <c r="K692">
        <v>0</v>
      </c>
      <c r="L692">
        <v>11</v>
      </c>
      <c r="M692">
        <v>0</v>
      </c>
      <c r="N692">
        <v>1</v>
      </c>
      <c r="O692">
        <v>192765.49</v>
      </c>
    </row>
    <row r="693" spans="1:15" x14ac:dyDescent="0.3">
      <c r="A693">
        <v>59</v>
      </c>
      <c r="B693" s="1" t="s">
        <v>18</v>
      </c>
      <c r="C693">
        <v>192765.49</v>
      </c>
      <c r="D693" s="1" t="s">
        <v>1394</v>
      </c>
      <c r="E693">
        <v>192765.49</v>
      </c>
      <c r="F693">
        <v>0</v>
      </c>
      <c r="G693" s="1" t="s">
        <v>1395</v>
      </c>
      <c r="H693">
        <v>3252407.57</v>
      </c>
      <c r="I693">
        <v>3445173.06</v>
      </c>
      <c r="J693">
        <v>1</v>
      </c>
      <c r="K693">
        <v>0</v>
      </c>
      <c r="L693">
        <v>11</v>
      </c>
      <c r="M693">
        <v>0</v>
      </c>
      <c r="N693">
        <v>1</v>
      </c>
      <c r="O693">
        <v>192765.49</v>
      </c>
    </row>
    <row r="694" spans="1:15" x14ac:dyDescent="0.3">
      <c r="A694">
        <v>59</v>
      </c>
      <c r="B694" s="1" t="s">
        <v>15</v>
      </c>
      <c r="C694">
        <v>1011606.26</v>
      </c>
      <c r="D694" s="1" t="s">
        <v>1396</v>
      </c>
      <c r="E694">
        <v>1011606.26</v>
      </c>
      <c r="F694">
        <v>0</v>
      </c>
      <c r="G694" s="1" t="s">
        <v>1397</v>
      </c>
      <c r="H694">
        <v>0</v>
      </c>
      <c r="I694">
        <v>0</v>
      </c>
      <c r="J694">
        <v>1</v>
      </c>
      <c r="K694">
        <v>0</v>
      </c>
      <c r="L694">
        <v>11</v>
      </c>
      <c r="M694">
        <v>0</v>
      </c>
      <c r="N694">
        <v>1</v>
      </c>
      <c r="O694">
        <v>1011606.26</v>
      </c>
    </row>
    <row r="695" spans="1:15" x14ac:dyDescent="0.3">
      <c r="A695">
        <v>59</v>
      </c>
      <c r="B695" s="1" t="s">
        <v>18</v>
      </c>
      <c r="C695">
        <v>1011606.26</v>
      </c>
      <c r="D695" s="1" t="s">
        <v>1398</v>
      </c>
      <c r="E695">
        <v>1011606.26</v>
      </c>
      <c r="F695">
        <v>0</v>
      </c>
      <c r="G695" s="1" t="s">
        <v>1399</v>
      </c>
      <c r="H695">
        <v>0</v>
      </c>
      <c r="I695">
        <v>1011606.26</v>
      </c>
      <c r="J695">
        <v>1</v>
      </c>
      <c r="K695">
        <v>0</v>
      </c>
      <c r="L695">
        <v>11</v>
      </c>
      <c r="M695">
        <v>0</v>
      </c>
      <c r="N695">
        <v>1</v>
      </c>
      <c r="O695">
        <v>1011606.26</v>
      </c>
    </row>
    <row r="696" spans="1:15" x14ac:dyDescent="0.3">
      <c r="A696">
        <v>59</v>
      </c>
      <c r="B696" s="1" t="s">
        <v>15</v>
      </c>
      <c r="C696">
        <v>2050727.81</v>
      </c>
      <c r="D696" s="1" t="s">
        <v>1400</v>
      </c>
      <c r="E696">
        <v>2050727.81</v>
      </c>
      <c r="F696">
        <v>0</v>
      </c>
      <c r="G696" s="1" t="s">
        <v>1401</v>
      </c>
      <c r="H696">
        <v>0</v>
      </c>
      <c r="I696">
        <v>0</v>
      </c>
      <c r="J696">
        <v>1</v>
      </c>
      <c r="K696">
        <v>0</v>
      </c>
      <c r="L696">
        <v>11</v>
      </c>
      <c r="M696">
        <v>0</v>
      </c>
      <c r="N696">
        <v>1</v>
      </c>
      <c r="O696">
        <v>2050727.81</v>
      </c>
    </row>
    <row r="697" spans="1:15" x14ac:dyDescent="0.3">
      <c r="A697">
        <v>59</v>
      </c>
      <c r="B697" s="1" t="s">
        <v>18</v>
      </c>
      <c r="C697">
        <v>2050727.81</v>
      </c>
      <c r="D697" s="1" t="s">
        <v>1402</v>
      </c>
      <c r="E697">
        <v>2050727.81</v>
      </c>
      <c r="F697">
        <v>0</v>
      </c>
      <c r="G697" s="1" t="s">
        <v>926</v>
      </c>
      <c r="H697">
        <v>0</v>
      </c>
      <c r="I697">
        <v>2050727.81</v>
      </c>
      <c r="J697">
        <v>1</v>
      </c>
      <c r="K697">
        <v>0</v>
      </c>
      <c r="L697">
        <v>11</v>
      </c>
      <c r="M697">
        <v>0</v>
      </c>
      <c r="N697">
        <v>1</v>
      </c>
      <c r="O697">
        <v>2050727.81</v>
      </c>
    </row>
    <row r="698" spans="1:15" x14ac:dyDescent="0.3">
      <c r="A698">
        <v>59</v>
      </c>
      <c r="B698" s="1" t="s">
        <v>15</v>
      </c>
      <c r="C698">
        <v>9748.89</v>
      </c>
      <c r="D698" s="1" t="s">
        <v>1403</v>
      </c>
      <c r="E698">
        <v>9748.89</v>
      </c>
      <c r="F698">
        <v>0</v>
      </c>
      <c r="G698" s="1" t="s">
        <v>1404</v>
      </c>
      <c r="H698">
        <v>0</v>
      </c>
      <c r="I698">
        <v>0</v>
      </c>
      <c r="J698">
        <v>1</v>
      </c>
      <c r="K698">
        <v>0</v>
      </c>
      <c r="L698">
        <v>11</v>
      </c>
      <c r="M698">
        <v>0</v>
      </c>
      <c r="N698">
        <v>1</v>
      </c>
      <c r="O698">
        <v>9748.89</v>
      </c>
    </row>
    <row r="699" spans="1:15" x14ac:dyDescent="0.3">
      <c r="A699">
        <v>59</v>
      </c>
      <c r="B699" s="1" t="s">
        <v>18</v>
      </c>
      <c r="C699">
        <v>9748.89</v>
      </c>
      <c r="D699" s="1" t="s">
        <v>1405</v>
      </c>
      <c r="E699">
        <v>9748.89</v>
      </c>
      <c r="F699">
        <v>0</v>
      </c>
      <c r="G699" s="1" t="s">
        <v>1406</v>
      </c>
      <c r="H699">
        <v>180869.12</v>
      </c>
      <c r="I699">
        <v>190618.01</v>
      </c>
      <c r="J699">
        <v>1</v>
      </c>
      <c r="K699">
        <v>0</v>
      </c>
      <c r="L699">
        <v>11</v>
      </c>
      <c r="M699">
        <v>0</v>
      </c>
      <c r="N699">
        <v>1</v>
      </c>
      <c r="O699">
        <v>9748.89</v>
      </c>
    </row>
    <row r="700" spans="1:15" x14ac:dyDescent="0.3">
      <c r="A700">
        <v>59</v>
      </c>
      <c r="B700" s="1" t="s">
        <v>15</v>
      </c>
      <c r="C700">
        <v>44733.5</v>
      </c>
      <c r="D700" s="1" t="s">
        <v>1407</v>
      </c>
      <c r="E700">
        <v>44733.5</v>
      </c>
      <c r="F700">
        <v>0</v>
      </c>
      <c r="G700" s="1" t="s">
        <v>1408</v>
      </c>
      <c r="H700">
        <v>0</v>
      </c>
      <c r="I700">
        <v>0</v>
      </c>
      <c r="J700">
        <v>1</v>
      </c>
      <c r="K700">
        <v>0</v>
      </c>
      <c r="L700">
        <v>11</v>
      </c>
      <c r="M700">
        <v>0</v>
      </c>
      <c r="N700">
        <v>1</v>
      </c>
      <c r="O700">
        <v>44733.5</v>
      </c>
    </row>
    <row r="701" spans="1:15" x14ac:dyDescent="0.3">
      <c r="A701">
        <v>59</v>
      </c>
      <c r="B701" s="1" t="s">
        <v>18</v>
      </c>
      <c r="C701">
        <v>44733.5</v>
      </c>
      <c r="D701" s="1" t="s">
        <v>1409</v>
      </c>
      <c r="E701">
        <v>44733.5</v>
      </c>
      <c r="F701">
        <v>0</v>
      </c>
      <c r="G701" s="1" t="s">
        <v>1410</v>
      </c>
      <c r="H701">
        <v>2534461.11</v>
      </c>
      <c r="I701">
        <v>2579194.61</v>
      </c>
      <c r="J701">
        <v>1</v>
      </c>
      <c r="K701">
        <v>0</v>
      </c>
      <c r="L701">
        <v>11</v>
      </c>
      <c r="M701">
        <v>0</v>
      </c>
      <c r="N701">
        <v>1</v>
      </c>
      <c r="O701">
        <v>44733.5</v>
      </c>
    </row>
    <row r="702" spans="1:15" x14ac:dyDescent="0.3">
      <c r="A702">
        <v>59</v>
      </c>
      <c r="B702" s="1" t="s">
        <v>15</v>
      </c>
      <c r="C702">
        <v>1367340.03</v>
      </c>
      <c r="D702" s="1" t="s">
        <v>1411</v>
      </c>
      <c r="E702">
        <v>1367340.03</v>
      </c>
      <c r="F702">
        <v>0</v>
      </c>
      <c r="G702" s="1" t="s">
        <v>1412</v>
      </c>
      <c r="H702">
        <v>0</v>
      </c>
      <c r="I702">
        <v>0</v>
      </c>
      <c r="J702">
        <v>1</v>
      </c>
      <c r="K702">
        <v>0</v>
      </c>
      <c r="L702">
        <v>11</v>
      </c>
      <c r="M702">
        <v>0</v>
      </c>
      <c r="N702">
        <v>1</v>
      </c>
      <c r="O702">
        <v>1367340.03</v>
      </c>
    </row>
    <row r="703" spans="1:15" x14ac:dyDescent="0.3">
      <c r="A703">
        <v>59</v>
      </c>
      <c r="B703" s="1" t="s">
        <v>18</v>
      </c>
      <c r="C703">
        <v>1367340.03</v>
      </c>
      <c r="D703" s="1" t="s">
        <v>1413</v>
      </c>
      <c r="E703">
        <v>1367340.03</v>
      </c>
      <c r="F703">
        <v>0</v>
      </c>
      <c r="G703" s="1" t="s">
        <v>1414</v>
      </c>
      <c r="H703">
        <v>296833.59999999998</v>
      </c>
      <c r="I703">
        <v>1664173.63</v>
      </c>
      <c r="J703">
        <v>1</v>
      </c>
      <c r="K703">
        <v>0</v>
      </c>
      <c r="L703">
        <v>11</v>
      </c>
      <c r="M703">
        <v>0</v>
      </c>
      <c r="N703">
        <v>1</v>
      </c>
      <c r="O703">
        <v>1367340.03</v>
      </c>
    </row>
    <row r="704" spans="1:15" x14ac:dyDescent="0.3">
      <c r="A704">
        <v>60</v>
      </c>
      <c r="B704" s="1" t="s">
        <v>15</v>
      </c>
      <c r="C704">
        <v>1026208.84</v>
      </c>
      <c r="D704" s="1" t="s">
        <v>1415</v>
      </c>
      <c r="E704">
        <v>1026208.84</v>
      </c>
      <c r="F704">
        <v>0</v>
      </c>
      <c r="G704" s="1" t="s">
        <v>1416</v>
      </c>
      <c r="H704">
        <v>0</v>
      </c>
      <c r="I704">
        <v>0</v>
      </c>
      <c r="J704">
        <v>1</v>
      </c>
      <c r="K704">
        <v>0</v>
      </c>
      <c r="L704">
        <v>12</v>
      </c>
      <c r="M704">
        <v>0</v>
      </c>
      <c r="N704">
        <v>1</v>
      </c>
      <c r="O704">
        <v>1026208.84</v>
      </c>
    </row>
    <row r="705" spans="1:15" x14ac:dyDescent="0.3">
      <c r="A705">
        <v>60</v>
      </c>
      <c r="B705" s="1" t="s">
        <v>18</v>
      </c>
      <c r="C705">
        <v>1026208.84</v>
      </c>
      <c r="D705" s="1" t="s">
        <v>1417</v>
      </c>
      <c r="E705">
        <v>1026208.84</v>
      </c>
      <c r="F705">
        <v>0</v>
      </c>
      <c r="G705" s="1" t="s">
        <v>1418</v>
      </c>
      <c r="H705">
        <v>353447.51</v>
      </c>
      <c r="I705">
        <v>1379656.35</v>
      </c>
      <c r="J705">
        <v>1</v>
      </c>
      <c r="K705">
        <v>0</v>
      </c>
      <c r="L705">
        <v>12</v>
      </c>
      <c r="M705">
        <v>0</v>
      </c>
      <c r="N705">
        <v>1</v>
      </c>
      <c r="O705">
        <v>1026208.84</v>
      </c>
    </row>
    <row r="706" spans="1:15" x14ac:dyDescent="0.3">
      <c r="A706">
        <v>60</v>
      </c>
      <c r="B706" s="1" t="s">
        <v>15</v>
      </c>
      <c r="C706">
        <v>40486.25</v>
      </c>
      <c r="D706" s="1" t="s">
        <v>1419</v>
      </c>
      <c r="E706">
        <v>40486.25</v>
      </c>
      <c r="F706">
        <v>0</v>
      </c>
      <c r="G706" s="1" t="s">
        <v>1420</v>
      </c>
      <c r="H706">
        <v>0</v>
      </c>
      <c r="I706">
        <v>0</v>
      </c>
      <c r="J706">
        <v>1</v>
      </c>
      <c r="K706">
        <v>0</v>
      </c>
      <c r="L706">
        <v>12</v>
      </c>
      <c r="M706">
        <v>0</v>
      </c>
      <c r="N706">
        <v>1</v>
      </c>
      <c r="O706">
        <v>40486.25</v>
      </c>
    </row>
    <row r="707" spans="1:15" x14ac:dyDescent="0.3">
      <c r="A707">
        <v>60</v>
      </c>
      <c r="B707" s="1" t="s">
        <v>18</v>
      </c>
      <c r="C707">
        <v>40486.25</v>
      </c>
      <c r="D707" s="1" t="s">
        <v>1421</v>
      </c>
      <c r="E707">
        <v>40486.25</v>
      </c>
      <c r="F707">
        <v>0</v>
      </c>
      <c r="G707" s="1" t="s">
        <v>1422</v>
      </c>
      <c r="H707">
        <v>4716889.9000000004</v>
      </c>
      <c r="I707">
        <v>4757376.1500000004</v>
      </c>
      <c r="J707">
        <v>1</v>
      </c>
      <c r="K707">
        <v>0</v>
      </c>
      <c r="L707">
        <v>12</v>
      </c>
      <c r="M707">
        <v>0</v>
      </c>
      <c r="N707">
        <v>1</v>
      </c>
      <c r="O707">
        <v>40486.25</v>
      </c>
    </row>
    <row r="708" spans="1:15" x14ac:dyDescent="0.3">
      <c r="A708">
        <v>60</v>
      </c>
      <c r="B708" s="1" t="s">
        <v>15</v>
      </c>
      <c r="C708">
        <v>89014.32</v>
      </c>
      <c r="D708" s="1" t="s">
        <v>1423</v>
      </c>
      <c r="E708">
        <v>89014.32</v>
      </c>
      <c r="F708">
        <v>0</v>
      </c>
      <c r="G708" s="1" t="s">
        <v>1424</v>
      </c>
      <c r="H708">
        <v>0</v>
      </c>
      <c r="I708">
        <v>0</v>
      </c>
      <c r="J708">
        <v>1</v>
      </c>
      <c r="K708">
        <v>0</v>
      </c>
      <c r="L708">
        <v>12</v>
      </c>
      <c r="M708">
        <v>0</v>
      </c>
      <c r="N708">
        <v>1</v>
      </c>
      <c r="O708">
        <v>89014.32</v>
      </c>
    </row>
    <row r="709" spans="1:15" x14ac:dyDescent="0.3">
      <c r="A709">
        <v>60</v>
      </c>
      <c r="B709" s="1" t="s">
        <v>18</v>
      </c>
      <c r="C709">
        <v>89014.32</v>
      </c>
      <c r="D709" s="1" t="s">
        <v>1425</v>
      </c>
      <c r="E709">
        <v>89014.32</v>
      </c>
      <c r="F709">
        <v>0</v>
      </c>
      <c r="G709" s="1" t="s">
        <v>1426</v>
      </c>
      <c r="H709">
        <v>330651.68</v>
      </c>
      <c r="I709">
        <v>419666</v>
      </c>
      <c r="J709">
        <v>1</v>
      </c>
      <c r="K709">
        <v>0</v>
      </c>
      <c r="L709">
        <v>12</v>
      </c>
      <c r="M709">
        <v>0</v>
      </c>
      <c r="N709">
        <v>1</v>
      </c>
      <c r="O709">
        <v>89014.32</v>
      </c>
    </row>
    <row r="710" spans="1:15" x14ac:dyDescent="0.3">
      <c r="A710">
        <v>60</v>
      </c>
      <c r="B710" s="1" t="s">
        <v>15</v>
      </c>
      <c r="C710">
        <v>45807.51</v>
      </c>
      <c r="D710" s="1" t="s">
        <v>1427</v>
      </c>
      <c r="E710">
        <v>45807.51</v>
      </c>
      <c r="F710">
        <v>0</v>
      </c>
      <c r="G710" s="1" t="s">
        <v>1428</v>
      </c>
      <c r="H710">
        <v>0</v>
      </c>
      <c r="I710">
        <v>0</v>
      </c>
      <c r="J710">
        <v>1</v>
      </c>
      <c r="K710">
        <v>0</v>
      </c>
      <c r="L710">
        <v>12</v>
      </c>
      <c r="M710">
        <v>0</v>
      </c>
      <c r="N710">
        <v>1</v>
      </c>
      <c r="O710">
        <v>45807.51</v>
      </c>
    </row>
    <row r="711" spans="1:15" x14ac:dyDescent="0.3">
      <c r="A711">
        <v>60</v>
      </c>
      <c r="B711" s="1" t="s">
        <v>18</v>
      </c>
      <c r="C711">
        <v>45807.51</v>
      </c>
      <c r="D711" s="1" t="s">
        <v>1429</v>
      </c>
      <c r="E711">
        <v>45807.51</v>
      </c>
      <c r="F711">
        <v>0</v>
      </c>
      <c r="G711" s="1" t="s">
        <v>1430</v>
      </c>
      <c r="H711">
        <v>267824.05</v>
      </c>
      <c r="I711">
        <v>313631.56</v>
      </c>
      <c r="J711">
        <v>1</v>
      </c>
      <c r="K711">
        <v>0</v>
      </c>
      <c r="L711">
        <v>12</v>
      </c>
      <c r="M711">
        <v>0</v>
      </c>
      <c r="N711">
        <v>1</v>
      </c>
      <c r="O711">
        <v>45807.51</v>
      </c>
    </row>
    <row r="712" spans="1:15" x14ac:dyDescent="0.3">
      <c r="A712">
        <v>60</v>
      </c>
      <c r="B712" s="1" t="s">
        <v>15</v>
      </c>
      <c r="C712">
        <v>742973.53</v>
      </c>
      <c r="D712" s="1" t="s">
        <v>1431</v>
      </c>
      <c r="E712">
        <v>742973.53</v>
      </c>
      <c r="F712">
        <v>0</v>
      </c>
      <c r="G712" s="1" t="s">
        <v>1432</v>
      </c>
      <c r="H712">
        <v>0</v>
      </c>
      <c r="I712">
        <v>0</v>
      </c>
      <c r="J712">
        <v>1</v>
      </c>
      <c r="K712">
        <v>0</v>
      </c>
      <c r="L712">
        <v>12</v>
      </c>
      <c r="M712">
        <v>0</v>
      </c>
      <c r="N712">
        <v>1</v>
      </c>
      <c r="O712">
        <v>742973.53</v>
      </c>
    </row>
    <row r="713" spans="1:15" x14ac:dyDescent="0.3">
      <c r="A713">
        <v>60</v>
      </c>
      <c r="B713" s="1" t="s">
        <v>18</v>
      </c>
      <c r="C713">
        <v>742973.53</v>
      </c>
      <c r="D713" s="1" t="s">
        <v>1433</v>
      </c>
      <c r="E713">
        <v>742973.53</v>
      </c>
      <c r="F713">
        <v>0</v>
      </c>
      <c r="G713" s="1" t="s">
        <v>1434</v>
      </c>
      <c r="H713">
        <v>0</v>
      </c>
      <c r="I713">
        <v>742973.53</v>
      </c>
      <c r="J713">
        <v>1</v>
      </c>
      <c r="K713">
        <v>0</v>
      </c>
      <c r="L713">
        <v>12</v>
      </c>
      <c r="M713">
        <v>0</v>
      </c>
      <c r="N713">
        <v>1</v>
      </c>
      <c r="O713">
        <v>742973.53</v>
      </c>
    </row>
    <row r="714" spans="1:15" x14ac:dyDescent="0.3">
      <c r="A714">
        <v>60</v>
      </c>
      <c r="B714" s="1" t="s">
        <v>15</v>
      </c>
      <c r="C714">
        <v>581421.85</v>
      </c>
      <c r="D714" s="1" t="s">
        <v>1435</v>
      </c>
      <c r="E714">
        <v>581421.85</v>
      </c>
      <c r="F714">
        <v>0</v>
      </c>
      <c r="G714" s="1" t="s">
        <v>1436</v>
      </c>
      <c r="H714">
        <v>0</v>
      </c>
      <c r="I714">
        <v>0</v>
      </c>
      <c r="J714">
        <v>1</v>
      </c>
      <c r="K714">
        <v>0</v>
      </c>
      <c r="L714">
        <v>12</v>
      </c>
      <c r="M714">
        <v>0</v>
      </c>
      <c r="N714">
        <v>1</v>
      </c>
      <c r="O714">
        <v>581421.85</v>
      </c>
    </row>
    <row r="715" spans="1:15" x14ac:dyDescent="0.3">
      <c r="A715">
        <v>60</v>
      </c>
      <c r="B715" s="1" t="s">
        <v>18</v>
      </c>
      <c r="C715">
        <v>581421.85</v>
      </c>
      <c r="D715" s="1" t="s">
        <v>1437</v>
      </c>
      <c r="E715">
        <v>581421.85</v>
      </c>
      <c r="F715">
        <v>0</v>
      </c>
      <c r="G715" s="1" t="s">
        <v>1438</v>
      </c>
      <c r="H715">
        <v>407848.96000000002</v>
      </c>
      <c r="I715">
        <v>989270.81</v>
      </c>
      <c r="J715">
        <v>1</v>
      </c>
      <c r="K715">
        <v>0</v>
      </c>
      <c r="L715">
        <v>12</v>
      </c>
      <c r="M715">
        <v>0</v>
      </c>
      <c r="N715">
        <v>1</v>
      </c>
      <c r="O715">
        <v>581421.85</v>
      </c>
    </row>
    <row r="716" spans="1:15" x14ac:dyDescent="0.3">
      <c r="A716">
        <v>61</v>
      </c>
      <c r="B716" s="1" t="s">
        <v>15</v>
      </c>
      <c r="C716">
        <v>475368.94</v>
      </c>
      <c r="D716" s="1" t="s">
        <v>1439</v>
      </c>
      <c r="E716">
        <v>475368.94</v>
      </c>
      <c r="F716">
        <v>0</v>
      </c>
      <c r="G716" s="1" t="s">
        <v>1440</v>
      </c>
      <c r="H716">
        <v>0</v>
      </c>
      <c r="I716">
        <v>0</v>
      </c>
      <c r="J716">
        <v>1</v>
      </c>
      <c r="K716">
        <v>0</v>
      </c>
      <c r="L716">
        <v>13</v>
      </c>
      <c r="M716">
        <v>0</v>
      </c>
      <c r="N716">
        <v>1</v>
      </c>
      <c r="O716">
        <v>475368.94</v>
      </c>
    </row>
    <row r="717" spans="1:15" x14ac:dyDescent="0.3">
      <c r="A717">
        <v>61</v>
      </c>
      <c r="B717" s="1" t="s">
        <v>18</v>
      </c>
      <c r="C717">
        <v>475368.94</v>
      </c>
      <c r="D717" s="1" t="s">
        <v>1441</v>
      </c>
      <c r="E717">
        <v>475368.94</v>
      </c>
      <c r="F717">
        <v>0</v>
      </c>
      <c r="G717" s="1" t="s">
        <v>1442</v>
      </c>
      <c r="H717">
        <v>1348026.73</v>
      </c>
      <c r="I717">
        <v>1823395.67</v>
      </c>
      <c r="J717">
        <v>1</v>
      </c>
      <c r="K717">
        <v>0</v>
      </c>
      <c r="L717">
        <v>13</v>
      </c>
      <c r="M717">
        <v>0</v>
      </c>
      <c r="N717">
        <v>1</v>
      </c>
      <c r="O717">
        <v>475368.94</v>
      </c>
    </row>
    <row r="718" spans="1:15" x14ac:dyDescent="0.3">
      <c r="A718">
        <v>61</v>
      </c>
      <c r="B718" s="1" t="s">
        <v>15</v>
      </c>
      <c r="C718">
        <v>1735466.52</v>
      </c>
      <c r="D718" s="1" t="s">
        <v>1443</v>
      </c>
      <c r="E718">
        <v>1735466.52</v>
      </c>
      <c r="F718">
        <v>0</v>
      </c>
      <c r="G718" s="1" t="s">
        <v>1444</v>
      </c>
      <c r="H718">
        <v>0</v>
      </c>
      <c r="I718">
        <v>0</v>
      </c>
      <c r="J718">
        <v>1</v>
      </c>
      <c r="K718">
        <v>0</v>
      </c>
      <c r="L718">
        <v>13</v>
      </c>
      <c r="M718">
        <v>0</v>
      </c>
      <c r="N718">
        <v>1</v>
      </c>
      <c r="O718">
        <v>1735466.52</v>
      </c>
    </row>
    <row r="719" spans="1:15" x14ac:dyDescent="0.3">
      <c r="A719">
        <v>61</v>
      </c>
      <c r="B719" s="1" t="s">
        <v>18</v>
      </c>
      <c r="C719">
        <v>1735466.52</v>
      </c>
      <c r="D719" s="1" t="s">
        <v>1445</v>
      </c>
      <c r="E719">
        <v>1735466.52</v>
      </c>
      <c r="F719">
        <v>0</v>
      </c>
      <c r="G719" s="1" t="s">
        <v>1446</v>
      </c>
      <c r="H719">
        <v>0</v>
      </c>
      <c r="I719">
        <v>1735466.52</v>
      </c>
      <c r="J719">
        <v>1</v>
      </c>
      <c r="K719">
        <v>0</v>
      </c>
      <c r="L719">
        <v>13</v>
      </c>
      <c r="M719">
        <v>0</v>
      </c>
      <c r="N719">
        <v>1</v>
      </c>
      <c r="O719">
        <v>1735466.52</v>
      </c>
    </row>
    <row r="720" spans="1:15" x14ac:dyDescent="0.3">
      <c r="A720">
        <v>61</v>
      </c>
      <c r="B720" s="1" t="s">
        <v>15</v>
      </c>
      <c r="C720">
        <v>37720.99</v>
      </c>
      <c r="D720" s="1" t="s">
        <v>1447</v>
      </c>
      <c r="E720">
        <v>37720.99</v>
      </c>
      <c r="F720">
        <v>0</v>
      </c>
      <c r="G720" s="1" t="s">
        <v>1448</v>
      </c>
      <c r="H720">
        <v>0</v>
      </c>
      <c r="I720">
        <v>0</v>
      </c>
      <c r="J720">
        <v>1</v>
      </c>
      <c r="K720">
        <v>0</v>
      </c>
      <c r="L720">
        <v>13</v>
      </c>
      <c r="M720">
        <v>0</v>
      </c>
      <c r="N720">
        <v>1</v>
      </c>
      <c r="O720">
        <v>37720.99</v>
      </c>
    </row>
    <row r="721" spans="1:15" x14ac:dyDescent="0.3">
      <c r="A721">
        <v>61</v>
      </c>
      <c r="B721" s="1" t="s">
        <v>18</v>
      </c>
      <c r="C721">
        <v>37720.99</v>
      </c>
      <c r="D721" s="1" t="s">
        <v>1449</v>
      </c>
      <c r="E721">
        <v>37720.99</v>
      </c>
      <c r="F721">
        <v>0</v>
      </c>
      <c r="G721" s="1" t="s">
        <v>1450</v>
      </c>
      <c r="H721">
        <v>288804.07</v>
      </c>
      <c r="I721">
        <v>326525.06</v>
      </c>
      <c r="J721">
        <v>1</v>
      </c>
      <c r="K721">
        <v>0</v>
      </c>
      <c r="L721">
        <v>13</v>
      </c>
      <c r="M721">
        <v>0</v>
      </c>
      <c r="N721">
        <v>1</v>
      </c>
      <c r="O721">
        <v>37720.99</v>
      </c>
    </row>
    <row r="722" spans="1:15" x14ac:dyDescent="0.3">
      <c r="A722">
        <v>61</v>
      </c>
      <c r="B722" s="1" t="s">
        <v>15</v>
      </c>
      <c r="C722">
        <v>1372301.24</v>
      </c>
      <c r="D722" s="1" t="s">
        <v>1451</v>
      </c>
      <c r="E722">
        <v>1372301.24</v>
      </c>
      <c r="F722">
        <v>0</v>
      </c>
      <c r="G722" s="1" t="s">
        <v>1452</v>
      </c>
      <c r="H722">
        <v>0</v>
      </c>
      <c r="I722">
        <v>0</v>
      </c>
      <c r="J722">
        <v>1</v>
      </c>
      <c r="K722">
        <v>0</v>
      </c>
      <c r="L722">
        <v>13</v>
      </c>
      <c r="M722">
        <v>0</v>
      </c>
      <c r="N722">
        <v>1</v>
      </c>
      <c r="O722">
        <v>1372301.24</v>
      </c>
    </row>
    <row r="723" spans="1:15" x14ac:dyDescent="0.3">
      <c r="A723">
        <v>61</v>
      </c>
      <c r="B723" s="1" t="s">
        <v>18</v>
      </c>
      <c r="C723">
        <v>1372301.24</v>
      </c>
      <c r="D723" s="1" t="s">
        <v>1453</v>
      </c>
      <c r="E723">
        <v>1372301.24</v>
      </c>
      <c r="F723">
        <v>0</v>
      </c>
      <c r="G723" s="1" t="s">
        <v>1454</v>
      </c>
      <c r="H723">
        <v>0</v>
      </c>
      <c r="I723">
        <v>1372301.24</v>
      </c>
      <c r="J723">
        <v>1</v>
      </c>
      <c r="K723">
        <v>0</v>
      </c>
      <c r="L723">
        <v>13</v>
      </c>
      <c r="M723">
        <v>0</v>
      </c>
      <c r="N723">
        <v>1</v>
      </c>
      <c r="O723">
        <v>1372301.24</v>
      </c>
    </row>
    <row r="724" spans="1:15" x14ac:dyDescent="0.3">
      <c r="A724">
        <v>61</v>
      </c>
      <c r="B724" s="1" t="s">
        <v>15</v>
      </c>
      <c r="C724">
        <v>332138.32</v>
      </c>
      <c r="D724" s="1" t="s">
        <v>1455</v>
      </c>
      <c r="E724">
        <v>332138.32</v>
      </c>
      <c r="F724">
        <v>0</v>
      </c>
      <c r="G724" s="1" t="s">
        <v>1456</v>
      </c>
      <c r="H724">
        <v>0</v>
      </c>
      <c r="I724">
        <v>0</v>
      </c>
      <c r="J724">
        <v>1</v>
      </c>
      <c r="K724">
        <v>0</v>
      </c>
      <c r="L724">
        <v>13</v>
      </c>
      <c r="M724">
        <v>0</v>
      </c>
      <c r="N724">
        <v>1</v>
      </c>
      <c r="O724">
        <v>332138.32</v>
      </c>
    </row>
    <row r="725" spans="1:15" x14ac:dyDescent="0.3">
      <c r="A725">
        <v>61</v>
      </c>
      <c r="B725" s="1" t="s">
        <v>18</v>
      </c>
      <c r="C725">
        <v>332138.32</v>
      </c>
      <c r="D725" s="1" t="s">
        <v>1457</v>
      </c>
      <c r="E725">
        <v>332138.32</v>
      </c>
      <c r="F725">
        <v>0</v>
      </c>
      <c r="G725" s="1" t="s">
        <v>1458</v>
      </c>
      <c r="H725">
        <v>52021.34</v>
      </c>
      <c r="I725">
        <v>384159.66</v>
      </c>
      <c r="J725">
        <v>1</v>
      </c>
      <c r="K725">
        <v>0</v>
      </c>
      <c r="L725">
        <v>13</v>
      </c>
      <c r="M725">
        <v>0</v>
      </c>
      <c r="N725">
        <v>1</v>
      </c>
      <c r="O725">
        <v>332138.32</v>
      </c>
    </row>
    <row r="726" spans="1:15" x14ac:dyDescent="0.3">
      <c r="A726">
        <v>61</v>
      </c>
      <c r="B726" s="1" t="s">
        <v>15</v>
      </c>
      <c r="C726">
        <v>55062.46</v>
      </c>
      <c r="D726" s="1" t="s">
        <v>1459</v>
      </c>
      <c r="E726">
        <v>55062.46</v>
      </c>
      <c r="F726">
        <v>0</v>
      </c>
      <c r="G726" s="1" t="s">
        <v>1460</v>
      </c>
      <c r="H726">
        <v>0</v>
      </c>
      <c r="I726">
        <v>0</v>
      </c>
      <c r="J726">
        <v>1</v>
      </c>
      <c r="K726">
        <v>0</v>
      </c>
      <c r="L726">
        <v>13</v>
      </c>
      <c r="M726">
        <v>0</v>
      </c>
      <c r="N726">
        <v>1</v>
      </c>
      <c r="O726">
        <v>55062.46</v>
      </c>
    </row>
    <row r="727" spans="1:15" x14ac:dyDescent="0.3">
      <c r="A727">
        <v>61</v>
      </c>
      <c r="B727" s="1" t="s">
        <v>18</v>
      </c>
      <c r="C727">
        <v>55062.46</v>
      </c>
      <c r="D727" s="1" t="s">
        <v>1461</v>
      </c>
      <c r="E727">
        <v>55062.46</v>
      </c>
      <c r="F727">
        <v>0</v>
      </c>
      <c r="G727" s="1" t="s">
        <v>1462</v>
      </c>
      <c r="H727">
        <v>0</v>
      </c>
      <c r="I727">
        <v>55062.46</v>
      </c>
      <c r="J727">
        <v>1</v>
      </c>
      <c r="K727">
        <v>0</v>
      </c>
      <c r="L727">
        <v>13</v>
      </c>
      <c r="M727">
        <v>0</v>
      </c>
      <c r="N727">
        <v>1</v>
      </c>
      <c r="O727">
        <v>55062.46</v>
      </c>
    </row>
    <row r="728" spans="1:15" x14ac:dyDescent="0.3">
      <c r="A728">
        <v>61</v>
      </c>
      <c r="B728" s="1" t="s">
        <v>15</v>
      </c>
      <c r="C728">
        <v>1155128.9099999999</v>
      </c>
      <c r="D728" s="1" t="s">
        <v>1463</v>
      </c>
      <c r="E728">
        <v>1155128.9099999999</v>
      </c>
      <c r="F728">
        <v>0</v>
      </c>
      <c r="G728" s="1" t="s">
        <v>1464</v>
      </c>
      <c r="H728">
        <v>0</v>
      </c>
      <c r="I728">
        <v>0</v>
      </c>
      <c r="J728">
        <v>1</v>
      </c>
      <c r="K728">
        <v>0</v>
      </c>
      <c r="L728">
        <v>13</v>
      </c>
      <c r="M728">
        <v>0</v>
      </c>
      <c r="N728">
        <v>1</v>
      </c>
      <c r="O728">
        <v>1155128.9099999999</v>
      </c>
    </row>
    <row r="729" spans="1:15" x14ac:dyDescent="0.3">
      <c r="A729">
        <v>61</v>
      </c>
      <c r="B729" s="1" t="s">
        <v>18</v>
      </c>
      <c r="C729">
        <v>1155128.9099999999</v>
      </c>
      <c r="D729" s="1" t="s">
        <v>1465</v>
      </c>
      <c r="E729">
        <v>1155128.9099999999</v>
      </c>
      <c r="F729">
        <v>0</v>
      </c>
      <c r="G729" s="1" t="s">
        <v>1466</v>
      </c>
      <c r="H729">
        <v>0</v>
      </c>
      <c r="I729">
        <v>1155128.9099999999</v>
      </c>
      <c r="J729">
        <v>1</v>
      </c>
      <c r="K729">
        <v>0</v>
      </c>
      <c r="L729">
        <v>13</v>
      </c>
      <c r="M729">
        <v>0</v>
      </c>
      <c r="N729">
        <v>1</v>
      </c>
      <c r="O729">
        <v>1155128.9099999999</v>
      </c>
    </row>
    <row r="730" spans="1:15" x14ac:dyDescent="0.3">
      <c r="A730">
        <v>62</v>
      </c>
      <c r="B730" s="1" t="s">
        <v>15</v>
      </c>
      <c r="C730">
        <v>401529.35</v>
      </c>
      <c r="D730" s="1" t="s">
        <v>1467</v>
      </c>
      <c r="E730">
        <v>401529.35</v>
      </c>
      <c r="F730">
        <v>0</v>
      </c>
      <c r="G730" s="1" t="s">
        <v>1468</v>
      </c>
      <c r="H730">
        <v>0</v>
      </c>
      <c r="I730">
        <v>0</v>
      </c>
      <c r="J730">
        <v>1</v>
      </c>
      <c r="K730">
        <v>0</v>
      </c>
      <c r="L730">
        <v>14</v>
      </c>
      <c r="M730">
        <v>0</v>
      </c>
      <c r="N730">
        <v>1</v>
      </c>
      <c r="O730">
        <v>401529.35</v>
      </c>
    </row>
    <row r="731" spans="1:15" x14ac:dyDescent="0.3">
      <c r="A731">
        <v>62</v>
      </c>
      <c r="B731" s="1" t="s">
        <v>18</v>
      </c>
      <c r="C731">
        <v>401529.35</v>
      </c>
      <c r="D731" s="1" t="s">
        <v>1469</v>
      </c>
      <c r="E731">
        <v>401529.35</v>
      </c>
      <c r="F731">
        <v>0</v>
      </c>
      <c r="G731" s="1" t="s">
        <v>1470</v>
      </c>
      <c r="H731">
        <v>4162.42</v>
      </c>
      <c r="I731">
        <v>405691.77</v>
      </c>
      <c r="J731">
        <v>1</v>
      </c>
      <c r="K731">
        <v>0</v>
      </c>
      <c r="L731">
        <v>14</v>
      </c>
      <c r="M731">
        <v>0</v>
      </c>
      <c r="N731">
        <v>1</v>
      </c>
      <c r="O731">
        <v>401529.35</v>
      </c>
    </row>
    <row r="732" spans="1:15" x14ac:dyDescent="0.3">
      <c r="A732">
        <v>62</v>
      </c>
      <c r="B732" s="1" t="s">
        <v>15</v>
      </c>
      <c r="C732">
        <v>722380.88</v>
      </c>
      <c r="D732" s="1" t="s">
        <v>1471</v>
      </c>
      <c r="E732">
        <v>722380.88</v>
      </c>
      <c r="F732">
        <v>0</v>
      </c>
      <c r="G732" s="1" t="s">
        <v>1472</v>
      </c>
      <c r="H732">
        <v>0</v>
      </c>
      <c r="I732">
        <v>0</v>
      </c>
      <c r="J732">
        <v>1</v>
      </c>
      <c r="K732">
        <v>0</v>
      </c>
      <c r="L732">
        <v>14</v>
      </c>
      <c r="M732">
        <v>0</v>
      </c>
      <c r="N732">
        <v>1</v>
      </c>
      <c r="O732">
        <v>722380.88</v>
      </c>
    </row>
    <row r="733" spans="1:15" x14ac:dyDescent="0.3">
      <c r="A733">
        <v>62</v>
      </c>
      <c r="B733" s="1" t="s">
        <v>18</v>
      </c>
      <c r="C733">
        <v>722380.88</v>
      </c>
      <c r="D733" s="1" t="s">
        <v>1473</v>
      </c>
      <c r="E733">
        <v>722380.88</v>
      </c>
      <c r="F733">
        <v>0</v>
      </c>
      <c r="G733" s="1" t="s">
        <v>1474</v>
      </c>
      <c r="H733">
        <v>331969.08</v>
      </c>
      <c r="I733">
        <v>1054349.95</v>
      </c>
      <c r="J733">
        <v>1</v>
      </c>
      <c r="K733">
        <v>0</v>
      </c>
      <c r="L733">
        <v>14</v>
      </c>
      <c r="M733">
        <v>0</v>
      </c>
      <c r="N733">
        <v>1</v>
      </c>
      <c r="O733">
        <v>722380.88</v>
      </c>
    </row>
    <row r="734" spans="1:15" x14ac:dyDescent="0.3">
      <c r="A734">
        <v>62</v>
      </c>
      <c r="B734" s="1" t="s">
        <v>15</v>
      </c>
      <c r="C734">
        <v>724414.43</v>
      </c>
      <c r="D734" s="1" t="s">
        <v>1475</v>
      </c>
      <c r="E734">
        <v>724414.43</v>
      </c>
      <c r="F734">
        <v>0</v>
      </c>
      <c r="G734" s="1" t="s">
        <v>1476</v>
      </c>
      <c r="H734">
        <v>0</v>
      </c>
      <c r="I734">
        <v>0</v>
      </c>
      <c r="J734">
        <v>1</v>
      </c>
      <c r="K734">
        <v>0</v>
      </c>
      <c r="L734">
        <v>14</v>
      </c>
      <c r="M734">
        <v>0</v>
      </c>
      <c r="N734">
        <v>1</v>
      </c>
      <c r="O734">
        <v>724414.43</v>
      </c>
    </row>
    <row r="735" spans="1:15" x14ac:dyDescent="0.3">
      <c r="A735">
        <v>62</v>
      </c>
      <c r="B735" s="1" t="s">
        <v>18</v>
      </c>
      <c r="C735">
        <v>724414.43</v>
      </c>
      <c r="D735" s="1" t="s">
        <v>1477</v>
      </c>
      <c r="E735">
        <v>724414.43</v>
      </c>
      <c r="F735">
        <v>0</v>
      </c>
      <c r="G735" s="1" t="s">
        <v>1478</v>
      </c>
      <c r="H735">
        <v>223853.38</v>
      </c>
      <c r="I735">
        <v>948267.81</v>
      </c>
      <c r="J735">
        <v>1</v>
      </c>
      <c r="K735">
        <v>0</v>
      </c>
      <c r="L735">
        <v>14</v>
      </c>
      <c r="M735">
        <v>0</v>
      </c>
      <c r="N735">
        <v>1</v>
      </c>
      <c r="O735">
        <v>724414.43</v>
      </c>
    </row>
    <row r="736" spans="1:15" x14ac:dyDescent="0.3">
      <c r="A736">
        <v>62</v>
      </c>
      <c r="B736" s="1" t="s">
        <v>15</v>
      </c>
      <c r="C736">
        <v>407833.62</v>
      </c>
      <c r="D736" s="1" t="s">
        <v>1479</v>
      </c>
      <c r="E736">
        <v>407833.62</v>
      </c>
      <c r="F736">
        <v>0</v>
      </c>
      <c r="G736" s="1" t="s">
        <v>1480</v>
      </c>
      <c r="H736">
        <v>0</v>
      </c>
      <c r="I736">
        <v>0</v>
      </c>
      <c r="J736">
        <v>1</v>
      </c>
      <c r="K736">
        <v>0</v>
      </c>
      <c r="L736">
        <v>14</v>
      </c>
      <c r="M736">
        <v>0</v>
      </c>
      <c r="N736">
        <v>1</v>
      </c>
      <c r="O736">
        <v>407833.62</v>
      </c>
    </row>
    <row r="737" spans="1:15" x14ac:dyDescent="0.3">
      <c r="A737">
        <v>62</v>
      </c>
      <c r="B737" s="1" t="s">
        <v>18</v>
      </c>
      <c r="C737">
        <v>407833.62</v>
      </c>
      <c r="D737" s="1" t="s">
        <v>1481</v>
      </c>
      <c r="E737">
        <v>407833.62</v>
      </c>
      <c r="F737">
        <v>0</v>
      </c>
      <c r="G737" s="1" t="s">
        <v>1482</v>
      </c>
      <c r="H737">
        <v>0</v>
      </c>
      <c r="I737">
        <v>407833.62</v>
      </c>
      <c r="J737">
        <v>1</v>
      </c>
      <c r="K737">
        <v>0</v>
      </c>
      <c r="L737">
        <v>14</v>
      </c>
      <c r="M737">
        <v>0</v>
      </c>
      <c r="N737">
        <v>1</v>
      </c>
      <c r="O737">
        <v>407833.62</v>
      </c>
    </row>
    <row r="738" spans="1:15" x14ac:dyDescent="0.3">
      <c r="A738">
        <v>63</v>
      </c>
      <c r="B738" s="1" t="s">
        <v>15</v>
      </c>
      <c r="C738">
        <v>148188.84</v>
      </c>
      <c r="D738" s="1" t="s">
        <v>1483</v>
      </c>
      <c r="E738">
        <v>148188.84</v>
      </c>
      <c r="F738">
        <v>0</v>
      </c>
      <c r="G738" s="1" t="s">
        <v>1484</v>
      </c>
      <c r="H738">
        <v>0</v>
      </c>
      <c r="I738">
        <v>0</v>
      </c>
      <c r="J738">
        <v>1</v>
      </c>
      <c r="K738">
        <v>0</v>
      </c>
      <c r="L738">
        <v>15</v>
      </c>
      <c r="M738">
        <v>0</v>
      </c>
      <c r="N738">
        <v>1</v>
      </c>
      <c r="O738">
        <v>148188.84</v>
      </c>
    </row>
    <row r="739" spans="1:15" x14ac:dyDescent="0.3">
      <c r="A739">
        <v>63</v>
      </c>
      <c r="B739" s="1" t="s">
        <v>18</v>
      </c>
      <c r="C739">
        <v>148188.84</v>
      </c>
      <c r="D739" s="1" t="s">
        <v>1485</v>
      </c>
      <c r="E739">
        <v>148188.84</v>
      </c>
      <c r="F739">
        <v>0</v>
      </c>
      <c r="G739" s="1" t="s">
        <v>1486</v>
      </c>
      <c r="H739">
        <v>194134.25</v>
      </c>
      <c r="I739">
        <v>342323.08</v>
      </c>
      <c r="J739">
        <v>1</v>
      </c>
      <c r="K739">
        <v>0</v>
      </c>
      <c r="L739">
        <v>15</v>
      </c>
      <c r="M739">
        <v>0</v>
      </c>
      <c r="N739">
        <v>1</v>
      </c>
      <c r="O739">
        <v>148188.84</v>
      </c>
    </row>
    <row r="740" spans="1:15" x14ac:dyDescent="0.3">
      <c r="A740">
        <v>63</v>
      </c>
      <c r="B740" s="1" t="s">
        <v>15</v>
      </c>
      <c r="C740">
        <v>1693962.01</v>
      </c>
      <c r="D740" s="1" t="s">
        <v>1487</v>
      </c>
      <c r="E740">
        <v>1693962.01</v>
      </c>
      <c r="F740">
        <v>0</v>
      </c>
      <c r="G740" s="1" t="s">
        <v>1488</v>
      </c>
      <c r="H740">
        <v>0</v>
      </c>
      <c r="I740">
        <v>0</v>
      </c>
      <c r="J740">
        <v>1</v>
      </c>
      <c r="K740">
        <v>0</v>
      </c>
      <c r="L740">
        <v>15</v>
      </c>
      <c r="M740">
        <v>0</v>
      </c>
      <c r="N740">
        <v>1</v>
      </c>
      <c r="O740">
        <v>1693962.01</v>
      </c>
    </row>
    <row r="741" spans="1:15" x14ac:dyDescent="0.3">
      <c r="A741">
        <v>63</v>
      </c>
      <c r="B741" s="1" t="s">
        <v>18</v>
      </c>
      <c r="C741">
        <v>1693962.01</v>
      </c>
      <c r="D741" s="1" t="s">
        <v>1489</v>
      </c>
      <c r="E741">
        <v>1693962.01</v>
      </c>
      <c r="F741">
        <v>0</v>
      </c>
      <c r="G741" s="1" t="s">
        <v>1490</v>
      </c>
      <c r="H741">
        <v>98505.53</v>
      </c>
      <c r="I741">
        <v>1792467.54</v>
      </c>
      <c r="J741">
        <v>1</v>
      </c>
      <c r="K741">
        <v>0</v>
      </c>
      <c r="L741">
        <v>15</v>
      </c>
      <c r="M741">
        <v>0</v>
      </c>
      <c r="N741">
        <v>1</v>
      </c>
      <c r="O741">
        <v>1693962.01</v>
      </c>
    </row>
    <row r="742" spans="1:15" x14ac:dyDescent="0.3">
      <c r="A742">
        <v>63</v>
      </c>
      <c r="B742" s="1" t="s">
        <v>15</v>
      </c>
      <c r="C742">
        <v>14017.38</v>
      </c>
      <c r="D742" s="1" t="s">
        <v>1491</v>
      </c>
      <c r="E742">
        <v>14017.38</v>
      </c>
      <c r="F742">
        <v>0</v>
      </c>
      <c r="G742" s="1" t="s">
        <v>1492</v>
      </c>
      <c r="H742">
        <v>0</v>
      </c>
      <c r="I742">
        <v>0</v>
      </c>
      <c r="J742">
        <v>1</v>
      </c>
      <c r="K742">
        <v>0</v>
      </c>
      <c r="L742">
        <v>15</v>
      </c>
      <c r="M742">
        <v>0</v>
      </c>
      <c r="N742">
        <v>1</v>
      </c>
      <c r="O742">
        <v>14017.38</v>
      </c>
    </row>
    <row r="743" spans="1:15" x14ac:dyDescent="0.3">
      <c r="A743">
        <v>63</v>
      </c>
      <c r="B743" s="1" t="s">
        <v>18</v>
      </c>
      <c r="C743">
        <v>14017.38</v>
      </c>
      <c r="D743" s="1" t="s">
        <v>1493</v>
      </c>
      <c r="E743">
        <v>14017.38</v>
      </c>
      <c r="F743">
        <v>0</v>
      </c>
      <c r="G743" s="1" t="s">
        <v>1494</v>
      </c>
      <c r="H743">
        <v>0</v>
      </c>
      <c r="I743">
        <v>14017.38</v>
      </c>
      <c r="J743">
        <v>1</v>
      </c>
      <c r="K743">
        <v>0</v>
      </c>
      <c r="L743">
        <v>15</v>
      </c>
      <c r="M743">
        <v>0</v>
      </c>
      <c r="N743">
        <v>1</v>
      </c>
      <c r="O743">
        <v>14017.38</v>
      </c>
    </row>
    <row r="744" spans="1:15" x14ac:dyDescent="0.3">
      <c r="A744">
        <v>63</v>
      </c>
      <c r="B744" s="1" t="s">
        <v>15</v>
      </c>
      <c r="C744">
        <v>197226.65</v>
      </c>
      <c r="D744" s="1" t="s">
        <v>1495</v>
      </c>
      <c r="E744">
        <v>197226.65</v>
      </c>
      <c r="F744">
        <v>0</v>
      </c>
      <c r="G744" s="1" t="s">
        <v>1496</v>
      </c>
      <c r="H744">
        <v>0</v>
      </c>
      <c r="I744">
        <v>0</v>
      </c>
      <c r="J744">
        <v>1</v>
      </c>
      <c r="K744">
        <v>0</v>
      </c>
      <c r="L744">
        <v>15</v>
      </c>
      <c r="M744">
        <v>0</v>
      </c>
      <c r="N744">
        <v>1</v>
      </c>
      <c r="O744">
        <v>197226.65</v>
      </c>
    </row>
    <row r="745" spans="1:15" x14ac:dyDescent="0.3">
      <c r="A745">
        <v>63</v>
      </c>
      <c r="B745" s="1" t="s">
        <v>18</v>
      </c>
      <c r="C745">
        <v>197226.65</v>
      </c>
      <c r="D745" s="1" t="s">
        <v>1497</v>
      </c>
      <c r="E745">
        <v>197226.65</v>
      </c>
      <c r="F745">
        <v>0</v>
      </c>
      <c r="G745" s="1" t="s">
        <v>1498</v>
      </c>
      <c r="H745">
        <v>0</v>
      </c>
      <c r="I745">
        <v>197226.65</v>
      </c>
      <c r="J745">
        <v>1</v>
      </c>
      <c r="K745">
        <v>0</v>
      </c>
      <c r="L745">
        <v>15</v>
      </c>
      <c r="M745">
        <v>0</v>
      </c>
      <c r="N745">
        <v>1</v>
      </c>
      <c r="O745">
        <v>197226.65</v>
      </c>
    </row>
    <row r="746" spans="1:15" x14ac:dyDescent="0.3">
      <c r="A746">
        <v>64</v>
      </c>
      <c r="B746" s="1" t="s">
        <v>15</v>
      </c>
      <c r="C746">
        <v>31574.65</v>
      </c>
      <c r="D746" s="1" t="s">
        <v>1499</v>
      </c>
      <c r="E746">
        <v>31574.65</v>
      </c>
      <c r="F746">
        <v>0</v>
      </c>
      <c r="G746" s="1" t="s">
        <v>1500</v>
      </c>
      <c r="H746">
        <v>0</v>
      </c>
      <c r="I746">
        <v>0</v>
      </c>
      <c r="J746">
        <v>1</v>
      </c>
      <c r="K746">
        <v>0</v>
      </c>
      <c r="L746">
        <v>16</v>
      </c>
      <c r="M746">
        <v>0</v>
      </c>
      <c r="N746">
        <v>1</v>
      </c>
      <c r="O746">
        <v>31574.65</v>
      </c>
    </row>
    <row r="747" spans="1:15" x14ac:dyDescent="0.3">
      <c r="A747">
        <v>64</v>
      </c>
      <c r="B747" s="1" t="s">
        <v>18</v>
      </c>
      <c r="C747">
        <v>31574.65</v>
      </c>
      <c r="D747" s="1" t="s">
        <v>1501</v>
      </c>
      <c r="E747">
        <v>31574.65</v>
      </c>
      <c r="F747">
        <v>0</v>
      </c>
      <c r="G747" s="1" t="s">
        <v>1502</v>
      </c>
      <c r="H747">
        <v>199385.83</v>
      </c>
      <c r="I747">
        <v>230960.48</v>
      </c>
      <c r="J747">
        <v>1</v>
      </c>
      <c r="K747">
        <v>0</v>
      </c>
      <c r="L747">
        <v>16</v>
      </c>
      <c r="M747">
        <v>0</v>
      </c>
      <c r="N747">
        <v>1</v>
      </c>
      <c r="O747">
        <v>31574.65</v>
      </c>
    </row>
    <row r="748" spans="1:15" x14ac:dyDescent="0.3">
      <c r="A748">
        <v>64</v>
      </c>
      <c r="B748" s="1" t="s">
        <v>15</v>
      </c>
      <c r="C748">
        <v>37796.75</v>
      </c>
      <c r="D748" s="1" t="s">
        <v>1503</v>
      </c>
      <c r="E748">
        <v>37796.75</v>
      </c>
      <c r="F748">
        <v>0</v>
      </c>
      <c r="G748" s="1" t="s">
        <v>1504</v>
      </c>
      <c r="H748">
        <v>0</v>
      </c>
      <c r="I748">
        <v>0</v>
      </c>
      <c r="J748">
        <v>1</v>
      </c>
      <c r="K748">
        <v>0</v>
      </c>
      <c r="L748">
        <v>16</v>
      </c>
      <c r="M748">
        <v>0</v>
      </c>
      <c r="N748">
        <v>1</v>
      </c>
      <c r="O748">
        <v>37796.75</v>
      </c>
    </row>
    <row r="749" spans="1:15" x14ac:dyDescent="0.3">
      <c r="A749">
        <v>64</v>
      </c>
      <c r="B749" s="1" t="s">
        <v>18</v>
      </c>
      <c r="C749">
        <v>37796.75</v>
      </c>
      <c r="D749" s="1" t="s">
        <v>1505</v>
      </c>
      <c r="E749">
        <v>37796.75</v>
      </c>
      <c r="F749">
        <v>0</v>
      </c>
      <c r="G749" s="1" t="s">
        <v>1506</v>
      </c>
      <c r="H749">
        <v>211905.39</v>
      </c>
      <c r="I749">
        <v>249702.14</v>
      </c>
      <c r="J749">
        <v>1</v>
      </c>
      <c r="K749">
        <v>0</v>
      </c>
      <c r="L749">
        <v>16</v>
      </c>
      <c r="M749">
        <v>0</v>
      </c>
      <c r="N749">
        <v>1</v>
      </c>
      <c r="O749">
        <v>37796.75</v>
      </c>
    </row>
    <row r="750" spans="1:15" x14ac:dyDescent="0.3">
      <c r="A750">
        <v>64</v>
      </c>
      <c r="B750" s="1" t="s">
        <v>15</v>
      </c>
      <c r="C750">
        <v>17051.689999999999</v>
      </c>
      <c r="D750" s="1" t="s">
        <v>1507</v>
      </c>
      <c r="E750">
        <v>17051.689999999999</v>
      </c>
      <c r="F750">
        <v>0</v>
      </c>
      <c r="G750" s="1" t="s">
        <v>1508</v>
      </c>
      <c r="H750">
        <v>0</v>
      </c>
      <c r="I750">
        <v>0</v>
      </c>
      <c r="J750">
        <v>1</v>
      </c>
      <c r="K750">
        <v>0</v>
      </c>
      <c r="L750">
        <v>16</v>
      </c>
      <c r="M750">
        <v>0</v>
      </c>
      <c r="N750">
        <v>1</v>
      </c>
      <c r="O750">
        <v>17051.689999999999</v>
      </c>
    </row>
    <row r="751" spans="1:15" x14ac:dyDescent="0.3">
      <c r="A751">
        <v>64</v>
      </c>
      <c r="B751" s="1" t="s">
        <v>18</v>
      </c>
      <c r="C751">
        <v>17051.689999999999</v>
      </c>
      <c r="D751" s="1" t="s">
        <v>1509</v>
      </c>
      <c r="E751">
        <v>17051.689999999999</v>
      </c>
      <c r="F751">
        <v>0</v>
      </c>
      <c r="G751" s="1" t="s">
        <v>1510</v>
      </c>
      <c r="H751">
        <v>289129.2</v>
      </c>
      <c r="I751">
        <v>306180.89</v>
      </c>
      <c r="J751">
        <v>1</v>
      </c>
      <c r="K751">
        <v>0</v>
      </c>
      <c r="L751">
        <v>16</v>
      </c>
      <c r="M751">
        <v>0</v>
      </c>
      <c r="N751">
        <v>1</v>
      </c>
      <c r="O751">
        <v>17051.689999999999</v>
      </c>
    </row>
    <row r="752" spans="1:15" x14ac:dyDescent="0.3">
      <c r="A752">
        <v>64</v>
      </c>
      <c r="B752" s="1" t="s">
        <v>15</v>
      </c>
      <c r="C752">
        <v>960306.85</v>
      </c>
      <c r="D752" s="1" t="s">
        <v>1511</v>
      </c>
      <c r="E752">
        <v>960306.85</v>
      </c>
      <c r="F752">
        <v>0</v>
      </c>
      <c r="G752" s="1" t="s">
        <v>1512</v>
      </c>
      <c r="H752">
        <v>0</v>
      </c>
      <c r="I752">
        <v>0</v>
      </c>
      <c r="J752">
        <v>1</v>
      </c>
      <c r="K752">
        <v>0</v>
      </c>
      <c r="L752">
        <v>16</v>
      </c>
      <c r="M752">
        <v>0</v>
      </c>
      <c r="N752">
        <v>1</v>
      </c>
      <c r="O752">
        <v>960306.85</v>
      </c>
    </row>
    <row r="753" spans="1:15" x14ac:dyDescent="0.3">
      <c r="A753">
        <v>64</v>
      </c>
      <c r="B753" s="1" t="s">
        <v>18</v>
      </c>
      <c r="C753">
        <v>960306.85</v>
      </c>
      <c r="D753" s="1" t="s">
        <v>1513</v>
      </c>
      <c r="E753">
        <v>960306.85</v>
      </c>
      <c r="F753">
        <v>0</v>
      </c>
      <c r="G753" s="1" t="s">
        <v>1514</v>
      </c>
      <c r="H753">
        <v>0</v>
      </c>
      <c r="I753">
        <v>960306.85</v>
      </c>
      <c r="J753">
        <v>1</v>
      </c>
      <c r="K753">
        <v>0</v>
      </c>
      <c r="L753">
        <v>16</v>
      </c>
      <c r="M753">
        <v>0</v>
      </c>
      <c r="N753">
        <v>1</v>
      </c>
      <c r="O753">
        <v>960306.85</v>
      </c>
    </row>
    <row r="754" spans="1:15" x14ac:dyDescent="0.3">
      <c r="A754">
        <v>64</v>
      </c>
      <c r="B754" s="1" t="s">
        <v>15</v>
      </c>
      <c r="C754">
        <v>3097121.75</v>
      </c>
      <c r="D754" s="1" t="s">
        <v>1515</v>
      </c>
      <c r="E754">
        <v>3097121.75</v>
      </c>
      <c r="F754">
        <v>0</v>
      </c>
      <c r="G754" s="1" t="s">
        <v>1516</v>
      </c>
      <c r="H754">
        <v>0</v>
      </c>
      <c r="I754">
        <v>0</v>
      </c>
      <c r="J754">
        <v>1</v>
      </c>
      <c r="K754">
        <v>0</v>
      </c>
      <c r="L754">
        <v>16</v>
      </c>
      <c r="M754">
        <v>0</v>
      </c>
      <c r="N754">
        <v>1</v>
      </c>
      <c r="O754">
        <v>3097121.75</v>
      </c>
    </row>
    <row r="755" spans="1:15" x14ac:dyDescent="0.3">
      <c r="A755">
        <v>64</v>
      </c>
      <c r="B755" s="1" t="s">
        <v>18</v>
      </c>
      <c r="C755">
        <v>3097121.75</v>
      </c>
      <c r="D755" s="1" t="s">
        <v>1517</v>
      </c>
      <c r="E755">
        <v>3097121.75</v>
      </c>
      <c r="F755">
        <v>0</v>
      </c>
      <c r="G755" s="1" t="s">
        <v>1518</v>
      </c>
      <c r="H755">
        <v>0</v>
      </c>
      <c r="I755">
        <v>3097121.75</v>
      </c>
      <c r="J755">
        <v>1</v>
      </c>
      <c r="K755">
        <v>0</v>
      </c>
      <c r="L755">
        <v>16</v>
      </c>
      <c r="M755">
        <v>0</v>
      </c>
      <c r="N755">
        <v>1</v>
      </c>
      <c r="O755">
        <v>3097121.75</v>
      </c>
    </row>
    <row r="756" spans="1:15" x14ac:dyDescent="0.3">
      <c r="A756">
        <v>64</v>
      </c>
      <c r="B756" s="1" t="s">
        <v>15</v>
      </c>
      <c r="C756">
        <v>436317.49</v>
      </c>
      <c r="D756" s="1" t="s">
        <v>1519</v>
      </c>
      <c r="E756">
        <v>436317.49</v>
      </c>
      <c r="F756">
        <v>0</v>
      </c>
      <c r="G756" s="1" t="s">
        <v>1520</v>
      </c>
      <c r="H756">
        <v>0</v>
      </c>
      <c r="I756">
        <v>0</v>
      </c>
      <c r="J756">
        <v>1</v>
      </c>
      <c r="K756">
        <v>0</v>
      </c>
      <c r="L756">
        <v>16</v>
      </c>
      <c r="M756">
        <v>0</v>
      </c>
      <c r="N756">
        <v>1</v>
      </c>
      <c r="O756">
        <v>436317.49</v>
      </c>
    </row>
    <row r="757" spans="1:15" x14ac:dyDescent="0.3">
      <c r="A757">
        <v>64</v>
      </c>
      <c r="B757" s="1" t="s">
        <v>18</v>
      </c>
      <c r="C757">
        <v>436317.49</v>
      </c>
      <c r="D757" s="1" t="s">
        <v>1521</v>
      </c>
      <c r="E757">
        <v>436317.49</v>
      </c>
      <c r="F757">
        <v>0</v>
      </c>
      <c r="G757" s="1" t="s">
        <v>1522</v>
      </c>
      <c r="H757">
        <v>195948.3</v>
      </c>
      <c r="I757">
        <v>632265.79</v>
      </c>
      <c r="J757">
        <v>1</v>
      </c>
      <c r="K757">
        <v>0</v>
      </c>
      <c r="L757">
        <v>16</v>
      </c>
      <c r="M757">
        <v>0</v>
      </c>
      <c r="N757">
        <v>1</v>
      </c>
      <c r="O757">
        <v>436317.49</v>
      </c>
    </row>
    <row r="758" spans="1:15" x14ac:dyDescent="0.3">
      <c r="A758">
        <v>64</v>
      </c>
      <c r="B758" s="1" t="s">
        <v>15</v>
      </c>
      <c r="C758">
        <v>104957.85</v>
      </c>
      <c r="D758" s="1" t="s">
        <v>1523</v>
      </c>
      <c r="E758">
        <v>104957.85</v>
      </c>
      <c r="F758">
        <v>0</v>
      </c>
      <c r="G758" s="1" t="s">
        <v>1524</v>
      </c>
      <c r="H758">
        <v>0</v>
      </c>
      <c r="I758">
        <v>0</v>
      </c>
      <c r="J758">
        <v>1</v>
      </c>
      <c r="K758">
        <v>0</v>
      </c>
      <c r="L758">
        <v>16</v>
      </c>
      <c r="M758">
        <v>0</v>
      </c>
      <c r="N758">
        <v>1</v>
      </c>
      <c r="O758">
        <v>104957.85</v>
      </c>
    </row>
    <row r="759" spans="1:15" x14ac:dyDescent="0.3">
      <c r="A759">
        <v>64</v>
      </c>
      <c r="B759" s="1" t="s">
        <v>18</v>
      </c>
      <c r="C759">
        <v>104957.85</v>
      </c>
      <c r="D759" s="1" t="s">
        <v>1525</v>
      </c>
      <c r="E759">
        <v>104957.85</v>
      </c>
      <c r="F759">
        <v>0</v>
      </c>
      <c r="G759" s="1" t="s">
        <v>1526</v>
      </c>
      <c r="H759">
        <v>29237.79</v>
      </c>
      <c r="I759">
        <v>134195.64000000001</v>
      </c>
      <c r="J759">
        <v>1</v>
      </c>
      <c r="K759">
        <v>0</v>
      </c>
      <c r="L759">
        <v>16</v>
      </c>
      <c r="M759">
        <v>0</v>
      </c>
      <c r="N759">
        <v>1</v>
      </c>
      <c r="O759">
        <v>104957.85</v>
      </c>
    </row>
    <row r="760" spans="1:15" x14ac:dyDescent="0.3">
      <c r="A760">
        <v>64</v>
      </c>
      <c r="B760" s="1" t="s">
        <v>15</v>
      </c>
      <c r="C760">
        <v>841052.98</v>
      </c>
      <c r="D760" s="1" t="s">
        <v>1527</v>
      </c>
      <c r="E760">
        <v>841052.98</v>
      </c>
      <c r="F760">
        <v>0</v>
      </c>
      <c r="G760" s="1" t="s">
        <v>1528</v>
      </c>
      <c r="H760">
        <v>0</v>
      </c>
      <c r="I760">
        <v>0</v>
      </c>
      <c r="J760">
        <v>1</v>
      </c>
      <c r="K760">
        <v>0</v>
      </c>
      <c r="L760">
        <v>16</v>
      </c>
      <c r="M760">
        <v>0</v>
      </c>
      <c r="N760">
        <v>1</v>
      </c>
      <c r="O760">
        <v>841052.98</v>
      </c>
    </row>
    <row r="761" spans="1:15" x14ac:dyDescent="0.3">
      <c r="A761">
        <v>64</v>
      </c>
      <c r="B761" s="1" t="s">
        <v>18</v>
      </c>
      <c r="C761">
        <v>841052.98</v>
      </c>
      <c r="D761" s="1" t="s">
        <v>1529</v>
      </c>
      <c r="E761">
        <v>841052.98</v>
      </c>
      <c r="F761">
        <v>0</v>
      </c>
      <c r="G761" s="1" t="s">
        <v>1530</v>
      </c>
      <c r="H761">
        <v>0</v>
      </c>
      <c r="I761">
        <v>841052.98</v>
      </c>
      <c r="J761">
        <v>1</v>
      </c>
      <c r="K761">
        <v>0</v>
      </c>
      <c r="L761">
        <v>16</v>
      </c>
      <c r="M761">
        <v>0</v>
      </c>
      <c r="N761">
        <v>1</v>
      </c>
      <c r="O761">
        <v>841052.98</v>
      </c>
    </row>
    <row r="762" spans="1:15" x14ac:dyDescent="0.3">
      <c r="A762">
        <v>64</v>
      </c>
      <c r="B762" s="1" t="s">
        <v>15</v>
      </c>
      <c r="C762">
        <v>1814483.97</v>
      </c>
      <c r="D762" s="1" t="s">
        <v>1531</v>
      </c>
      <c r="E762">
        <v>1814483.97</v>
      </c>
      <c r="F762">
        <v>0</v>
      </c>
      <c r="G762" s="1" t="s">
        <v>1532</v>
      </c>
      <c r="H762">
        <v>0</v>
      </c>
      <c r="I762">
        <v>0</v>
      </c>
      <c r="J762">
        <v>1</v>
      </c>
      <c r="K762">
        <v>0</v>
      </c>
      <c r="L762">
        <v>16</v>
      </c>
      <c r="M762">
        <v>0</v>
      </c>
      <c r="N762">
        <v>1</v>
      </c>
      <c r="O762">
        <v>1814483.97</v>
      </c>
    </row>
    <row r="763" spans="1:15" x14ac:dyDescent="0.3">
      <c r="A763">
        <v>64</v>
      </c>
      <c r="B763" s="1" t="s">
        <v>18</v>
      </c>
      <c r="C763">
        <v>1814483.97</v>
      </c>
      <c r="D763" s="1" t="s">
        <v>1533</v>
      </c>
      <c r="E763">
        <v>1814483.97</v>
      </c>
      <c r="F763">
        <v>0</v>
      </c>
      <c r="G763" s="1" t="s">
        <v>1534</v>
      </c>
      <c r="H763">
        <v>0</v>
      </c>
      <c r="I763">
        <v>1814483.97</v>
      </c>
      <c r="J763">
        <v>1</v>
      </c>
      <c r="K763">
        <v>0</v>
      </c>
      <c r="L763">
        <v>16</v>
      </c>
      <c r="M763">
        <v>0</v>
      </c>
      <c r="N763">
        <v>1</v>
      </c>
      <c r="O763">
        <v>1814483.97</v>
      </c>
    </row>
    <row r="764" spans="1:15" x14ac:dyDescent="0.3">
      <c r="A764">
        <v>65</v>
      </c>
      <c r="B764" s="1" t="s">
        <v>15</v>
      </c>
      <c r="C764">
        <v>701168.78</v>
      </c>
      <c r="D764" s="1" t="s">
        <v>1535</v>
      </c>
      <c r="E764">
        <v>701168.78</v>
      </c>
      <c r="F764">
        <v>0</v>
      </c>
      <c r="G764" s="1" t="s">
        <v>1536</v>
      </c>
      <c r="H764">
        <v>0</v>
      </c>
      <c r="I764">
        <v>0</v>
      </c>
      <c r="J764">
        <v>1</v>
      </c>
      <c r="K764">
        <v>0</v>
      </c>
      <c r="L764">
        <v>17</v>
      </c>
      <c r="M764">
        <v>0</v>
      </c>
      <c r="N764">
        <v>1</v>
      </c>
      <c r="O764">
        <v>701168.78</v>
      </c>
    </row>
    <row r="765" spans="1:15" x14ac:dyDescent="0.3">
      <c r="A765">
        <v>65</v>
      </c>
      <c r="B765" s="1" t="s">
        <v>18</v>
      </c>
      <c r="C765">
        <v>701168.78</v>
      </c>
      <c r="D765" s="1" t="s">
        <v>1537</v>
      </c>
      <c r="E765">
        <v>701168.78</v>
      </c>
      <c r="F765">
        <v>0</v>
      </c>
      <c r="G765" s="1" t="s">
        <v>1538</v>
      </c>
      <c r="H765">
        <v>841462.58</v>
      </c>
      <c r="I765">
        <v>1542631.35</v>
      </c>
      <c r="J765">
        <v>1</v>
      </c>
      <c r="K765">
        <v>0</v>
      </c>
      <c r="L765">
        <v>17</v>
      </c>
      <c r="M765">
        <v>0</v>
      </c>
      <c r="N765">
        <v>1</v>
      </c>
      <c r="O765">
        <v>701168.78</v>
      </c>
    </row>
    <row r="766" spans="1:15" x14ac:dyDescent="0.3">
      <c r="A766">
        <v>65</v>
      </c>
      <c r="B766" s="1" t="s">
        <v>15</v>
      </c>
      <c r="C766">
        <v>446032.95</v>
      </c>
      <c r="D766" s="1" t="s">
        <v>1539</v>
      </c>
      <c r="E766">
        <v>446032.95</v>
      </c>
      <c r="F766">
        <v>0</v>
      </c>
      <c r="G766" s="1" t="s">
        <v>1540</v>
      </c>
      <c r="H766">
        <v>0</v>
      </c>
      <c r="I766">
        <v>0</v>
      </c>
      <c r="J766">
        <v>1</v>
      </c>
      <c r="K766">
        <v>0</v>
      </c>
      <c r="L766">
        <v>17</v>
      </c>
      <c r="M766">
        <v>0</v>
      </c>
      <c r="N766">
        <v>1</v>
      </c>
      <c r="O766">
        <v>446032.95</v>
      </c>
    </row>
    <row r="767" spans="1:15" x14ac:dyDescent="0.3">
      <c r="A767">
        <v>65</v>
      </c>
      <c r="B767" s="1" t="s">
        <v>18</v>
      </c>
      <c r="C767">
        <v>446032.95</v>
      </c>
      <c r="D767" s="1" t="s">
        <v>1541</v>
      </c>
      <c r="E767">
        <v>446032.95</v>
      </c>
      <c r="F767">
        <v>0</v>
      </c>
      <c r="G767" s="1" t="s">
        <v>1542</v>
      </c>
      <c r="H767">
        <v>205977.41</v>
      </c>
      <c r="I767">
        <v>652010.36</v>
      </c>
      <c r="J767">
        <v>1</v>
      </c>
      <c r="K767">
        <v>0</v>
      </c>
      <c r="L767">
        <v>17</v>
      </c>
      <c r="M767">
        <v>0</v>
      </c>
      <c r="N767">
        <v>1</v>
      </c>
      <c r="O767">
        <v>446032.95</v>
      </c>
    </row>
    <row r="768" spans="1:15" x14ac:dyDescent="0.3">
      <c r="A768">
        <v>65</v>
      </c>
      <c r="B768" s="1" t="s">
        <v>15</v>
      </c>
      <c r="C768">
        <v>385556.82</v>
      </c>
      <c r="D768" s="1" t="s">
        <v>1543</v>
      </c>
      <c r="E768">
        <v>385556.82</v>
      </c>
      <c r="F768">
        <v>0</v>
      </c>
      <c r="G768" s="1" t="s">
        <v>1544</v>
      </c>
      <c r="H768">
        <v>0</v>
      </c>
      <c r="I768">
        <v>0</v>
      </c>
      <c r="J768">
        <v>1</v>
      </c>
      <c r="K768">
        <v>0</v>
      </c>
      <c r="L768">
        <v>17</v>
      </c>
      <c r="M768">
        <v>0</v>
      </c>
      <c r="N768">
        <v>1</v>
      </c>
      <c r="O768">
        <v>385556.82</v>
      </c>
    </row>
    <row r="769" spans="1:15" x14ac:dyDescent="0.3">
      <c r="A769">
        <v>65</v>
      </c>
      <c r="B769" s="1" t="s">
        <v>18</v>
      </c>
      <c r="C769">
        <v>385556.82</v>
      </c>
      <c r="D769" s="1" t="s">
        <v>1545</v>
      </c>
      <c r="E769">
        <v>385556.82</v>
      </c>
      <c r="F769">
        <v>0</v>
      </c>
      <c r="G769" s="1" t="s">
        <v>1546</v>
      </c>
      <c r="H769">
        <v>60032.11</v>
      </c>
      <c r="I769">
        <v>445588.93</v>
      </c>
      <c r="J769">
        <v>1</v>
      </c>
      <c r="K769">
        <v>0</v>
      </c>
      <c r="L769">
        <v>17</v>
      </c>
      <c r="M769">
        <v>0</v>
      </c>
      <c r="N769">
        <v>1</v>
      </c>
      <c r="O769">
        <v>385556.82</v>
      </c>
    </row>
    <row r="770" spans="1:15" x14ac:dyDescent="0.3">
      <c r="A770">
        <v>65</v>
      </c>
      <c r="B770" s="1" t="s">
        <v>15</v>
      </c>
      <c r="C770">
        <v>3760068.04</v>
      </c>
      <c r="D770" s="1" t="s">
        <v>1547</v>
      </c>
      <c r="E770">
        <v>3760068.04</v>
      </c>
      <c r="F770">
        <v>0</v>
      </c>
      <c r="G770" s="1" t="s">
        <v>1548</v>
      </c>
      <c r="H770">
        <v>0</v>
      </c>
      <c r="I770">
        <v>0</v>
      </c>
      <c r="J770">
        <v>1</v>
      </c>
      <c r="K770">
        <v>0</v>
      </c>
      <c r="L770">
        <v>17</v>
      </c>
      <c r="M770">
        <v>0</v>
      </c>
      <c r="N770">
        <v>1</v>
      </c>
      <c r="O770">
        <v>3760068.04</v>
      </c>
    </row>
    <row r="771" spans="1:15" x14ac:dyDescent="0.3">
      <c r="A771">
        <v>65</v>
      </c>
      <c r="B771" s="1" t="s">
        <v>18</v>
      </c>
      <c r="C771">
        <v>3760068.04</v>
      </c>
      <c r="D771" s="1" t="s">
        <v>1549</v>
      </c>
      <c r="E771">
        <v>3760068.04</v>
      </c>
      <c r="F771">
        <v>0</v>
      </c>
      <c r="G771" s="1" t="s">
        <v>1550</v>
      </c>
      <c r="H771">
        <v>622555.65</v>
      </c>
      <c r="I771">
        <v>4382623.6900000004</v>
      </c>
      <c r="J771">
        <v>1</v>
      </c>
      <c r="K771">
        <v>0</v>
      </c>
      <c r="L771">
        <v>17</v>
      </c>
      <c r="M771">
        <v>0</v>
      </c>
      <c r="N771">
        <v>1</v>
      </c>
      <c r="O771">
        <v>3760068.04</v>
      </c>
    </row>
    <row r="772" spans="1:15" x14ac:dyDescent="0.3">
      <c r="A772">
        <v>65</v>
      </c>
      <c r="B772" s="1" t="s">
        <v>15</v>
      </c>
      <c r="C772">
        <v>1282971.57</v>
      </c>
      <c r="D772" s="1" t="s">
        <v>1551</v>
      </c>
      <c r="E772">
        <v>1282971.57</v>
      </c>
      <c r="F772">
        <v>0</v>
      </c>
      <c r="G772" s="1" t="s">
        <v>1552</v>
      </c>
      <c r="H772">
        <v>0</v>
      </c>
      <c r="I772">
        <v>0</v>
      </c>
      <c r="J772">
        <v>1</v>
      </c>
      <c r="K772">
        <v>0</v>
      </c>
      <c r="L772">
        <v>17</v>
      </c>
      <c r="M772">
        <v>0</v>
      </c>
      <c r="N772">
        <v>1</v>
      </c>
      <c r="O772">
        <v>1282971.57</v>
      </c>
    </row>
    <row r="773" spans="1:15" x14ac:dyDescent="0.3">
      <c r="A773">
        <v>65</v>
      </c>
      <c r="B773" s="1" t="s">
        <v>18</v>
      </c>
      <c r="C773">
        <v>1282971.57</v>
      </c>
      <c r="D773" s="1" t="s">
        <v>1553</v>
      </c>
      <c r="E773">
        <v>1282971.57</v>
      </c>
      <c r="F773">
        <v>0</v>
      </c>
      <c r="G773" s="1" t="s">
        <v>1554</v>
      </c>
      <c r="H773">
        <v>392604.6</v>
      </c>
      <c r="I773">
        <v>1675576.17</v>
      </c>
      <c r="J773">
        <v>1</v>
      </c>
      <c r="K773">
        <v>0</v>
      </c>
      <c r="L773">
        <v>17</v>
      </c>
      <c r="M773">
        <v>0</v>
      </c>
      <c r="N773">
        <v>1</v>
      </c>
      <c r="O773">
        <v>1282971.57</v>
      </c>
    </row>
    <row r="774" spans="1:15" x14ac:dyDescent="0.3">
      <c r="A774">
        <v>65</v>
      </c>
      <c r="B774" s="1" t="s">
        <v>15</v>
      </c>
      <c r="C774">
        <v>881811.11</v>
      </c>
      <c r="D774" s="1" t="s">
        <v>1555</v>
      </c>
      <c r="E774">
        <v>881811.11</v>
      </c>
      <c r="F774">
        <v>0</v>
      </c>
      <c r="G774" s="1" t="s">
        <v>1556</v>
      </c>
      <c r="H774">
        <v>0</v>
      </c>
      <c r="I774">
        <v>0</v>
      </c>
      <c r="J774">
        <v>1</v>
      </c>
      <c r="K774">
        <v>0</v>
      </c>
      <c r="L774">
        <v>17</v>
      </c>
      <c r="M774">
        <v>0</v>
      </c>
      <c r="N774">
        <v>1</v>
      </c>
      <c r="O774">
        <v>881811.11</v>
      </c>
    </row>
    <row r="775" spans="1:15" x14ac:dyDescent="0.3">
      <c r="A775">
        <v>65</v>
      </c>
      <c r="B775" s="1" t="s">
        <v>18</v>
      </c>
      <c r="C775">
        <v>881811.11</v>
      </c>
      <c r="D775" s="1" t="s">
        <v>1557</v>
      </c>
      <c r="E775">
        <v>881811.11</v>
      </c>
      <c r="F775">
        <v>0</v>
      </c>
      <c r="G775" s="1" t="s">
        <v>1558</v>
      </c>
      <c r="H775">
        <v>141736.75</v>
      </c>
      <c r="I775">
        <v>1023547.85</v>
      </c>
      <c r="J775">
        <v>1</v>
      </c>
      <c r="K775">
        <v>0</v>
      </c>
      <c r="L775">
        <v>17</v>
      </c>
      <c r="M775">
        <v>0</v>
      </c>
      <c r="N775">
        <v>1</v>
      </c>
      <c r="O775">
        <v>881811.11</v>
      </c>
    </row>
    <row r="776" spans="1:15" x14ac:dyDescent="0.3">
      <c r="A776">
        <v>65</v>
      </c>
      <c r="B776" s="1" t="s">
        <v>15</v>
      </c>
      <c r="C776">
        <v>174923.28</v>
      </c>
      <c r="D776" s="1" t="s">
        <v>1559</v>
      </c>
      <c r="E776">
        <v>174923.28</v>
      </c>
      <c r="F776">
        <v>0</v>
      </c>
      <c r="G776" s="1" t="s">
        <v>1560</v>
      </c>
      <c r="H776">
        <v>0</v>
      </c>
      <c r="I776">
        <v>0</v>
      </c>
      <c r="J776">
        <v>1</v>
      </c>
      <c r="K776">
        <v>0</v>
      </c>
      <c r="L776">
        <v>17</v>
      </c>
      <c r="M776">
        <v>0</v>
      </c>
      <c r="N776">
        <v>1</v>
      </c>
      <c r="O776">
        <v>174923.28</v>
      </c>
    </row>
    <row r="777" spans="1:15" x14ac:dyDescent="0.3">
      <c r="A777">
        <v>65</v>
      </c>
      <c r="B777" s="1" t="s">
        <v>18</v>
      </c>
      <c r="C777">
        <v>174923.28</v>
      </c>
      <c r="D777" s="1" t="s">
        <v>1561</v>
      </c>
      <c r="E777">
        <v>174923.28</v>
      </c>
      <c r="F777">
        <v>0</v>
      </c>
      <c r="G777" s="1" t="s">
        <v>1562</v>
      </c>
      <c r="H777">
        <v>0</v>
      </c>
      <c r="I777">
        <v>174923.28</v>
      </c>
      <c r="J777">
        <v>1</v>
      </c>
      <c r="K777">
        <v>0</v>
      </c>
      <c r="L777">
        <v>17</v>
      </c>
      <c r="M777">
        <v>0</v>
      </c>
      <c r="N777">
        <v>1</v>
      </c>
      <c r="O777">
        <v>174923.28</v>
      </c>
    </row>
    <row r="778" spans="1:15" x14ac:dyDescent="0.3">
      <c r="A778">
        <v>65</v>
      </c>
      <c r="B778" s="1" t="s">
        <v>15</v>
      </c>
      <c r="C778">
        <v>403975.39</v>
      </c>
      <c r="D778" s="1" t="s">
        <v>1563</v>
      </c>
      <c r="E778">
        <v>403975.39</v>
      </c>
      <c r="F778">
        <v>0</v>
      </c>
      <c r="G778" s="1" t="s">
        <v>1564</v>
      </c>
      <c r="H778">
        <v>0</v>
      </c>
      <c r="I778">
        <v>0</v>
      </c>
      <c r="J778">
        <v>1</v>
      </c>
      <c r="K778">
        <v>0</v>
      </c>
      <c r="L778">
        <v>17</v>
      </c>
      <c r="M778">
        <v>0</v>
      </c>
      <c r="N778">
        <v>1</v>
      </c>
      <c r="O778">
        <v>403975.39</v>
      </c>
    </row>
    <row r="779" spans="1:15" x14ac:dyDescent="0.3">
      <c r="A779">
        <v>65</v>
      </c>
      <c r="B779" s="1" t="s">
        <v>18</v>
      </c>
      <c r="C779">
        <v>403975.39</v>
      </c>
      <c r="D779" s="1" t="s">
        <v>1565</v>
      </c>
      <c r="E779">
        <v>403975.39</v>
      </c>
      <c r="F779">
        <v>0</v>
      </c>
      <c r="G779" s="1" t="s">
        <v>1566</v>
      </c>
      <c r="H779">
        <v>0</v>
      </c>
      <c r="I779">
        <v>403975.39</v>
      </c>
      <c r="J779">
        <v>1</v>
      </c>
      <c r="K779">
        <v>0</v>
      </c>
      <c r="L779">
        <v>17</v>
      </c>
      <c r="M779">
        <v>0</v>
      </c>
      <c r="N779">
        <v>1</v>
      </c>
      <c r="O779">
        <v>403975.39</v>
      </c>
    </row>
    <row r="780" spans="1:15" x14ac:dyDescent="0.3">
      <c r="A780">
        <v>65</v>
      </c>
      <c r="B780" s="1" t="s">
        <v>15</v>
      </c>
      <c r="C780">
        <v>126690.14</v>
      </c>
      <c r="D780" s="1" t="s">
        <v>1567</v>
      </c>
      <c r="E780">
        <v>126690.14</v>
      </c>
      <c r="F780">
        <v>0</v>
      </c>
      <c r="G780" s="1" t="s">
        <v>1568</v>
      </c>
      <c r="H780">
        <v>0</v>
      </c>
      <c r="I780">
        <v>0</v>
      </c>
      <c r="J780">
        <v>1</v>
      </c>
      <c r="K780">
        <v>0</v>
      </c>
      <c r="L780">
        <v>17</v>
      </c>
      <c r="M780">
        <v>0</v>
      </c>
      <c r="N780">
        <v>1</v>
      </c>
      <c r="O780">
        <v>126690.14</v>
      </c>
    </row>
    <row r="781" spans="1:15" x14ac:dyDescent="0.3">
      <c r="A781">
        <v>65</v>
      </c>
      <c r="B781" s="1" t="s">
        <v>18</v>
      </c>
      <c r="C781">
        <v>126690.14</v>
      </c>
      <c r="D781" s="1" t="s">
        <v>1569</v>
      </c>
      <c r="E781">
        <v>126690.14</v>
      </c>
      <c r="F781">
        <v>0</v>
      </c>
      <c r="G781" s="1" t="s">
        <v>1570</v>
      </c>
      <c r="H781">
        <v>353834.29</v>
      </c>
      <c r="I781">
        <v>480524.43</v>
      </c>
      <c r="J781">
        <v>1</v>
      </c>
      <c r="K781">
        <v>0</v>
      </c>
      <c r="L781">
        <v>17</v>
      </c>
      <c r="M781">
        <v>0</v>
      </c>
      <c r="N781">
        <v>1</v>
      </c>
      <c r="O781">
        <v>126690.14</v>
      </c>
    </row>
    <row r="782" spans="1:15" x14ac:dyDescent="0.3">
      <c r="A782">
        <v>65</v>
      </c>
      <c r="B782" s="1" t="s">
        <v>15</v>
      </c>
      <c r="C782">
        <v>215.83</v>
      </c>
      <c r="D782" s="1" t="s">
        <v>1571</v>
      </c>
      <c r="E782">
        <v>215.83</v>
      </c>
      <c r="F782">
        <v>0</v>
      </c>
      <c r="G782" s="1" t="s">
        <v>1572</v>
      </c>
      <c r="H782">
        <v>0</v>
      </c>
      <c r="I782">
        <v>0</v>
      </c>
      <c r="J782">
        <v>1</v>
      </c>
      <c r="K782">
        <v>0</v>
      </c>
      <c r="L782">
        <v>17</v>
      </c>
      <c r="M782">
        <v>0</v>
      </c>
      <c r="N782">
        <v>1</v>
      </c>
      <c r="O782">
        <v>215.83</v>
      </c>
    </row>
    <row r="783" spans="1:15" x14ac:dyDescent="0.3">
      <c r="A783">
        <v>65</v>
      </c>
      <c r="B783" s="1" t="s">
        <v>18</v>
      </c>
      <c r="C783">
        <v>215.83</v>
      </c>
      <c r="D783" s="1" t="s">
        <v>1573</v>
      </c>
      <c r="E783">
        <v>215.83</v>
      </c>
      <c r="F783">
        <v>0</v>
      </c>
      <c r="G783" s="1" t="s">
        <v>1574</v>
      </c>
      <c r="H783">
        <v>3563442.24</v>
      </c>
      <c r="I783">
        <v>3563658.07</v>
      </c>
      <c r="J783">
        <v>1</v>
      </c>
      <c r="K783">
        <v>0</v>
      </c>
      <c r="L783">
        <v>17</v>
      </c>
      <c r="M783">
        <v>0</v>
      </c>
      <c r="N783">
        <v>1</v>
      </c>
      <c r="O783">
        <v>215.83</v>
      </c>
    </row>
    <row r="784" spans="1:15" x14ac:dyDescent="0.3">
      <c r="A784">
        <v>66</v>
      </c>
      <c r="B784" s="1" t="s">
        <v>15</v>
      </c>
      <c r="C784">
        <v>548269.98</v>
      </c>
      <c r="D784" s="1" t="s">
        <v>1575</v>
      </c>
      <c r="E784">
        <v>548269.98</v>
      </c>
      <c r="F784">
        <v>0</v>
      </c>
      <c r="G784" s="1" t="s">
        <v>1576</v>
      </c>
      <c r="H784">
        <v>0</v>
      </c>
      <c r="I784">
        <v>0</v>
      </c>
      <c r="J784">
        <v>1</v>
      </c>
      <c r="K784">
        <v>0</v>
      </c>
      <c r="L784">
        <v>18</v>
      </c>
      <c r="M784">
        <v>0</v>
      </c>
      <c r="N784">
        <v>1</v>
      </c>
      <c r="O784">
        <v>548269.98</v>
      </c>
    </row>
    <row r="785" spans="1:15" x14ac:dyDescent="0.3">
      <c r="A785">
        <v>66</v>
      </c>
      <c r="B785" s="1" t="s">
        <v>18</v>
      </c>
      <c r="C785">
        <v>548269.98</v>
      </c>
      <c r="D785" s="1" t="s">
        <v>1577</v>
      </c>
      <c r="E785">
        <v>548269.98</v>
      </c>
      <c r="F785">
        <v>0</v>
      </c>
      <c r="G785" s="1" t="s">
        <v>1578</v>
      </c>
      <c r="H785">
        <v>0</v>
      </c>
      <c r="I785">
        <v>548269.98</v>
      </c>
      <c r="J785">
        <v>1</v>
      </c>
      <c r="K785">
        <v>0</v>
      </c>
      <c r="L785">
        <v>18</v>
      </c>
      <c r="M785">
        <v>0</v>
      </c>
      <c r="N785">
        <v>1</v>
      </c>
      <c r="O785">
        <v>548269.98</v>
      </c>
    </row>
    <row r="786" spans="1:15" x14ac:dyDescent="0.3">
      <c r="A786">
        <v>66</v>
      </c>
      <c r="B786" s="1" t="s">
        <v>15</v>
      </c>
      <c r="C786">
        <v>150405.20000000001</v>
      </c>
      <c r="D786" s="1" t="s">
        <v>1579</v>
      </c>
      <c r="E786">
        <v>150405.20000000001</v>
      </c>
      <c r="F786">
        <v>0</v>
      </c>
      <c r="G786" s="1" t="s">
        <v>1580</v>
      </c>
      <c r="H786">
        <v>0</v>
      </c>
      <c r="I786">
        <v>0</v>
      </c>
      <c r="J786">
        <v>1</v>
      </c>
      <c r="K786">
        <v>0</v>
      </c>
      <c r="L786">
        <v>18</v>
      </c>
      <c r="M786">
        <v>0</v>
      </c>
      <c r="N786">
        <v>1</v>
      </c>
      <c r="O786">
        <v>150405.20000000001</v>
      </c>
    </row>
    <row r="787" spans="1:15" x14ac:dyDescent="0.3">
      <c r="A787">
        <v>66</v>
      </c>
      <c r="B787" s="1" t="s">
        <v>18</v>
      </c>
      <c r="C787">
        <v>150405.20000000001</v>
      </c>
      <c r="D787" s="1" t="s">
        <v>1581</v>
      </c>
      <c r="E787">
        <v>150405.20000000001</v>
      </c>
      <c r="F787">
        <v>0</v>
      </c>
      <c r="G787" s="1" t="s">
        <v>1582</v>
      </c>
      <c r="H787">
        <v>170707.62</v>
      </c>
      <c r="I787">
        <v>321112.82</v>
      </c>
      <c r="J787">
        <v>1</v>
      </c>
      <c r="K787">
        <v>0</v>
      </c>
      <c r="L787">
        <v>18</v>
      </c>
      <c r="M787">
        <v>0</v>
      </c>
      <c r="N787">
        <v>1</v>
      </c>
      <c r="O787">
        <v>150405.20000000001</v>
      </c>
    </row>
    <row r="788" spans="1:15" x14ac:dyDescent="0.3">
      <c r="A788">
        <v>66</v>
      </c>
      <c r="B788" s="1" t="s">
        <v>15</v>
      </c>
      <c r="C788">
        <v>813133.35</v>
      </c>
      <c r="D788" s="1" t="s">
        <v>1583</v>
      </c>
      <c r="E788">
        <v>813133.35</v>
      </c>
      <c r="F788">
        <v>0</v>
      </c>
      <c r="G788" s="1" t="s">
        <v>1584</v>
      </c>
      <c r="H788">
        <v>0</v>
      </c>
      <c r="I788">
        <v>0</v>
      </c>
      <c r="J788">
        <v>1</v>
      </c>
      <c r="K788">
        <v>0</v>
      </c>
      <c r="L788">
        <v>18</v>
      </c>
      <c r="M788">
        <v>0</v>
      </c>
      <c r="N788">
        <v>1</v>
      </c>
      <c r="O788">
        <v>813133.35</v>
      </c>
    </row>
    <row r="789" spans="1:15" x14ac:dyDescent="0.3">
      <c r="A789">
        <v>66</v>
      </c>
      <c r="B789" s="1" t="s">
        <v>18</v>
      </c>
      <c r="C789">
        <v>813133.35</v>
      </c>
      <c r="D789" s="1" t="s">
        <v>1585</v>
      </c>
      <c r="E789">
        <v>813133.35</v>
      </c>
      <c r="F789">
        <v>0</v>
      </c>
      <c r="G789" s="1" t="s">
        <v>1586</v>
      </c>
      <c r="H789">
        <v>0</v>
      </c>
      <c r="I789">
        <v>813133.35</v>
      </c>
      <c r="J789">
        <v>1</v>
      </c>
      <c r="K789">
        <v>0</v>
      </c>
      <c r="L789">
        <v>18</v>
      </c>
      <c r="M789">
        <v>0</v>
      </c>
      <c r="N789">
        <v>1</v>
      </c>
      <c r="O789">
        <v>813133.35</v>
      </c>
    </row>
    <row r="790" spans="1:15" x14ac:dyDescent="0.3">
      <c r="A790">
        <v>66</v>
      </c>
      <c r="B790" s="1" t="s">
        <v>15</v>
      </c>
      <c r="C790">
        <v>2096634.43</v>
      </c>
      <c r="D790" s="1" t="s">
        <v>1587</v>
      </c>
      <c r="E790">
        <v>2096634.43</v>
      </c>
      <c r="F790">
        <v>0</v>
      </c>
      <c r="G790" s="1" t="s">
        <v>1588</v>
      </c>
      <c r="H790">
        <v>0</v>
      </c>
      <c r="I790">
        <v>0</v>
      </c>
      <c r="J790">
        <v>1</v>
      </c>
      <c r="K790">
        <v>0</v>
      </c>
      <c r="L790">
        <v>18</v>
      </c>
      <c r="M790">
        <v>0</v>
      </c>
      <c r="N790">
        <v>1</v>
      </c>
      <c r="O790">
        <v>2096634.43</v>
      </c>
    </row>
    <row r="791" spans="1:15" x14ac:dyDescent="0.3">
      <c r="A791">
        <v>66</v>
      </c>
      <c r="B791" s="1" t="s">
        <v>18</v>
      </c>
      <c r="C791">
        <v>2096634.43</v>
      </c>
      <c r="D791" s="1" t="s">
        <v>1589</v>
      </c>
      <c r="E791">
        <v>2096634.43</v>
      </c>
      <c r="F791">
        <v>0</v>
      </c>
      <c r="G791" s="1" t="s">
        <v>1590</v>
      </c>
      <c r="H791">
        <v>183429.98</v>
      </c>
      <c r="I791">
        <v>2280064.41</v>
      </c>
      <c r="J791">
        <v>1</v>
      </c>
      <c r="K791">
        <v>0</v>
      </c>
      <c r="L791">
        <v>18</v>
      </c>
      <c r="M791">
        <v>0</v>
      </c>
      <c r="N791">
        <v>1</v>
      </c>
      <c r="O791">
        <v>2096634.43</v>
      </c>
    </row>
    <row r="792" spans="1:15" x14ac:dyDescent="0.3">
      <c r="A792">
        <v>66</v>
      </c>
      <c r="B792" s="1" t="s">
        <v>15</v>
      </c>
      <c r="C792">
        <v>272791.44</v>
      </c>
      <c r="D792" s="1" t="s">
        <v>1591</v>
      </c>
      <c r="E792">
        <v>272791.44</v>
      </c>
      <c r="F792">
        <v>0</v>
      </c>
      <c r="G792" s="1" t="s">
        <v>1592</v>
      </c>
      <c r="H792">
        <v>0</v>
      </c>
      <c r="I792">
        <v>0</v>
      </c>
      <c r="J792">
        <v>1</v>
      </c>
      <c r="K792">
        <v>0</v>
      </c>
      <c r="L792">
        <v>18</v>
      </c>
      <c r="M792">
        <v>0</v>
      </c>
      <c r="N792">
        <v>1</v>
      </c>
      <c r="O792">
        <v>272791.44</v>
      </c>
    </row>
    <row r="793" spans="1:15" x14ac:dyDescent="0.3">
      <c r="A793">
        <v>66</v>
      </c>
      <c r="B793" s="1" t="s">
        <v>18</v>
      </c>
      <c r="C793">
        <v>272791.44</v>
      </c>
      <c r="D793" s="1" t="s">
        <v>1593</v>
      </c>
      <c r="E793">
        <v>272791.44</v>
      </c>
      <c r="F793">
        <v>0</v>
      </c>
      <c r="G793" s="1" t="s">
        <v>1594</v>
      </c>
      <c r="H793">
        <v>715267.02</v>
      </c>
      <c r="I793">
        <v>988058.46</v>
      </c>
      <c r="J793">
        <v>1</v>
      </c>
      <c r="K793">
        <v>0</v>
      </c>
      <c r="L793">
        <v>18</v>
      </c>
      <c r="M793">
        <v>0</v>
      </c>
      <c r="N793">
        <v>1</v>
      </c>
      <c r="O793">
        <v>272791.44</v>
      </c>
    </row>
    <row r="794" spans="1:15" x14ac:dyDescent="0.3">
      <c r="A794">
        <v>66</v>
      </c>
      <c r="B794" s="1" t="s">
        <v>15</v>
      </c>
      <c r="C794">
        <v>7169129.9400000004</v>
      </c>
      <c r="D794" s="1" t="s">
        <v>1595</v>
      </c>
      <c r="E794">
        <v>7169129.9400000004</v>
      </c>
      <c r="F794">
        <v>0</v>
      </c>
      <c r="G794" s="1" t="s">
        <v>1596</v>
      </c>
      <c r="H794">
        <v>0</v>
      </c>
      <c r="I794">
        <v>0</v>
      </c>
      <c r="J794">
        <v>1</v>
      </c>
      <c r="K794">
        <v>0</v>
      </c>
      <c r="L794">
        <v>18</v>
      </c>
      <c r="M794">
        <v>0</v>
      </c>
      <c r="N794">
        <v>1</v>
      </c>
      <c r="O794">
        <v>7169129.9400000004</v>
      </c>
    </row>
    <row r="795" spans="1:15" x14ac:dyDescent="0.3">
      <c r="A795">
        <v>66</v>
      </c>
      <c r="B795" s="1" t="s">
        <v>18</v>
      </c>
      <c r="C795">
        <v>7169129.9400000004</v>
      </c>
      <c r="D795" s="1" t="s">
        <v>1597</v>
      </c>
      <c r="E795">
        <v>7169129.9400000004</v>
      </c>
      <c r="F795">
        <v>0</v>
      </c>
      <c r="G795" s="1" t="s">
        <v>1598</v>
      </c>
      <c r="H795">
        <v>0</v>
      </c>
      <c r="I795">
        <v>7169129.9400000004</v>
      </c>
      <c r="J795">
        <v>1</v>
      </c>
      <c r="K795">
        <v>0</v>
      </c>
      <c r="L795">
        <v>18</v>
      </c>
      <c r="M795">
        <v>0</v>
      </c>
      <c r="N795">
        <v>1</v>
      </c>
      <c r="O795">
        <v>7169129.9400000004</v>
      </c>
    </row>
    <row r="796" spans="1:15" x14ac:dyDescent="0.3">
      <c r="A796">
        <v>66</v>
      </c>
      <c r="B796" s="1" t="s">
        <v>15</v>
      </c>
      <c r="C796">
        <v>107188.41</v>
      </c>
      <c r="D796" s="1" t="s">
        <v>1599</v>
      </c>
      <c r="E796">
        <v>107188.41</v>
      </c>
      <c r="F796">
        <v>0</v>
      </c>
      <c r="G796" s="1" t="s">
        <v>1600</v>
      </c>
      <c r="H796">
        <v>0</v>
      </c>
      <c r="I796">
        <v>0</v>
      </c>
      <c r="J796">
        <v>1</v>
      </c>
      <c r="K796">
        <v>0</v>
      </c>
      <c r="L796">
        <v>18</v>
      </c>
      <c r="M796">
        <v>0</v>
      </c>
      <c r="N796">
        <v>1</v>
      </c>
      <c r="O796">
        <v>107188.41</v>
      </c>
    </row>
    <row r="797" spans="1:15" x14ac:dyDescent="0.3">
      <c r="A797">
        <v>66</v>
      </c>
      <c r="B797" s="1" t="s">
        <v>18</v>
      </c>
      <c r="C797">
        <v>107188.41</v>
      </c>
      <c r="D797" s="1" t="s">
        <v>1601</v>
      </c>
      <c r="E797">
        <v>107188.41</v>
      </c>
      <c r="F797">
        <v>0</v>
      </c>
      <c r="G797" s="1" t="s">
        <v>1602</v>
      </c>
      <c r="H797">
        <v>696135.43</v>
      </c>
      <c r="I797">
        <v>803323.83</v>
      </c>
      <c r="J797">
        <v>1</v>
      </c>
      <c r="K797">
        <v>0</v>
      </c>
      <c r="L797">
        <v>18</v>
      </c>
      <c r="M797">
        <v>0</v>
      </c>
      <c r="N797">
        <v>1</v>
      </c>
      <c r="O797">
        <v>107188.41</v>
      </c>
    </row>
    <row r="798" spans="1:15" x14ac:dyDescent="0.3">
      <c r="A798">
        <v>66</v>
      </c>
      <c r="B798" s="1" t="s">
        <v>15</v>
      </c>
      <c r="C798">
        <v>3444943.59</v>
      </c>
      <c r="D798" s="1" t="s">
        <v>1603</v>
      </c>
      <c r="E798">
        <v>3444943.59</v>
      </c>
      <c r="F798">
        <v>0</v>
      </c>
      <c r="G798" s="1" t="s">
        <v>1604</v>
      </c>
      <c r="H798">
        <v>0</v>
      </c>
      <c r="I798">
        <v>0</v>
      </c>
      <c r="J798">
        <v>1</v>
      </c>
      <c r="K798">
        <v>0</v>
      </c>
      <c r="L798">
        <v>18</v>
      </c>
      <c r="M798">
        <v>0</v>
      </c>
      <c r="N798">
        <v>1</v>
      </c>
      <c r="O798">
        <v>3444943.59</v>
      </c>
    </row>
    <row r="799" spans="1:15" x14ac:dyDescent="0.3">
      <c r="A799">
        <v>66</v>
      </c>
      <c r="B799" s="1" t="s">
        <v>18</v>
      </c>
      <c r="C799">
        <v>3444943.59</v>
      </c>
      <c r="D799" s="1" t="s">
        <v>1605</v>
      </c>
      <c r="E799">
        <v>3444943.59</v>
      </c>
      <c r="F799">
        <v>0</v>
      </c>
      <c r="G799" s="1" t="s">
        <v>1606</v>
      </c>
      <c r="H799">
        <v>217174.65</v>
      </c>
      <c r="I799">
        <v>3662118.24</v>
      </c>
      <c r="J799">
        <v>1</v>
      </c>
      <c r="K799">
        <v>0</v>
      </c>
      <c r="L799">
        <v>18</v>
      </c>
      <c r="M799">
        <v>0</v>
      </c>
      <c r="N799">
        <v>1</v>
      </c>
      <c r="O799">
        <v>3444943.59</v>
      </c>
    </row>
    <row r="800" spans="1:15" x14ac:dyDescent="0.3">
      <c r="A800">
        <v>66</v>
      </c>
      <c r="B800" s="1" t="s">
        <v>15</v>
      </c>
      <c r="C800">
        <v>126715.84</v>
      </c>
      <c r="D800" s="1" t="s">
        <v>1607</v>
      </c>
      <c r="E800">
        <v>126715.84</v>
      </c>
      <c r="F800">
        <v>0</v>
      </c>
      <c r="G800" s="1" t="s">
        <v>1608</v>
      </c>
      <c r="H800">
        <v>0</v>
      </c>
      <c r="I800">
        <v>0</v>
      </c>
      <c r="J800">
        <v>1</v>
      </c>
      <c r="K800">
        <v>0</v>
      </c>
      <c r="L800">
        <v>18</v>
      </c>
      <c r="M800">
        <v>0</v>
      </c>
      <c r="N800">
        <v>1</v>
      </c>
      <c r="O800">
        <v>126715.84</v>
      </c>
    </row>
    <row r="801" spans="1:15" x14ac:dyDescent="0.3">
      <c r="A801">
        <v>66</v>
      </c>
      <c r="B801" s="1" t="s">
        <v>18</v>
      </c>
      <c r="C801">
        <v>126715.84</v>
      </c>
      <c r="D801" s="1" t="s">
        <v>1609</v>
      </c>
      <c r="E801">
        <v>126715.84</v>
      </c>
      <c r="F801">
        <v>0</v>
      </c>
      <c r="G801" s="1" t="s">
        <v>1610</v>
      </c>
      <c r="H801">
        <v>273157.93</v>
      </c>
      <c r="I801">
        <v>399873.77</v>
      </c>
      <c r="J801">
        <v>1</v>
      </c>
      <c r="K801">
        <v>0</v>
      </c>
      <c r="L801">
        <v>18</v>
      </c>
      <c r="M801">
        <v>0</v>
      </c>
      <c r="N801">
        <v>1</v>
      </c>
      <c r="O801">
        <v>126715.84</v>
      </c>
    </row>
    <row r="802" spans="1:15" x14ac:dyDescent="0.3">
      <c r="A802">
        <v>66</v>
      </c>
      <c r="B802" s="1" t="s">
        <v>15</v>
      </c>
      <c r="C802">
        <v>4631432.03</v>
      </c>
      <c r="D802" s="1" t="s">
        <v>1611</v>
      </c>
      <c r="E802">
        <v>4631432.03</v>
      </c>
      <c r="F802">
        <v>0</v>
      </c>
      <c r="G802" s="1" t="s">
        <v>1612</v>
      </c>
      <c r="H802">
        <v>0</v>
      </c>
      <c r="I802">
        <v>0</v>
      </c>
      <c r="J802">
        <v>1</v>
      </c>
      <c r="K802">
        <v>0</v>
      </c>
      <c r="L802">
        <v>18</v>
      </c>
      <c r="M802">
        <v>0</v>
      </c>
      <c r="N802">
        <v>1</v>
      </c>
      <c r="O802">
        <v>4631432.03</v>
      </c>
    </row>
    <row r="803" spans="1:15" x14ac:dyDescent="0.3">
      <c r="A803">
        <v>66</v>
      </c>
      <c r="B803" s="1" t="s">
        <v>18</v>
      </c>
      <c r="C803">
        <v>4631432.03</v>
      </c>
      <c r="D803" s="1" t="s">
        <v>1613</v>
      </c>
      <c r="E803">
        <v>4631432.03</v>
      </c>
      <c r="F803">
        <v>0</v>
      </c>
      <c r="G803" s="1" t="s">
        <v>1614</v>
      </c>
      <c r="H803">
        <v>122727.22</v>
      </c>
      <c r="I803">
        <v>4754159.25</v>
      </c>
      <c r="J803">
        <v>1</v>
      </c>
      <c r="K803">
        <v>0</v>
      </c>
      <c r="L803">
        <v>18</v>
      </c>
      <c r="M803">
        <v>0</v>
      </c>
      <c r="N803">
        <v>1</v>
      </c>
      <c r="O803">
        <v>4631432.03</v>
      </c>
    </row>
    <row r="804" spans="1:15" x14ac:dyDescent="0.3">
      <c r="A804">
        <v>66</v>
      </c>
      <c r="B804" s="1" t="s">
        <v>15</v>
      </c>
      <c r="C804">
        <v>2322909.69</v>
      </c>
      <c r="D804" s="1" t="s">
        <v>1615</v>
      </c>
      <c r="E804">
        <v>2322909.69</v>
      </c>
      <c r="F804">
        <v>0</v>
      </c>
      <c r="G804" s="1" t="s">
        <v>1616</v>
      </c>
      <c r="H804">
        <v>0</v>
      </c>
      <c r="I804">
        <v>0</v>
      </c>
      <c r="J804">
        <v>1</v>
      </c>
      <c r="K804">
        <v>0</v>
      </c>
      <c r="L804">
        <v>18</v>
      </c>
      <c r="M804">
        <v>0</v>
      </c>
      <c r="N804">
        <v>1</v>
      </c>
      <c r="O804">
        <v>2322909.69</v>
      </c>
    </row>
    <row r="805" spans="1:15" x14ac:dyDescent="0.3">
      <c r="A805">
        <v>66</v>
      </c>
      <c r="B805" s="1" t="s">
        <v>18</v>
      </c>
      <c r="C805">
        <v>2322909.69</v>
      </c>
      <c r="D805" s="1" t="s">
        <v>1617</v>
      </c>
      <c r="E805">
        <v>2322909.69</v>
      </c>
      <c r="F805">
        <v>0</v>
      </c>
      <c r="G805" s="1" t="s">
        <v>1618</v>
      </c>
      <c r="H805">
        <v>875613.05</v>
      </c>
      <c r="I805">
        <v>3198522.74</v>
      </c>
      <c r="J805">
        <v>1</v>
      </c>
      <c r="K805">
        <v>0</v>
      </c>
      <c r="L805">
        <v>18</v>
      </c>
      <c r="M805">
        <v>0</v>
      </c>
      <c r="N805">
        <v>1</v>
      </c>
      <c r="O805">
        <v>2322909.69</v>
      </c>
    </row>
    <row r="806" spans="1:15" x14ac:dyDescent="0.3">
      <c r="A806">
        <v>66</v>
      </c>
      <c r="B806" s="1" t="s">
        <v>15</v>
      </c>
      <c r="C806">
        <v>79441.66</v>
      </c>
      <c r="D806" s="1" t="s">
        <v>1619</v>
      </c>
      <c r="E806">
        <v>79441.66</v>
      </c>
      <c r="F806">
        <v>0</v>
      </c>
      <c r="G806" s="1" t="s">
        <v>1620</v>
      </c>
      <c r="H806">
        <v>0</v>
      </c>
      <c r="I806">
        <v>0</v>
      </c>
      <c r="J806">
        <v>1</v>
      </c>
      <c r="K806">
        <v>0</v>
      </c>
      <c r="L806">
        <v>18</v>
      </c>
      <c r="M806">
        <v>0</v>
      </c>
      <c r="N806">
        <v>1</v>
      </c>
      <c r="O806">
        <v>79441.66</v>
      </c>
    </row>
    <row r="807" spans="1:15" x14ac:dyDescent="0.3">
      <c r="A807">
        <v>66</v>
      </c>
      <c r="B807" s="1" t="s">
        <v>18</v>
      </c>
      <c r="C807">
        <v>79441.66</v>
      </c>
      <c r="D807" s="1" t="s">
        <v>1621</v>
      </c>
      <c r="E807">
        <v>79441.66</v>
      </c>
      <c r="F807">
        <v>0</v>
      </c>
      <c r="G807" s="1" t="s">
        <v>1622</v>
      </c>
      <c r="H807">
        <v>2051790.44</v>
      </c>
      <c r="I807">
        <v>2131232.1</v>
      </c>
      <c r="J807">
        <v>1</v>
      </c>
      <c r="K807">
        <v>0</v>
      </c>
      <c r="L807">
        <v>18</v>
      </c>
      <c r="M807">
        <v>0</v>
      </c>
      <c r="N807">
        <v>1</v>
      </c>
      <c r="O807">
        <v>79441.66</v>
      </c>
    </row>
    <row r="808" spans="1:15" x14ac:dyDescent="0.3">
      <c r="A808">
        <v>67</v>
      </c>
      <c r="B808" s="1" t="s">
        <v>15</v>
      </c>
      <c r="C808">
        <v>1028326.5</v>
      </c>
      <c r="D808" s="1" t="s">
        <v>1623</v>
      </c>
      <c r="E808">
        <v>1028326.5</v>
      </c>
      <c r="F808">
        <v>0</v>
      </c>
      <c r="G808" s="1" t="s">
        <v>1624</v>
      </c>
      <c r="H808">
        <v>0</v>
      </c>
      <c r="I808">
        <v>0</v>
      </c>
      <c r="J808">
        <v>1</v>
      </c>
      <c r="K808">
        <v>0</v>
      </c>
      <c r="L808">
        <v>19</v>
      </c>
      <c r="M808">
        <v>0</v>
      </c>
      <c r="N808">
        <v>1</v>
      </c>
      <c r="O808">
        <v>1028326.5</v>
      </c>
    </row>
    <row r="809" spans="1:15" x14ac:dyDescent="0.3">
      <c r="A809">
        <v>67</v>
      </c>
      <c r="B809" s="1" t="s">
        <v>18</v>
      </c>
      <c r="C809">
        <v>1028326.5</v>
      </c>
      <c r="D809" s="1" t="s">
        <v>1625</v>
      </c>
      <c r="E809">
        <v>1028326.5</v>
      </c>
      <c r="F809">
        <v>0</v>
      </c>
      <c r="G809" s="1" t="s">
        <v>1626</v>
      </c>
      <c r="H809">
        <v>0</v>
      </c>
      <c r="I809">
        <v>1028326.5</v>
      </c>
      <c r="J809">
        <v>1</v>
      </c>
      <c r="K809">
        <v>0</v>
      </c>
      <c r="L809">
        <v>19</v>
      </c>
      <c r="M809">
        <v>0</v>
      </c>
      <c r="N809">
        <v>1</v>
      </c>
      <c r="O809">
        <v>1028326.5</v>
      </c>
    </row>
    <row r="810" spans="1:15" x14ac:dyDescent="0.3">
      <c r="A810">
        <v>67</v>
      </c>
      <c r="B810" s="1" t="s">
        <v>15</v>
      </c>
      <c r="C810">
        <v>42513.08</v>
      </c>
      <c r="D810" s="1" t="s">
        <v>1627</v>
      </c>
      <c r="E810">
        <v>42513.08</v>
      </c>
      <c r="F810">
        <v>0</v>
      </c>
      <c r="G810" s="1" t="s">
        <v>1628</v>
      </c>
      <c r="H810">
        <v>0</v>
      </c>
      <c r="I810">
        <v>0</v>
      </c>
      <c r="J810">
        <v>1</v>
      </c>
      <c r="K810">
        <v>0</v>
      </c>
      <c r="L810">
        <v>19</v>
      </c>
      <c r="M810">
        <v>0</v>
      </c>
      <c r="N810">
        <v>1</v>
      </c>
      <c r="O810">
        <v>42513.08</v>
      </c>
    </row>
    <row r="811" spans="1:15" x14ac:dyDescent="0.3">
      <c r="A811">
        <v>67</v>
      </c>
      <c r="B811" s="1" t="s">
        <v>18</v>
      </c>
      <c r="C811">
        <v>42513.08</v>
      </c>
      <c r="D811" s="1" t="s">
        <v>1629</v>
      </c>
      <c r="E811">
        <v>42513.08</v>
      </c>
      <c r="F811">
        <v>0</v>
      </c>
      <c r="G811" s="1" t="s">
        <v>1630</v>
      </c>
      <c r="H811">
        <v>0</v>
      </c>
      <c r="I811">
        <v>42513.08</v>
      </c>
      <c r="J811">
        <v>1</v>
      </c>
      <c r="K811">
        <v>0</v>
      </c>
      <c r="L811">
        <v>19</v>
      </c>
      <c r="M811">
        <v>0</v>
      </c>
      <c r="N811">
        <v>1</v>
      </c>
      <c r="O811">
        <v>42513.08</v>
      </c>
    </row>
    <row r="812" spans="1:15" x14ac:dyDescent="0.3">
      <c r="A812">
        <v>67</v>
      </c>
      <c r="B812" s="1" t="s">
        <v>15</v>
      </c>
      <c r="C812">
        <v>106460.7</v>
      </c>
      <c r="D812" s="1" t="s">
        <v>1631</v>
      </c>
      <c r="E812">
        <v>106460.7</v>
      </c>
      <c r="F812">
        <v>0</v>
      </c>
      <c r="G812" s="1" t="s">
        <v>1632</v>
      </c>
      <c r="H812">
        <v>0</v>
      </c>
      <c r="I812">
        <v>0</v>
      </c>
      <c r="J812">
        <v>1</v>
      </c>
      <c r="K812">
        <v>0</v>
      </c>
      <c r="L812">
        <v>19</v>
      </c>
      <c r="M812">
        <v>0</v>
      </c>
      <c r="N812">
        <v>1</v>
      </c>
      <c r="O812">
        <v>106460.7</v>
      </c>
    </row>
    <row r="813" spans="1:15" x14ac:dyDescent="0.3">
      <c r="A813">
        <v>67</v>
      </c>
      <c r="B813" s="1" t="s">
        <v>18</v>
      </c>
      <c r="C813">
        <v>106460.7</v>
      </c>
      <c r="D813" s="1" t="s">
        <v>1633</v>
      </c>
      <c r="E813">
        <v>106460.7</v>
      </c>
      <c r="F813">
        <v>0</v>
      </c>
      <c r="G813" s="1" t="s">
        <v>1634</v>
      </c>
      <c r="H813">
        <v>1414263.15</v>
      </c>
      <c r="I813">
        <v>1520723.84</v>
      </c>
      <c r="J813">
        <v>1</v>
      </c>
      <c r="K813">
        <v>0</v>
      </c>
      <c r="L813">
        <v>19</v>
      </c>
      <c r="M813">
        <v>0</v>
      </c>
      <c r="N813">
        <v>1</v>
      </c>
      <c r="O813">
        <v>106460.7</v>
      </c>
    </row>
    <row r="814" spans="1:15" x14ac:dyDescent="0.3">
      <c r="A814">
        <v>68</v>
      </c>
      <c r="B814" s="1" t="s">
        <v>15</v>
      </c>
      <c r="C814">
        <v>915266.65</v>
      </c>
      <c r="D814" s="1" t="s">
        <v>1635</v>
      </c>
      <c r="E814">
        <v>915266.65</v>
      </c>
      <c r="F814">
        <v>0</v>
      </c>
      <c r="G814" s="1" t="s">
        <v>1636</v>
      </c>
      <c r="H814">
        <v>0</v>
      </c>
      <c r="I814">
        <v>0</v>
      </c>
      <c r="J814">
        <v>1</v>
      </c>
      <c r="K814">
        <v>0</v>
      </c>
      <c r="L814">
        <v>20</v>
      </c>
      <c r="M814">
        <v>0</v>
      </c>
      <c r="N814">
        <v>1</v>
      </c>
      <c r="O814">
        <v>915266.65</v>
      </c>
    </row>
    <row r="815" spans="1:15" x14ac:dyDescent="0.3">
      <c r="A815">
        <v>68</v>
      </c>
      <c r="B815" s="1" t="s">
        <v>18</v>
      </c>
      <c r="C815">
        <v>915266.65</v>
      </c>
      <c r="D815" s="1" t="s">
        <v>1637</v>
      </c>
      <c r="E815">
        <v>915266.65</v>
      </c>
      <c r="F815">
        <v>0</v>
      </c>
      <c r="G815" s="1" t="s">
        <v>1638</v>
      </c>
      <c r="H815">
        <v>2415414.35</v>
      </c>
      <c r="I815">
        <v>3330681</v>
      </c>
      <c r="J815">
        <v>1</v>
      </c>
      <c r="K815">
        <v>0</v>
      </c>
      <c r="L815">
        <v>20</v>
      </c>
      <c r="M815">
        <v>0</v>
      </c>
      <c r="N815">
        <v>1</v>
      </c>
      <c r="O815">
        <v>915266.65</v>
      </c>
    </row>
    <row r="816" spans="1:15" x14ac:dyDescent="0.3">
      <c r="A816">
        <v>68</v>
      </c>
      <c r="B816" s="1" t="s">
        <v>15</v>
      </c>
      <c r="C816">
        <v>5800988.1200000001</v>
      </c>
      <c r="D816" s="1" t="s">
        <v>1639</v>
      </c>
      <c r="E816">
        <v>5800988.1200000001</v>
      </c>
      <c r="F816">
        <v>0</v>
      </c>
      <c r="G816" s="1" t="s">
        <v>1640</v>
      </c>
      <c r="H816">
        <v>0</v>
      </c>
      <c r="I816">
        <v>0</v>
      </c>
      <c r="J816">
        <v>1</v>
      </c>
      <c r="K816">
        <v>0</v>
      </c>
      <c r="L816">
        <v>20</v>
      </c>
      <c r="M816">
        <v>0</v>
      </c>
      <c r="N816">
        <v>1</v>
      </c>
      <c r="O816">
        <v>5800988.1200000001</v>
      </c>
    </row>
    <row r="817" spans="1:15" x14ac:dyDescent="0.3">
      <c r="A817">
        <v>68</v>
      </c>
      <c r="B817" s="1" t="s">
        <v>18</v>
      </c>
      <c r="C817">
        <v>5800988.1200000001</v>
      </c>
      <c r="D817" s="1" t="s">
        <v>1641</v>
      </c>
      <c r="E817">
        <v>5800988.1200000001</v>
      </c>
      <c r="F817">
        <v>0</v>
      </c>
      <c r="G817" s="1" t="s">
        <v>1642</v>
      </c>
      <c r="H817">
        <v>0</v>
      </c>
      <c r="I817">
        <v>5800988.1200000001</v>
      </c>
      <c r="J817">
        <v>1</v>
      </c>
      <c r="K817">
        <v>0</v>
      </c>
      <c r="L817">
        <v>20</v>
      </c>
      <c r="M817">
        <v>0</v>
      </c>
      <c r="N817">
        <v>1</v>
      </c>
      <c r="O817">
        <v>5800988.1200000001</v>
      </c>
    </row>
    <row r="818" spans="1:15" x14ac:dyDescent="0.3">
      <c r="A818">
        <v>68</v>
      </c>
      <c r="B818" s="1" t="s">
        <v>15</v>
      </c>
      <c r="C818">
        <v>1858515.57</v>
      </c>
      <c r="D818" s="1" t="s">
        <v>1643</v>
      </c>
      <c r="E818">
        <v>1858515.57</v>
      </c>
      <c r="F818">
        <v>0</v>
      </c>
      <c r="G818" s="1" t="s">
        <v>1644</v>
      </c>
      <c r="H818">
        <v>0</v>
      </c>
      <c r="I818">
        <v>0</v>
      </c>
      <c r="J818">
        <v>1</v>
      </c>
      <c r="K818">
        <v>0</v>
      </c>
      <c r="L818">
        <v>20</v>
      </c>
      <c r="M818">
        <v>0</v>
      </c>
      <c r="N818">
        <v>1</v>
      </c>
      <c r="O818">
        <v>1858515.57</v>
      </c>
    </row>
    <row r="819" spans="1:15" x14ac:dyDescent="0.3">
      <c r="A819">
        <v>68</v>
      </c>
      <c r="B819" s="1" t="s">
        <v>18</v>
      </c>
      <c r="C819">
        <v>1858515.57</v>
      </c>
      <c r="D819" s="1" t="s">
        <v>1645</v>
      </c>
      <c r="E819">
        <v>1858515.57</v>
      </c>
      <c r="F819">
        <v>0</v>
      </c>
      <c r="G819" s="1" t="s">
        <v>1646</v>
      </c>
      <c r="H819">
        <v>887595.71</v>
      </c>
      <c r="I819">
        <v>2746111.29</v>
      </c>
      <c r="J819">
        <v>1</v>
      </c>
      <c r="K819">
        <v>0</v>
      </c>
      <c r="L819">
        <v>20</v>
      </c>
      <c r="M819">
        <v>0</v>
      </c>
      <c r="N819">
        <v>1</v>
      </c>
      <c r="O819">
        <v>1858515.57</v>
      </c>
    </row>
    <row r="820" spans="1:15" x14ac:dyDescent="0.3">
      <c r="A820">
        <v>68</v>
      </c>
      <c r="B820" s="1" t="s">
        <v>15</v>
      </c>
      <c r="C820">
        <v>3512572.72</v>
      </c>
      <c r="D820" s="1" t="s">
        <v>1647</v>
      </c>
      <c r="E820">
        <v>3512572.72</v>
      </c>
      <c r="F820">
        <v>0</v>
      </c>
      <c r="G820" s="1" t="s">
        <v>1648</v>
      </c>
      <c r="H820">
        <v>0</v>
      </c>
      <c r="I820">
        <v>0</v>
      </c>
      <c r="J820">
        <v>1</v>
      </c>
      <c r="K820">
        <v>0</v>
      </c>
      <c r="L820">
        <v>20</v>
      </c>
      <c r="M820">
        <v>0</v>
      </c>
      <c r="N820">
        <v>1</v>
      </c>
      <c r="O820">
        <v>3512572.72</v>
      </c>
    </row>
    <row r="821" spans="1:15" x14ac:dyDescent="0.3">
      <c r="A821">
        <v>68</v>
      </c>
      <c r="B821" s="1" t="s">
        <v>18</v>
      </c>
      <c r="C821">
        <v>3512572.72</v>
      </c>
      <c r="D821" s="1" t="s">
        <v>1649</v>
      </c>
      <c r="E821">
        <v>3512572.72</v>
      </c>
      <c r="F821">
        <v>0</v>
      </c>
      <c r="G821" s="1" t="s">
        <v>1650</v>
      </c>
      <c r="H821">
        <v>111846.62</v>
      </c>
      <c r="I821">
        <v>3624419.34</v>
      </c>
      <c r="J821">
        <v>1</v>
      </c>
      <c r="K821">
        <v>0</v>
      </c>
      <c r="L821">
        <v>20</v>
      </c>
      <c r="M821">
        <v>0</v>
      </c>
      <c r="N821">
        <v>1</v>
      </c>
      <c r="O821">
        <v>3512572.72</v>
      </c>
    </row>
    <row r="822" spans="1:15" x14ac:dyDescent="0.3">
      <c r="A822">
        <v>68</v>
      </c>
      <c r="B822" s="1" t="s">
        <v>15</v>
      </c>
      <c r="C822">
        <v>374178.28</v>
      </c>
      <c r="D822" s="1" t="s">
        <v>1651</v>
      </c>
      <c r="E822">
        <v>374178.28</v>
      </c>
      <c r="F822">
        <v>0</v>
      </c>
      <c r="G822" s="1" t="s">
        <v>1652</v>
      </c>
      <c r="H822">
        <v>0</v>
      </c>
      <c r="I822">
        <v>0</v>
      </c>
      <c r="J822">
        <v>1</v>
      </c>
      <c r="K822">
        <v>0</v>
      </c>
      <c r="L822">
        <v>20</v>
      </c>
      <c r="M822">
        <v>0</v>
      </c>
      <c r="N822">
        <v>1</v>
      </c>
      <c r="O822">
        <v>374178.28</v>
      </c>
    </row>
    <row r="823" spans="1:15" x14ac:dyDescent="0.3">
      <c r="A823">
        <v>68</v>
      </c>
      <c r="B823" s="1" t="s">
        <v>18</v>
      </c>
      <c r="C823">
        <v>374178.28</v>
      </c>
      <c r="D823" s="1" t="s">
        <v>1653</v>
      </c>
      <c r="E823">
        <v>374178.28</v>
      </c>
      <c r="F823">
        <v>0</v>
      </c>
      <c r="G823" s="1" t="s">
        <v>1654</v>
      </c>
      <c r="H823">
        <v>616364.56999999995</v>
      </c>
      <c r="I823">
        <v>990542.85</v>
      </c>
      <c r="J823">
        <v>1</v>
      </c>
      <c r="K823">
        <v>0</v>
      </c>
      <c r="L823">
        <v>20</v>
      </c>
      <c r="M823">
        <v>0</v>
      </c>
      <c r="N823">
        <v>1</v>
      </c>
      <c r="O823">
        <v>374178.28</v>
      </c>
    </row>
    <row r="824" spans="1:15" x14ac:dyDescent="0.3">
      <c r="A824">
        <v>68</v>
      </c>
      <c r="B824" s="1" t="s">
        <v>15</v>
      </c>
      <c r="C824">
        <v>2026529.56</v>
      </c>
      <c r="D824" s="1" t="s">
        <v>1655</v>
      </c>
      <c r="E824">
        <v>2026529.56</v>
      </c>
      <c r="F824">
        <v>0</v>
      </c>
      <c r="G824" s="1" t="s">
        <v>1656</v>
      </c>
      <c r="H824">
        <v>0</v>
      </c>
      <c r="I824">
        <v>0</v>
      </c>
      <c r="J824">
        <v>1</v>
      </c>
      <c r="K824">
        <v>0</v>
      </c>
      <c r="L824">
        <v>20</v>
      </c>
      <c r="M824">
        <v>0</v>
      </c>
      <c r="N824">
        <v>1</v>
      </c>
      <c r="O824">
        <v>2026529.56</v>
      </c>
    </row>
    <row r="825" spans="1:15" x14ac:dyDescent="0.3">
      <c r="A825">
        <v>68</v>
      </c>
      <c r="B825" s="1" t="s">
        <v>18</v>
      </c>
      <c r="C825">
        <v>2026529.56</v>
      </c>
      <c r="D825" s="1" t="s">
        <v>1657</v>
      </c>
      <c r="E825">
        <v>2026529.56</v>
      </c>
      <c r="F825">
        <v>0</v>
      </c>
      <c r="G825" s="1" t="s">
        <v>1658</v>
      </c>
      <c r="H825">
        <v>511526.05</v>
      </c>
      <c r="I825">
        <v>2538055.62</v>
      </c>
      <c r="J825">
        <v>1</v>
      </c>
      <c r="K825">
        <v>0</v>
      </c>
      <c r="L825">
        <v>20</v>
      </c>
      <c r="M825">
        <v>0</v>
      </c>
      <c r="N825">
        <v>1</v>
      </c>
      <c r="O825">
        <v>2026529.56</v>
      </c>
    </row>
    <row r="826" spans="1:15" x14ac:dyDescent="0.3">
      <c r="A826">
        <v>68</v>
      </c>
      <c r="B826" s="1" t="s">
        <v>15</v>
      </c>
      <c r="C826">
        <v>13890.42</v>
      </c>
      <c r="D826" s="1" t="s">
        <v>1659</v>
      </c>
      <c r="E826">
        <v>13890.42</v>
      </c>
      <c r="F826">
        <v>0</v>
      </c>
      <c r="G826" s="1" t="s">
        <v>1660</v>
      </c>
      <c r="H826">
        <v>0</v>
      </c>
      <c r="I826">
        <v>0</v>
      </c>
      <c r="J826">
        <v>1</v>
      </c>
      <c r="K826">
        <v>0</v>
      </c>
      <c r="L826">
        <v>20</v>
      </c>
      <c r="M826">
        <v>0</v>
      </c>
      <c r="N826">
        <v>1</v>
      </c>
      <c r="O826">
        <v>13890.42</v>
      </c>
    </row>
    <row r="827" spans="1:15" x14ac:dyDescent="0.3">
      <c r="A827">
        <v>68</v>
      </c>
      <c r="B827" s="1" t="s">
        <v>18</v>
      </c>
      <c r="C827">
        <v>13890.42</v>
      </c>
      <c r="D827" s="1" t="s">
        <v>1661</v>
      </c>
      <c r="E827">
        <v>13890.42</v>
      </c>
      <c r="F827">
        <v>0</v>
      </c>
      <c r="G827" s="1" t="s">
        <v>1662</v>
      </c>
      <c r="H827">
        <v>0</v>
      </c>
      <c r="I827">
        <v>13890.42</v>
      </c>
      <c r="J827">
        <v>1</v>
      </c>
      <c r="K827">
        <v>0</v>
      </c>
      <c r="L827">
        <v>20</v>
      </c>
      <c r="M827">
        <v>0</v>
      </c>
      <c r="N827">
        <v>1</v>
      </c>
      <c r="O827">
        <v>13890.42</v>
      </c>
    </row>
    <row r="828" spans="1:15" x14ac:dyDescent="0.3">
      <c r="A828">
        <v>68</v>
      </c>
      <c r="B828" s="1" t="s">
        <v>15</v>
      </c>
      <c r="C828">
        <v>281743.12</v>
      </c>
      <c r="D828" s="1" t="s">
        <v>1663</v>
      </c>
      <c r="E828">
        <v>281743.12</v>
      </c>
      <c r="F828">
        <v>0</v>
      </c>
      <c r="G828" s="1" t="s">
        <v>1664</v>
      </c>
      <c r="H828">
        <v>0</v>
      </c>
      <c r="I828">
        <v>0</v>
      </c>
      <c r="J828">
        <v>1</v>
      </c>
      <c r="K828">
        <v>0</v>
      </c>
      <c r="L828">
        <v>20</v>
      </c>
      <c r="M828">
        <v>0</v>
      </c>
      <c r="N828">
        <v>1</v>
      </c>
      <c r="O828">
        <v>281743.12</v>
      </c>
    </row>
    <row r="829" spans="1:15" x14ac:dyDescent="0.3">
      <c r="A829">
        <v>68</v>
      </c>
      <c r="B829" s="1" t="s">
        <v>18</v>
      </c>
      <c r="C829">
        <v>281743.12</v>
      </c>
      <c r="D829" s="1" t="s">
        <v>1665</v>
      </c>
      <c r="E829">
        <v>281743.12</v>
      </c>
      <c r="F829">
        <v>0</v>
      </c>
      <c r="G829" s="1" t="s">
        <v>1666</v>
      </c>
      <c r="H829">
        <v>158099.98000000001</v>
      </c>
      <c r="I829">
        <v>439843.09</v>
      </c>
      <c r="J829">
        <v>1</v>
      </c>
      <c r="K829">
        <v>0</v>
      </c>
      <c r="L829">
        <v>20</v>
      </c>
      <c r="M829">
        <v>0</v>
      </c>
      <c r="N829">
        <v>1</v>
      </c>
      <c r="O829">
        <v>281743.12</v>
      </c>
    </row>
    <row r="830" spans="1:15" x14ac:dyDescent="0.3">
      <c r="A830">
        <v>68</v>
      </c>
      <c r="B830" s="1" t="s">
        <v>15</v>
      </c>
      <c r="C830">
        <v>157494.6</v>
      </c>
      <c r="D830" s="1" t="s">
        <v>1667</v>
      </c>
      <c r="E830">
        <v>157494.6</v>
      </c>
      <c r="F830">
        <v>0</v>
      </c>
      <c r="G830" s="1" t="s">
        <v>1668</v>
      </c>
      <c r="H830">
        <v>0</v>
      </c>
      <c r="I830">
        <v>0</v>
      </c>
      <c r="J830">
        <v>1</v>
      </c>
      <c r="K830">
        <v>0</v>
      </c>
      <c r="L830">
        <v>20</v>
      </c>
      <c r="M830">
        <v>0</v>
      </c>
      <c r="N830">
        <v>1</v>
      </c>
      <c r="O830">
        <v>157494.6</v>
      </c>
    </row>
    <row r="831" spans="1:15" x14ac:dyDescent="0.3">
      <c r="A831">
        <v>68</v>
      </c>
      <c r="B831" s="1" t="s">
        <v>18</v>
      </c>
      <c r="C831">
        <v>157494.6</v>
      </c>
      <c r="D831" s="1" t="s">
        <v>1669</v>
      </c>
      <c r="E831">
        <v>157494.6</v>
      </c>
      <c r="F831">
        <v>0</v>
      </c>
      <c r="G831" s="1" t="s">
        <v>1670</v>
      </c>
      <c r="H831">
        <v>509029.31</v>
      </c>
      <c r="I831">
        <v>666523.92000000004</v>
      </c>
      <c r="J831">
        <v>1</v>
      </c>
      <c r="K831">
        <v>0</v>
      </c>
      <c r="L831">
        <v>20</v>
      </c>
      <c r="M831">
        <v>0</v>
      </c>
      <c r="N831">
        <v>1</v>
      </c>
      <c r="O831">
        <v>157494.6</v>
      </c>
    </row>
    <row r="832" spans="1:15" x14ac:dyDescent="0.3">
      <c r="A832">
        <v>69</v>
      </c>
      <c r="B832" s="1" t="s">
        <v>15</v>
      </c>
      <c r="C832">
        <v>19776.71</v>
      </c>
      <c r="D832" s="1" t="s">
        <v>1671</v>
      </c>
      <c r="E832">
        <v>19776.71</v>
      </c>
      <c r="F832">
        <v>0</v>
      </c>
      <c r="G832" s="1" t="s">
        <v>1672</v>
      </c>
      <c r="H832">
        <v>0</v>
      </c>
      <c r="I832">
        <v>0</v>
      </c>
      <c r="J832">
        <v>1</v>
      </c>
      <c r="K832">
        <v>0</v>
      </c>
      <c r="L832">
        <v>21</v>
      </c>
      <c r="M832">
        <v>0</v>
      </c>
      <c r="N832">
        <v>1</v>
      </c>
      <c r="O832">
        <v>19776.71</v>
      </c>
    </row>
    <row r="833" spans="1:15" x14ac:dyDescent="0.3">
      <c r="A833">
        <v>69</v>
      </c>
      <c r="B833" s="1" t="s">
        <v>18</v>
      </c>
      <c r="C833">
        <v>19776.71</v>
      </c>
      <c r="D833" s="1" t="s">
        <v>1673</v>
      </c>
      <c r="E833">
        <v>19776.71</v>
      </c>
      <c r="F833">
        <v>0</v>
      </c>
      <c r="G833" s="1" t="s">
        <v>1674</v>
      </c>
      <c r="H833">
        <v>1138941.53</v>
      </c>
      <c r="I833">
        <v>1158718.24</v>
      </c>
      <c r="J833">
        <v>1</v>
      </c>
      <c r="K833">
        <v>0</v>
      </c>
      <c r="L833">
        <v>21</v>
      </c>
      <c r="M833">
        <v>0</v>
      </c>
      <c r="N833">
        <v>1</v>
      </c>
      <c r="O833">
        <v>19776.71</v>
      </c>
    </row>
    <row r="834" spans="1:15" x14ac:dyDescent="0.3">
      <c r="A834">
        <v>69</v>
      </c>
      <c r="B834" s="1" t="s">
        <v>15</v>
      </c>
      <c r="C834">
        <v>271731.05</v>
      </c>
      <c r="D834" s="1" t="s">
        <v>1675</v>
      </c>
      <c r="E834">
        <v>271731.05</v>
      </c>
      <c r="F834">
        <v>0</v>
      </c>
      <c r="G834" s="1" t="s">
        <v>1676</v>
      </c>
      <c r="H834">
        <v>0</v>
      </c>
      <c r="I834">
        <v>0</v>
      </c>
      <c r="J834">
        <v>1</v>
      </c>
      <c r="K834">
        <v>0</v>
      </c>
      <c r="L834">
        <v>21</v>
      </c>
      <c r="M834">
        <v>0</v>
      </c>
      <c r="N834">
        <v>1</v>
      </c>
      <c r="O834">
        <v>271731.05</v>
      </c>
    </row>
    <row r="835" spans="1:15" x14ac:dyDescent="0.3">
      <c r="A835">
        <v>69</v>
      </c>
      <c r="B835" s="1" t="s">
        <v>18</v>
      </c>
      <c r="C835">
        <v>271731.05</v>
      </c>
      <c r="D835" s="1" t="s">
        <v>1677</v>
      </c>
      <c r="E835">
        <v>271731.05</v>
      </c>
      <c r="F835">
        <v>0</v>
      </c>
      <c r="G835" s="1" t="s">
        <v>1678</v>
      </c>
      <c r="H835">
        <v>0</v>
      </c>
      <c r="I835">
        <v>271731.05</v>
      </c>
      <c r="J835">
        <v>1</v>
      </c>
      <c r="K835">
        <v>0</v>
      </c>
      <c r="L835">
        <v>21</v>
      </c>
      <c r="M835">
        <v>0</v>
      </c>
      <c r="N835">
        <v>1</v>
      </c>
      <c r="O835">
        <v>271731.05</v>
      </c>
    </row>
    <row r="836" spans="1:15" x14ac:dyDescent="0.3">
      <c r="A836">
        <v>69</v>
      </c>
      <c r="B836" s="1" t="s">
        <v>15</v>
      </c>
      <c r="C836">
        <v>7728992.5599999996</v>
      </c>
      <c r="D836" s="1" t="s">
        <v>1679</v>
      </c>
      <c r="E836">
        <v>7728992.5599999996</v>
      </c>
      <c r="F836">
        <v>0</v>
      </c>
      <c r="G836" s="1" t="s">
        <v>1680</v>
      </c>
      <c r="H836">
        <v>0</v>
      </c>
      <c r="I836">
        <v>0</v>
      </c>
      <c r="J836">
        <v>1</v>
      </c>
      <c r="K836">
        <v>0</v>
      </c>
      <c r="L836">
        <v>21</v>
      </c>
      <c r="M836">
        <v>0</v>
      </c>
      <c r="N836">
        <v>1</v>
      </c>
      <c r="O836">
        <v>7728992.5599999996</v>
      </c>
    </row>
    <row r="837" spans="1:15" x14ac:dyDescent="0.3">
      <c r="A837">
        <v>69</v>
      </c>
      <c r="B837" s="1" t="s">
        <v>18</v>
      </c>
      <c r="C837">
        <v>7728992.5599999996</v>
      </c>
      <c r="D837" s="1" t="s">
        <v>1681</v>
      </c>
      <c r="E837">
        <v>7728992.5599999996</v>
      </c>
      <c r="F837">
        <v>0</v>
      </c>
      <c r="G837" s="1" t="s">
        <v>1682</v>
      </c>
      <c r="H837">
        <v>340622.45</v>
      </c>
      <c r="I837">
        <v>8069615</v>
      </c>
      <c r="J837">
        <v>1</v>
      </c>
      <c r="K837">
        <v>0</v>
      </c>
      <c r="L837">
        <v>21</v>
      </c>
      <c r="M837">
        <v>0</v>
      </c>
      <c r="N837">
        <v>1</v>
      </c>
      <c r="O837">
        <v>7728992.5599999996</v>
      </c>
    </row>
    <row r="838" spans="1:15" x14ac:dyDescent="0.3">
      <c r="A838">
        <v>69</v>
      </c>
      <c r="B838" s="1" t="s">
        <v>15</v>
      </c>
      <c r="C838">
        <v>175328.85</v>
      </c>
      <c r="D838" s="1" t="s">
        <v>1683</v>
      </c>
      <c r="E838">
        <v>175328.85</v>
      </c>
      <c r="F838">
        <v>0</v>
      </c>
      <c r="G838" s="1" t="s">
        <v>1684</v>
      </c>
      <c r="H838">
        <v>0</v>
      </c>
      <c r="I838">
        <v>0</v>
      </c>
      <c r="J838">
        <v>1</v>
      </c>
      <c r="K838">
        <v>0</v>
      </c>
      <c r="L838">
        <v>21</v>
      </c>
      <c r="M838">
        <v>0</v>
      </c>
      <c r="N838">
        <v>1</v>
      </c>
      <c r="O838">
        <v>175328.85</v>
      </c>
    </row>
    <row r="839" spans="1:15" x14ac:dyDescent="0.3">
      <c r="A839">
        <v>69</v>
      </c>
      <c r="B839" s="1" t="s">
        <v>18</v>
      </c>
      <c r="C839">
        <v>175328.85</v>
      </c>
      <c r="D839" s="1" t="s">
        <v>1685</v>
      </c>
      <c r="E839">
        <v>175328.85</v>
      </c>
      <c r="F839">
        <v>0</v>
      </c>
      <c r="G839" s="1" t="s">
        <v>1686</v>
      </c>
      <c r="H839">
        <v>110129.95</v>
      </c>
      <c r="I839">
        <v>285458.8</v>
      </c>
      <c r="J839">
        <v>1</v>
      </c>
      <c r="K839">
        <v>0</v>
      </c>
      <c r="L839">
        <v>21</v>
      </c>
      <c r="M839">
        <v>0</v>
      </c>
      <c r="N839">
        <v>1</v>
      </c>
      <c r="O839">
        <v>175328.85</v>
      </c>
    </row>
    <row r="840" spans="1:15" x14ac:dyDescent="0.3">
      <c r="A840">
        <v>69</v>
      </c>
      <c r="B840" s="1" t="s">
        <v>15</v>
      </c>
      <c r="C840">
        <v>353313.55</v>
      </c>
      <c r="D840" s="1" t="s">
        <v>1687</v>
      </c>
      <c r="E840">
        <v>353313.55</v>
      </c>
      <c r="F840">
        <v>0</v>
      </c>
      <c r="G840" s="1" t="s">
        <v>1688</v>
      </c>
      <c r="H840">
        <v>0</v>
      </c>
      <c r="I840">
        <v>0</v>
      </c>
      <c r="J840">
        <v>1</v>
      </c>
      <c r="K840">
        <v>0</v>
      </c>
      <c r="L840">
        <v>21</v>
      </c>
      <c r="M840">
        <v>0</v>
      </c>
      <c r="N840">
        <v>1</v>
      </c>
      <c r="O840">
        <v>353313.55</v>
      </c>
    </row>
    <row r="841" spans="1:15" x14ac:dyDescent="0.3">
      <c r="A841">
        <v>69</v>
      </c>
      <c r="B841" s="1" t="s">
        <v>18</v>
      </c>
      <c r="C841">
        <v>353313.55</v>
      </c>
      <c r="D841" s="1" t="s">
        <v>1689</v>
      </c>
      <c r="E841">
        <v>353313.55</v>
      </c>
      <c r="F841">
        <v>0</v>
      </c>
      <c r="G841" s="1" t="s">
        <v>1690</v>
      </c>
      <c r="H841">
        <v>2808260.05</v>
      </c>
      <c r="I841">
        <v>3161573.6</v>
      </c>
      <c r="J841">
        <v>1</v>
      </c>
      <c r="K841">
        <v>0</v>
      </c>
      <c r="L841">
        <v>21</v>
      </c>
      <c r="M841">
        <v>0</v>
      </c>
      <c r="N841">
        <v>1</v>
      </c>
      <c r="O841">
        <v>353313.55</v>
      </c>
    </row>
    <row r="842" spans="1:15" x14ac:dyDescent="0.3">
      <c r="A842">
        <v>69</v>
      </c>
      <c r="B842" s="1" t="s">
        <v>15</v>
      </c>
      <c r="C842">
        <v>582571.87</v>
      </c>
      <c r="D842" s="1" t="s">
        <v>1691</v>
      </c>
      <c r="E842">
        <v>582571.87</v>
      </c>
      <c r="F842">
        <v>0</v>
      </c>
      <c r="G842" s="1" t="s">
        <v>1692</v>
      </c>
      <c r="H842">
        <v>0</v>
      </c>
      <c r="I842">
        <v>0</v>
      </c>
      <c r="J842">
        <v>1</v>
      </c>
      <c r="K842">
        <v>0</v>
      </c>
      <c r="L842">
        <v>21</v>
      </c>
      <c r="M842">
        <v>0</v>
      </c>
      <c r="N842">
        <v>1</v>
      </c>
      <c r="O842">
        <v>582571.87</v>
      </c>
    </row>
    <row r="843" spans="1:15" x14ac:dyDescent="0.3">
      <c r="A843">
        <v>69</v>
      </c>
      <c r="B843" s="1" t="s">
        <v>18</v>
      </c>
      <c r="C843">
        <v>582571.87</v>
      </c>
      <c r="D843" s="1" t="s">
        <v>1693</v>
      </c>
      <c r="E843">
        <v>582571.87</v>
      </c>
      <c r="F843">
        <v>0</v>
      </c>
      <c r="G843" s="1" t="s">
        <v>1694</v>
      </c>
      <c r="H843">
        <v>0</v>
      </c>
      <c r="I843">
        <v>582571.87</v>
      </c>
      <c r="J843">
        <v>1</v>
      </c>
      <c r="K843">
        <v>0</v>
      </c>
      <c r="L843">
        <v>21</v>
      </c>
      <c r="M843">
        <v>0</v>
      </c>
      <c r="N843">
        <v>1</v>
      </c>
      <c r="O843">
        <v>582571.87</v>
      </c>
    </row>
    <row r="844" spans="1:15" x14ac:dyDescent="0.3">
      <c r="A844">
        <v>69</v>
      </c>
      <c r="B844" s="1" t="s">
        <v>15</v>
      </c>
      <c r="C844">
        <v>2960254.17</v>
      </c>
      <c r="D844" s="1" t="s">
        <v>1695</v>
      </c>
      <c r="E844">
        <v>2960254.17</v>
      </c>
      <c r="F844">
        <v>0</v>
      </c>
      <c r="G844" s="1" t="s">
        <v>1696</v>
      </c>
      <c r="H844">
        <v>0</v>
      </c>
      <c r="I844">
        <v>0</v>
      </c>
      <c r="J844">
        <v>1</v>
      </c>
      <c r="K844">
        <v>0</v>
      </c>
      <c r="L844">
        <v>21</v>
      </c>
      <c r="M844">
        <v>0</v>
      </c>
      <c r="N844">
        <v>1</v>
      </c>
      <c r="O844">
        <v>2960254.17</v>
      </c>
    </row>
    <row r="845" spans="1:15" x14ac:dyDescent="0.3">
      <c r="A845">
        <v>69</v>
      </c>
      <c r="B845" s="1" t="s">
        <v>18</v>
      </c>
      <c r="C845">
        <v>2960254.17</v>
      </c>
      <c r="D845" s="1" t="s">
        <v>1697</v>
      </c>
      <c r="E845">
        <v>2960254.17</v>
      </c>
      <c r="F845">
        <v>0</v>
      </c>
      <c r="G845" s="1" t="s">
        <v>1698</v>
      </c>
      <c r="H845">
        <v>620822.89</v>
      </c>
      <c r="I845">
        <v>3581077.07</v>
      </c>
      <c r="J845">
        <v>1</v>
      </c>
      <c r="K845">
        <v>0</v>
      </c>
      <c r="L845">
        <v>21</v>
      </c>
      <c r="M845">
        <v>0</v>
      </c>
      <c r="N845">
        <v>1</v>
      </c>
      <c r="O845">
        <v>2960254.17</v>
      </c>
    </row>
    <row r="846" spans="1:15" x14ac:dyDescent="0.3">
      <c r="A846">
        <v>69</v>
      </c>
      <c r="B846" s="1" t="s">
        <v>15</v>
      </c>
      <c r="C846">
        <v>5521483.54</v>
      </c>
      <c r="D846" s="1" t="s">
        <v>1699</v>
      </c>
      <c r="E846">
        <v>5521483.54</v>
      </c>
      <c r="F846">
        <v>0</v>
      </c>
      <c r="G846" s="1" t="s">
        <v>1700</v>
      </c>
      <c r="H846">
        <v>0</v>
      </c>
      <c r="I846">
        <v>0</v>
      </c>
      <c r="J846">
        <v>1</v>
      </c>
      <c r="K846">
        <v>0</v>
      </c>
      <c r="L846">
        <v>21</v>
      </c>
      <c r="M846">
        <v>0</v>
      </c>
      <c r="N846">
        <v>1</v>
      </c>
      <c r="O846">
        <v>5521483.54</v>
      </c>
    </row>
    <row r="847" spans="1:15" x14ac:dyDescent="0.3">
      <c r="A847">
        <v>69</v>
      </c>
      <c r="B847" s="1" t="s">
        <v>18</v>
      </c>
      <c r="C847">
        <v>5521483.54</v>
      </c>
      <c r="D847" s="1" t="s">
        <v>1701</v>
      </c>
      <c r="E847">
        <v>5521483.54</v>
      </c>
      <c r="F847">
        <v>0</v>
      </c>
      <c r="G847" s="1" t="s">
        <v>1702</v>
      </c>
      <c r="H847">
        <v>5527212.3399999999</v>
      </c>
      <c r="I847">
        <v>11000000</v>
      </c>
      <c r="J847">
        <v>1</v>
      </c>
      <c r="K847">
        <v>0</v>
      </c>
      <c r="L847">
        <v>21</v>
      </c>
      <c r="M847">
        <v>0</v>
      </c>
      <c r="N847">
        <v>1</v>
      </c>
      <c r="O847">
        <v>5521483.54</v>
      </c>
    </row>
    <row r="848" spans="1:15" x14ac:dyDescent="0.3">
      <c r="A848">
        <v>69</v>
      </c>
      <c r="B848" s="1" t="s">
        <v>15</v>
      </c>
      <c r="C848">
        <v>2147778.33</v>
      </c>
      <c r="D848" s="1" t="s">
        <v>1703</v>
      </c>
      <c r="E848">
        <v>2147778.33</v>
      </c>
      <c r="F848">
        <v>0</v>
      </c>
      <c r="G848" s="1" t="s">
        <v>1704</v>
      </c>
      <c r="H848">
        <v>0</v>
      </c>
      <c r="I848">
        <v>0</v>
      </c>
      <c r="J848">
        <v>1</v>
      </c>
      <c r="K848">
        <v>0</v>
      </c>
      <c r="L848">
        <v>21</v>
      </c>
      <c r="M848">
        <v>0</v>
      </c>
      <c r="N848">
        <v>1</v>
      </c>
      <c r="O848">
        <v>2147778.33</v>
      </c>
    </row>
    <row r="849" spans="1:15" x14ac:dyDescent="0.3">
      <c r="A849">
        <v>69</v>
      </c>
      <c r="B849" s="1" t="s">
        <v>18</v>
      </c>
      <c r="C849">
        <v>2147778.33</v>
      </c>
      <c r="D849" s="1" t="s">
        <v>1705</v>
      </c>
      <c r="E849">
        <v>2147778.33</v>
      </c>
      <c r="F849">
        <v>0</v>
      </c>
      <c r="G849" s="1" t="s">
        <v>1706</v>
      </c>
      <c r="H849">
        <v>0</v>
      </c>
      <c r="I849">
        <v>2147778.33</v>
      </c>
      <c r="J849">
        <v>1</v>
      </c>
      <c r="K849">
        <v>0</v>
      </c>
      <c r="L849">
        <v>21</v>
      </c>
      <c r="M849">
        <v>0</v>
      </c>
      <c r="N849">
        <v>1</v>
      </c>
      <c r="O849">
        <v>2147778.33</v>
      </c>
    </row>
    <row r="850" spans="1:15" x14ac:dyDescent="0.3">
      <c r="A850">
        <v>69</v>
      </c>
      <c r="B850" s="1" t="s">
        <v>15</v>
      </c>
      <c r="C850">
        <v>967954.01</v>
      </c>
      <c r="D850" s="1" t="s">
        <v>1707</v>
      </c>
      <c r="E850">
        <v>967954.01</v>
      </c>
      <c r="F850">
        <v>0</v>
      </c>
      <c r="G850" s="1" t="s">
        <v>1708</v>
      </c>
      <c r="H850">
        <v>0</v>
      </c>
      <c r="I850">
        <v>0</v>
      </c>
      <c r="J850">
        <v>1</v>
      </c>
      <c r="K850">
        <v>0</v>
      </c>
      <c r="L850">
        <v>21</v>
      </c>
      <c r="M850">
        <v>0</v>
      </c>
      <c r="N850">
        <v>1</v>
      </c>
      <c r="O850">
        <v>967954.01</v>
      </c>
    </row>
    <row r="851" spans="1:15" x14ac:dyDescent="0.3">
      <c r="A851">
        <v>69</v>
      </c>
      <c r="B851" s="1" t="s">
        <v>18</v>
      </c>
      <c r="C851">
        <v>967954.01</v>
      </c>
      <c r="D851" s="1" t="s">
        <v>1709</v>
      </c>
      <c r="E851">
        <v>967954.01</v>
      </c>
      <c r="F851">
        <v>0</v>
      </c>
      <c r="G851" s="1" t="s">
        <v>1710</v>
      </c>
      <c r="H851">
        <v>0</v>
      </c>
      <c r="I851">
        <v>967954.01</v>
      </c>
      <c r="J851">
        <v>1</v>
      </c>
      <c r="K851">
        <v>0</v>
      </c>
      <c r="L851">
        <v>21</v>
      </c>
      <c r="M851">
        <v>0</v>
      </c>
      <c r="N851">
        <v>1</v>
      </c>
      <c r="O851">
        <v>967954.01</v>
      </c>
    </row>
    <row r="852" spans="1:15" x14ac:dyDescent="0.3">
      <c r="A852">
        <v>70</v>
      </c>
      <c r="B852" s="1" t="s">
        <v>15</v>
      </c>
      <c r="C852">
        <v>266766.78000000003</v>
      </c>
      <c r="D852" s="1" t="s">
        <v>1711</v>
      </c>
      <c r="E852">
        <v>266766.78000000003</v>
      </c>
      <c r="F852">
        <v>0</v>
      </c>
      <c r="G852" s="1" t="s">
        <v>1712</v>
      </c>
      <c r="H852">
        <v>0</v>
      </c>
      <c r="I852">
        <v>0</v>
      </c>
      <c r="J852">
        <v>1</v>
      </c>
      <c r="K852">
        <v>0</v>
      </c>
      <c r="L852">
        <v>22</v>
      </c>
      <c r="M852">
        <v>0</v>
      </c>
      <c r="N852">
        <v>1</v>
      </c>
      <c r="O852">
        <v>266766.78000000003</v>
      </c>
    </row>
    <row r="853" spans="1:15" x14ac:dyDescent="0.3">
      <c r="A853">
        <v>70</v>
      </c>
      <c r="B853" s="1" t="s">
        <v>18</v>
      </c>
      <c r="C853">
        <v>266766.78000000003</v>
      </c>
      <c r="D853" s="1" t="s">
        <v>1713</v>
      </c>
      <c r="E853">
        <v>266766.78000000003</v>
      </c>
      <c r="F853">
        <v>0</v>
      </c>
      <c r="G853" s="1" t="s">
        <v>1714</v>
      </c>
      <c r="H853">
        <v>0</v>
      </c>
      <c r="I853">
        <v>266766.78000000003</v>
      </c>
      <c r="J853">
        <v>1</v>
      </c>
      <c r="K853">
        <v>0</v>
      </c>
      <c r="L853">
        <v>22</v>
      </c>
      <c r="M853">
        <v>0</v>
      </c>
      <c r="N853">
        <v>1</v>
      </c>
      <c r="O853">
        <v>266766.78000000003</v>
      </c>
    </row>
    <row r="854" spans="1:15" x14ac:dyDescent="0.3">
      <c r="A854">
        <v>70</v>
      </c>
      <c r="B854" s="1" t="s">
        <v>15</v>
      </c>
      <c r="C854">
        <v>1036789.41</v>
      </c>
      <c r="D854" s="1" t="s">
        <v>1715</v>
      </c>
      <c r="E854">
        <v>1036789.41</v>
      </c>
      <c r="F854">
        <v>0</v>
      </c>
      <c r="G854" s="1" t="s">
        <v>1716</v>
      </c>
      <c r="H854">
        <v>0</v>
      </c>
      <c r="I854">
        <v>0</v>
      </c>
      <c r="J854">
        <v>1</v>
      </c>
      <c r="K854">
        <v>0</v>
      </c>
      <c r="L854">
        <v>22</v>
      </c>
      <c r="M854">
        <v>0</v>
      </c>
      <c r="N854">
        <v>1</v>
      </c>
      <c r="O854">
        <v>1036789.41</v>
      </c>
    </row>
    <row r="855" spans="1:15" x14ac:dyDescent="0.3">
      <c r="A855">
        <v>70</v>
      </c>
      <c r="B855" s="1" t="s">
        <v>18</v>
      </c>
      <c r="C855">
        <v>1036789.41</v>
      </c>
      <c r="D855" s="1" t="s">
        <v>1717</v>
      </c>
      <c r="E855">
        <v>1036789.41</v>
      </c>
      <c r="F855">
        <v>0</v>
      </c>
      <c r="G855" s="1" t="s">
        <v>1718</v>
      </c>
      <c r="H855">
        <v>523315.63</v>
      </c>
      <c r="I855">
        <v>1560105.04</v>
      </c>
      <c r="J855">
        <v>1</v>
      </c>
      <c r="K855">
        <v>0</v>
      </c>
      <c r="L855">
        <v>22</v>
      </c>
      <c r="M855">
        <v>0</v>
      </c>
      <c r="N855">
        <v>1</v>
      </c>
      <c r="O855">
        <v>1036789.41</v>
      </c>
    </row>
    <row r="856" spans="1:15" x14ac:dyDescent="0.3">
      <c r="A856">
        <v>70</v>
      </c>
      <c r="B856" s="1" t="s">
        <v>15</v>
      </c>
      <c r="C856">
        <v>167067.78</v>
      </c>
      <c r="D856" s="1" t="s">
        <v>1719</v>
      </c>
      <c r="E856">
        <v>167067.78</v>
      </c>
      <c r="F856">
        <v>0</v>
      </c>
      <c r="G856" s="1" t="s">
        <v>1720</v>
      </c>
      <c r="H856">
        <v>0</v>
      </c>
      <c r="I856">
        <v>0</v>
      </c>
      <c r="J856">
        <v>1</v>
      </c>
      <c r="K856">
        <v>0</v>
      </c>
      <c r="L856">
        <v>22</v>
      </c>
      <c r="M856">
        <v>0</v>
      </c>
      <c r="N856">
        <v>1</v>
      </c>
      <c r="O856">
        <v>167067.78</v>
      </c>
    </row>
    <row r="857" spans="1:15" x14ac:dyDescent="0.3">
      <c r="A857">
        <v>70</v>
      </c>
      <c r="B857" s="1" t="s">
        <v>18</v>
      </c>
      <c r="C857">
        <v>167067.78</v>
      </c>
      <c r="D857" s="1" t="s">
        <v>1721</v>
      </c>
      <c r="E857">
        <v>167067.78</v>
      </c>
      <c r="F857">
        <v>0</v>
      </c>
      <c r="G857" s="1" t="s">
        <v>1722</v>
      </c>
      <c r="H857">
        <v>169160.19</v>
      </c>
      <c r="I857">
        <v>336227.97</v>
      </c>
      <c r="J857">
        <v>1</v>
      </c>
      <c r="K857">
        <v>0</v>
      </c>
      <c r="L857">
        <v>22</v>
      </c>
      <c r="M857">
        <v>0</v>
      </c>
      <c r="N857">
        <v>1</v>
      </c>
      <c r="O857">
        <v>167067.78</v>
      </c>
    </row>
    <row r="858" spans="1:15" x14ac:dyDescent="0.3">
      <c r="A858">
        <v>71</v>
      </c>
      <c r="B858" s="1" t="s">
        <v>15</v>
      </c>
      <c r="C858">
        <v>322113.90999999997</v>
      </c>
      <c r="D858" s="1" t="s">
        <v>1723</v>
      </c>
      <c r="E858">
        <v>322113.90999999997</v>
      </c>
      <c r="F858">
        <v>0</v>
      </c>
      <c r="G858" s="1" t="s">
        <v>1724</v>
      </c>
      <c r="H858">
        <v>0</v>
      </c>
      <c r="I858">
        <v>0</v>
      </c>
      <c r="J858">
        <v>1</v>
      </c>
      <c r="K858">
        <v>0</v>
      </c>
      <c r="L858">
        <v>23</v>
      </c>
      <c r="M858">
        <v>0</v>
      </c>
      <c r="N858">
        <v>1</v>
      </c>
      <c r="O858">
        <v>322113.90999999997</v>
      </c>
    </row>
    <row r="859" spans="1:15" x14ac:dyDescent="0.3">
      <c r="A859">
        <v>71</v>
      </c>
      <c r="B859" s="1" t="s">
        <v>18</v>
      </c>
      <c r="C859">
        <v>322113.90999999997</v>
      </c>
      <c r="D859" s="1" t="s">
        <v>1725</v>
      </c>
      <c r="E859">
        <v>322113.90999999997</v>
      </c>
      <c r="F859">
        <v>0</v>
      </c>
      <c r="G859" s="1" t="s">
        <v>1726</v>
      </c>
      <c r="H859">
        <v>0</v>
      </c>
      <c r="I859">
        <v>322113.90999999997</v>
      </c>
      <c r="J859">
        <v>1</v>
      </c>
      <c r="K859">
        <v>0</v>
      </c>
      <c r="L859">
        <v>23</v>
      </c>
      <c r="M859">
        <v>0</v>
      </c>
      <c r="N859">
        <v>1</v>
      </c>
      <c r="O859">
        <v>322113.90999999997</v>
      </c>
    </row>
    <row r="860" spans="1:15" x14ac:dyDescent="0.3">
      <c r="A860">
        <v>71</v>
      </c>
      <c r="B860" s="1" t="s">
        <v>15</v>
      </c>
      <c r="C860">
        <v>91691.75</v>
      </c>
      <c r="D860" s="1" t="s">
        <v>1727</v>
      </c>
      <c r="E860">
        <v>91691.75</v>
      </c>
      <c r="F860">
        <v>0</v>
      </c>
      <c r="G860" s="1" t="s">
        <v>1728</v>
      </c>
      <c r="H860">
        <v>0</v>
      </c>
      <c r="I860">
        <v>0</v>
      </c>
      <c r="J860">
        <v>1</v>
      </c>
      <c r="K860">
        <v>0</v>
      </c>
      <c r="L860">
        <v>23</v>
      </c>
      <c r="M860">
        <v>0</v>
      </c>
      <c r="N860">
        <v>1</v>
      </c>
      <c r="O860">
        <v>91691.75</v>
      </c>
    </row>
    <row r="861" spans="1:15" x14ac:dyDescent="0.3">
      <c r="A861">
        <v>71</v>
      </c>
      <c r="B861" s="1" t="s">
        <v>18</v>
      </c>
      <c r="C861">
        <v>91691.75</v>
      </c>
      <c r="D861" s="1" t="s">
        <v>1729</v>
      </c>
      <c r="E861">
        <v>91691.75</v>
      </c>
      <c r="F861">
        <v>0</v>
      </c>
      <c r="G861" s="1" t="s">
        <v>1730</v>
      </c>
      <c r="H861">
        <v>329117.96000000002</v>
      </c>
      <c r="I861">
        <v>420809.71</v>
      </c>
      <c r="J861">
        <v>1</v>
      </c>
      <c r="K861">
        <v>0</v>
      </c>
      <c r="L861">
        <v>23</v>
      </c>
      <c r="M861">
        <v>0</v>
      </c>
      <c r="N861">
        <v>1</v>
      </c>
      <c r="O861">
        <v>91691.75</v>
      </c>
    </row>
    <row r="862" spans="1:15" x14ac:dyDescent="0.3">
      <c r="A862">
        <v>71</v>
      </c>
      <c r="B862" s="1" t="s">
        <v>15</v>
      </c>
      <c r="C862">
        <v>1871553.73</v>
      </c>
      <c r="D862" s="1" t="s">
        <v>1731</v>
      </c>
      <c r="E862">
        <v>1871553.73</v>
      </c>
      <c r="F862">
        <v>0</v>
      </c>
      <c r="G862" s="1" t="s">
        <v>1732</v>
      </c>
      <c r="H862">
        <v>0</v>
      </c>
      <c r="I862">
        <v>0</v>
      </c>
      <c r="J862">
        <v>1</v>
      </c>
      <c r="K862">
        <v>0</v>
      </c>
      <c r="L862">
        <v>23</v>
      </c>
      <c r="M862">
        <v>0</v>
      </c>
      <c r="N862">
        <v>1</v>
      </c>
      <c r="O862">
        <v>1871553.73</v>
      </c>
    </row>
    <row r="863" spans="1:15" x14ac:dyDescent="0.3">
      <c r="A863">
        <v>71</v>
      </c>
      <c r="B863" s="1" t="s">
        <v>18</v>
      </c>
      <c r="C863">
        <v>1871553.73</v>
      </c>
      <c r="D863" s="1" t="s">
        <v>1733</v>
      </c>
      <c r="E863">
        <v>1871553.73</v>
      </c>
      <c r="F863">
        <v>0</v>
      </c>
      <c r="G863" s="1" t="s">
        <v>1734</v>
      </c>
      <c r="H863">
        <v>0</v>
      </c>
      <c r="I863">
        <v>1871553.73</v>
      </c>
      <c r="J863">
        <v>1</v>
      </c>
      <c r="K863">
        <v>0</v>
      </c>
      <c r="L863">
        <v>23</v>
      </c>
      <c r="M863">
        <v>0</v>
      </c>
      <c r="N863">
        <v>1</v>
      </c>
      <c r="O863">
        <v>1871553.73</v>
      </c>
    </row>
    <row r="864" spans="1:15" x14ac:dyDescent="0.3">
      <c r="A864">
        <v>71</v>
      </c>
      <c r="B864" s="1" t="s">
        <v>15</v>
      </c>
      <c r="C864">
        <v>2949339.09</v>
      </c>
      <c r="D864" s="1" t="s">
        <v>1735</v>
      </c>
      <c r="E864">
        <v>2949339.09</v>
      </c>
      <c r="F864">
        <v>0</v>
      </c>
      <c r="G864" s="1" t="s">
        <v>1736</v>
      </c>
      <c r="H864">
        <v>0</v>
      </c>
      <c r="I864">
        <v>0</v>
      </c>
      <c r="J864">
        <v>1</v>
      </c>
      <c r="K864">
        <v>0</v>
      </c>
      <c r="L864">
        <v>23</v>
      </c>
      <c r="M864">
        <v>0</v>
      </c>
      <c r="N864">
        <v>1</v>
      </c>
      <c r="O864">
        <v>2949339.09</v>
      </c>
    </row>
    <row r="865" spans="1:15" x14ac:dyDescent="0.3">
      <c r="A865">
        <v>71</v>
      </c>
      <c r="B865" s="1" t="s">
        <v>18</v>
      </c>
      <c r="C865">
        <v>2949339.09</v>
      </c>
      <c r="D865" s="1" t="s">
        <v>1737</v>
      </c>
      <c r="E865">
        <v>2949339.09</v>
      </c>
      <c r="F865">
        <v>0</v>
      </c>
      <c r="G865" s="1" t="s">
        <v>1738</v>
      </c>
      <c r="H865">
        <v>167663.32</v>
      </c>
      <c r="I865">
        <v>3117002.41</v>
      </c>
      <c r="J865">
        <v>1</v>
      </c>
      <c r="K865">
        <v>0</v>
      </c>
      <c r="L865">
        <v>23</v>
      </c>
      <c r="M865">
        <v>0</v>
      </c>
      <c r="N865">
        <v>1</v>
      </c>
      <c r="O865">
        <v>2949339.09</v>
      </c>
    </row>
    <row r="866" spans="1:15" x14ac:dyDescent="0.3">
      <c r="A866">
        <v>71</v>
      </c>
      <c r="B866" s="1" t="s">
        <v>15</v>
      </c>
      <c r="C866">
        <v>479892.04</v>
      </c>
      <c r="D866" s="1" t="s">
        <v>1739</v>
      </c>
      <c r="E866">
        <v>479892.04</v>
      </c>
      <c r="F866">
        <v>0</v>
      </c>
      <c r="G866" s="1" t="s">
        <v>1740</v>
      </c>
      <c r="H866">
        <v>0</v>
      </c>
      <c r="I866">
        <v>0</v>
      </c>
      <c r="J866">
        <v>1</v>
      </c>
      <c r="K866">
        <v>0</v>
      </c>
      <c r="L866">
        <v>23</v>
      </c>
      <c r="M866">
        <v>0</v>
      </c>
      <c r="N866">
        <v>1</v>
      </c>
      <c r="O866">
        <v>479892.04</v>
      </c>
    </row>
    <row r="867" spans="1:15" x14ac:dyDescent="0.3">
      <c r="A867">
        <v>71</v>
      </c>
      <c r="B867" s="1" t="s">
        <v>18</v>
      </c>
      <c r="C867">
        <v>479892.04</v>
      </c>
      <c r="D867" s="1" t="s">
        <v>1741</v>
      </c>
      <c r="E867">
        <v>479892.04</v>
      </c>
      <c r="F867">
        <v>0</v>
      </c>
      <c r="G867" s="1" t="s">
        <v>1742</v>
      </c>
      <c r="H867">
        <v>1600079.29</v>
      </c>
      <c r="I867">
        <v>2079971.33</v>
      </c>
      <c r="J867">
        <v>1</v>
      </c>
      <c r="K867">
        <v>0</v>
      </c>
      <c r="L867">
        <v>23</v>
      </c>
      <c r="M867">
        <v>0</v>
      </c>
      <c r="N867">
        <v>1</v>
      </c>
      <c r="O867">
        <v>479892.04</v>
      </c>
    </row>
    <row r="868" spans="1:15" x14ac:dyDescent="0.3">
      <c r="A868">
        <v>71</v>
      </c>
      <c r="B868" s="1" t="s">
        <v>15</v>
      </c>
      <c r="C868">
        <v>304085.48</v>
      </c>
      <c r="D868" s="1" t="s">
        <v>1743</v>
      </c>
      <c r="E868">
        <v>304085.48</v>
      </c>
      <c r="F868">
        <v>0</v>
      </c>
      <c r="G868" s="1" t="s">
        <v>1744</v>
      </c>
      <c r="H868">
        <v>0</v>
      </c>
      <c r="I868">
        <v>0</v>
      </c>
      <c r="J868">
        <v>1</v>
      </c>
      <c r="K868">
        <v>0</v>
      </c>
      <c r="L868">
        <v>23</v>
      </c>
      <c r="M868">
        <v>0</v>
      </c>
      <c r="N868">
        <v>1</v>
      </c>
      <c r="O868">
        <v>304085.48</v>
      </c>
    </row>
    <row r="869" spans="1:15" x14ac:dyDescent="0.3">
      <c r="A869">
        <v>71</v>
      </c>
      <c r="B869" s="1" t="s">
        <v>18</v>
      </c>
      <c r="C869">
        <v>304085.48</v>
      </c>
      <c r="D869" s="1" t="s">
        <v>1745</v>
      </c>
      <c r="E869">
        <v>304085.48</v>
      </c>
      <c r="F869">
        <v>0</v>
      </c>
      <c r="G869" s="1" t="s">
        <v>1746</v>
      </c>
      <c r="H869">
        <v>152325.14000000001</v>
      </c>
      <c r="I869">
        <v>456410.63</v>
      </c>
      <c r="J869">
        <v>1</v>
      </c>
      <c r="K869">
        <v>0</v>
      </c>
      <c r="L869">
        <v>23</v>
      </c>
      <c r="M869">
        <v>0</v>
      </c>
      <c r="N869">
        <v>1</v>
      </c>
      <c r="O869">
        <v>304085.48</v>
      </c>
    </row>
    <row r="870" spans="1:15" x14ac:dyDescent="0.3">
      <c r="A870">
        <v>71</v>
      </c>
      <c r="B870" s="1" t="s">
        <v>15</v>
      </c>
      <c r="C870">
        <v>14385.54</v>
      </c>
      <c r="D870" s="1" t="s">
        <v>1747</v>
      </c>
      <c r="E870">
        <v>14385.54</v>
      </c>
      <c r="F870">
        <v>0</v>
      </c>
      <c r="G870" s="1" t="s">
        <v>1748</v>
      </c>
      <c r="H870">
        <v>0</v>
      </c>
      <c r="I870">
        <v>0</v>
      </c>
      <c r="J870">
        <v>1</v>
      </c>
      <c r="K870">
        <v>0</v>
      </c>
      <c r="L870">
        <v>23</v>
      </c>
      <c r="M870">
        <v>0</v>
      </c>
      <c r="N870">
        <v>1</v>
      </c>
      <c r="O870">
        <v>14385.54</v>
      </c>
    </row>
    <row r="871" spans="1:15" x14ac:dyDescent="0.3">
      <c r="A871">
        <v>71</v>
      </c>
      <c r="B871" s="1" t="s">
        <v>18</v>
      </c>
      <c r="C871">
        <v>14385.54</v>
      </c>
      <c r="D871" s="1" t="s">
        <v>1749</v>
      </c>
      <c r="E871">
        <v>14385.54</v>
      </c>
      <c r="F871">
        <v>0</v>
      </c>
      <c r="G871" s="1" t="s">
        <v>1750</v>
      </c>
      <c r="H871">
        <v>28309.09</v>
      </c>
      <c r="I871">
        <v>42694.63</v>
      </c>
      <c r="J871">
        <v>1</v>
      </c>
      <c r="K871">
        <v>0</v>
      </c>
      <c r="L871">
        <v>23</v>
      </c>
      <c r="M871">
        <v>0</v>
      </c>
      <c r="N871">
        <v>1</v>
      </c>
      <c r="O871">
        <v>14385.54</v>
      </c>
    </row>
    <row r="872" spans="1:15" x14ac:dyDescent="0.3">
      <c r="A872">
        <v>71</v>
      </c>
      <c r="B872" s="1" t="s">
        <v>15</v>
      </c>
      <c r="C872">
        <v>62091.44</v>
      </c>
      <c r="D872" s="1" t="s">
        <v>1751</v>
      </c>
      <c r="E872">
        <v>62091.44</v>
      </c>
      <c r="F872">
        <v>0</v>
      </c>
      <c r="G872" s="1" t="s">
        <v>1752</v>
      </c>
      <c r="H872">
        <v>0</v>
      </c>
      <c r="I872">
        <v>0</v>
      </c>
      <c r="J872">
        <v>1</v>
      </c>
      <c r="K872">
        <v>0</v>
      </c>
      <c r="L872">
        <v>23</v>
      </c>
      <c r="M872">
        <v>0</v>
      </c>
      <c r="N872">
        <v>1</v>
      </c>
      <c r="O872">
        <v>62091.44</v>
      </c>
    </row>
    <row r="873" spans="1:15" x14ac:dyDescent="0.3">
      <c r="A873">
        <v>71</v>
      </c>
      <c r="B873" s="1" t="s">
        <v>18</v>
      </c>
      <c r="C873">
        <v>62091.44</v>
      </c>
      <c r="D873" s="1" t="s">
        <v>1753</v>
      </c>
      <c r="E873">
        <v>62091.44</v>
      </c>
      <c r="F873">
        <v>0</v>
      </c>
      <c r="G873" s="1" t="s">
        <v>1754</v>
      </c>
      <c r="H873">
        <v>6296058.9100000001</v>
      </c>
      <c r="I873">
        <v>6358150.3499999996</v>
      </c>
      <c r="J873">
        <v>1</v>
      </c>
      <c r="K873">
        <v>0</v>
      </c>
      <c r="L873">
        <v>23</v>
      </c>
      <c r="M873">
        <v>0</v>
      </c>
      <c r="N873">
        <v>1</v>
      </c>
      <c r="O873">
        <v>62091.44</v>
      </c>
    </row>
    <row r="874" spans="1:15" x14ac:dyDescent="0.3">
      <c r="A874">
        <v>71</v>
      </c>
      <c r="B874" s="1" t="s">
        <v>15</v>
      </c>
      <c r="C874">
        <v>386996.34</v>
      </c>
      <c r="D874" s="1" t="s">
        <v>1755</v>
      </c>
      <c r="E874">
        <v>386996.34</v>
      </c>
      <c r="F874">
        <v>0</v>
      </c>
      <c r="G874" s="1" t="s">
        <v>1756</v>
      </c>
      <c r="H874">
        <v>0</v>
      </c>
      <c r="I874">
        <v>0</v>
      </c>
      <c r="J874">
        <v>1</v>
      </c>
      <c r="K874">
        <v>0</v>
      </c>
      <c r="L874">
        <v>23</v>
      </c>
      <c r="M874">
        <v>0</v>
      </c>
      <c r="N874">
        <v>1</v>
      </c>
      <c r="O874">
        <v>386996.34</v>
      </c>
    </row>
    <row r="875" spans="1:15" x14ac:dyDescent="0.3">
      <c r="A875">
        <v>71</v>
      </c>
      <c r="B875" s="1" t="s">
        <v>18</v>
      </c>
      <c r="C875">
        <v>386996.34</v>
      </c>
      <c r="D875" s="1" t="s">
        <v>1757</v>
      </c>
      <c r="E875">
        <v>386996.34</v>
      </c>
      <c r="F875">
        <v>0</v>
      </c>
      <c r="G875" s="1" t="s">
        <v>1758</v>
      </c>
      <c r="H875">
        <v>512943.11</v>
      </c>
      <c r="I875">
        <v>899939.45</v>
      </c>
      <c r="J875">
        <v>1</v>
      </c>
      <c r="K875">
        <v>0</v>
      </c>
      <c r="L875">
        <v>23</v>
      </c>
      <c r="M875">
        <v>0</v>
      </c>
      <c r="N875">
        <v>1</v>
      </c>
      <c r="O875">
        <v>386996.34</v>
      </c>
    </row>
    <row r="876" spans="1:15" x14ac:dyDescent="0.3">
      <c r="A876">
        <v>71</v>
      </c>
      <c r="B876" s="1" t="s">
        <v>15</v>
      </c>
      <c r="C876">
        <v>345526.4</v>
      </c>
      <c r="D876" s="1" t="s">
        <v>1759</v>
      </c>
      <c r="E876">
        <v>345526.4</v>
      </c>
      <c r="F876">
        <v>0</v>
      </c>
      <c r="G876" s="1" t="s">
        <v>1760</v>
      </c>
      <c r="H876">
        <v>0</v>
      </c>
      <c r="I876">
        <v>0</v>
      </c>
      <c r="J876">
        <v>1</v>
      </c>
      <c r="K876">
        <v>0</v>
      </c>
      <c r="L876">
        <v>23</v>
      </c>
      <c r="M876">
        <v>0</v>
      </c>
      <c r="N876">
        <v>1</v>
      </c>
      <c r="O876">
        <v>345526.4</v>
      </c>
    </row>
    <row r="877" spans="1:15" x14ac:dyDescent="0.3">
      <c r="A877">
        <v>71</v>
      </c>
      <c r="B877" s="1" t="s">
        <v>18</v>
      </c>
      <c r="C877">
        <v>345526.4</v>
      </c>
      <c r="D877" s="1" t="s">
        <v>1761</v>
      </c>
      <c r="E877">
        <v>345526.4</v>
      </c>
      <c r="F877">
        <v>0</v>
      </c>
      <c r="G877" s="1" t="s">
        <v>1762</v>
      </c>
      <c r="H877">
        <v>210291.99</v>
      </c>
      <c r="I877">
        <v>555818.38</v>
      </c>
      <c r="J877">
        <v>1</v>
      </c>
      <c r="K877">
        <v>0</v>
      </c>
      <c r="L877">
        <v>23</v>
      </c>
      <c r="M877">
        <v>0</v>
      </c>
      <c r="N877">
        <v>1</v>
      </c>
      <c r="O877">
        <v>345526.4</v>
      </c>
    </row>
    <row r="878" spans="1:15" x14ac:dyDescent="0.3">
      <c r="A878">
        <v>72</v>
      </c>
      <c r="B878" s="1" t="s">
        <v>15</v>
      </c>
      <c r="C878">
        <v>2947783.87</v>
      </c>
      <c r="D878" s="1" t="s">
        <v>1763</v>
      </c>
      <c r="E878">
        <v>2947783.87</v>
      </c>
      <c r="F878">
        <v>0</v>
      </c>
      <c r="G878" s="1" t="s">
        <v>1764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2947783.87</v>
      </c>
    </row>
    <row r="879" spans="1:15" x14ac:dyDescent="0.3">
      <c r="A879">
        <v>72</v>
      </c>
      <c r="B879" s="1" t="s">
        <v>18</v>
      </c>
      <c r="C879">
        <v>2947783.87</v>
      </c>
      <c r="D879" s="1" t="s">
        <v>1765</v>
      </c>
      <c r="E879">
        <v>2947783.87</v>
      </c>
      <c r="F879">
        <v>0</v>
      </c>
      <c r="G879" s="1" t="s">
        <v>1766</v>
      </c>
      <c r="H879">
        <v>353246.54</v>
      </c>
      <c r="I879">
        <v>3301030.4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2947783.87</v>
      </c>
    </row>
    <row r="880" spans="1:15" x14ac:dyDescent="0.3">
      <c r="A880">
        <v>72</v>
      </c>
      <c r="B880" s="1" t="s">
        <v>15</v>
      </c>
      <c r="C880">
        <v>730574.39</v>
      </c>
      <c r="D880" s="1" t="s">
        <v>1767</v>
      </c>
      <c r="E880">
        <v>730574.39</v>
      </c>
      <c r="F880">
        <v>0</v>
      </c>
      <c r="G880" s="1" t="s">
        <v>1768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730574.39</v>
      </c>
    </row>
    <row r="881" spans="1:15" x14ac:dyDescent="0.3">
      <c r="A881">
        <v>72</v>
      </c>
      <c r="B881" s="1" t="s">
        <v>18</v>
      </c>
      <c r="C881">
        <v>730574.39</v>
      </c>
      <c r="D881" s="1" t="s">
        <v>1769</v>
      </c>
      <c r="E881">
        <v>730574.39</v>
      </c>
      <c r="F881">
        <v>0</v>
      </c>
      <c r="G881" s="1" t="s">
        <v>1770</v>
      </c>
      <c r="H881">
        <v>183897.18</v>
      </c>
      <c r="I881">
        <v>914471.57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730574.39</v>
      </c>
    </row>
    <row r="882" spans="1:15" x14ac:dyDescent="0.3">
      <c r="A882">
        <v>72</v>
      </c>
      <c r="B882" s="1" t="s">
        <v>15</v>
      </c>
      <c r="C882">
        <v>3786438.03</v>
      </c>
      <c r="D882" s="1" t="s">
        <v>1771</v>
      </c>
      <c r="E882">
        <v>3786438.03</v>
      </c>
      <c r="F882">
        <v>0</v>
      </c>
      <c r="G882" s="1" t="s">
        <v>1772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3786438.03</v>
      </c>
    </row>
    <row r="883" spans="1:15" x14ac:dyDescent="0.3">
      <c r="A883">
        <v>72</v>
      </c>
      <c r="B883" s="1" t="s">
        <v>18</v>
      </c>
      <c r="C883">
        <v>3786438.03</v>
      </c>
      <c r="D883" s="1" t="s">
        <v>1773</v>
      </c>
      <c r="E883">
        <v>3786438.03</v>
      </c>
      <c r="F883">
        <v>0</v>
      </c>
      <c r="G883" s="1" t="s">
        <v>1774</v>
      </c>
      <c r="H883">
        <v>84013.26</v>
      </c>
      <c r="I883">
        <v>3870451.29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3786438.03</v>
      </c>
    </row>
    <row r="884" spans="1:15" x14ac:dyDescent="0.3">
      <c r="A884">
        <v>72</v>
      </c>
      <c r="B884" s="1" t="s">
        <v>15</v>
      </c>
      <c r="C884">
        <v>622235.31999999995</v>
      </c>
      <c r="D884" s="1" t="s">
        <v>1775</v>
      </c>
      <c r="E884">
        <v>622235.31999999995</v>
      </c>
      <c r="F884">
        <v>0</v>
      </c>
      <c r="G884" s="1" t="s">
        <v>1776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622235.31999999995</v>
      </c>
    </row>
    <row r="885" spans="1:15" x14ac:dyDescent="0.3">
      <c r="A885">
        <v>72</v>
      </c>
      <c r="B885" s="1" t="s">
        <v>18</v>
      </c>
      <c r="C885">
        <v>622235.31999999995</v>
      </c>
      <c r="D885" s="1" t="s">
        <v>1777</v>
      </c>
      <c r="E885">
        <v>622235.31999999995</v>
      </c>
      <c r="F885">
        <v>0</v>
      </c>
      <c r="G885" s="1" t="s">
        <v>1778</v>
      </c>
      <c r="H885">
        <v>3377968.96</v>
      </c>
      <c r="I885">
        <v>4000204.28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622235.31999999995</v>
      </c>
    </row>
    <row r="886" spans="1:15" x14ac:dyDescent="0.3">
      <c r="A886">
        <v>72</v>
      </c>
      <c r="B886" s="1" t="s">
        <v>15</v>
      </c>
      <c r="C886">
        <v>3243092.91</v>
      </c>
      <c r="D886" s="1" t="s">
        <v>1779</v>
      </c>
      <c r="E886">
        <v>3243092.91</v>
      </c>
      <c r="F886">
        <v>0</v>
      </c>
      <c r="G886" s="1" t="s">
        <v>1780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3243092.91</v>
      </c>
    </row>
    <row r="887" spans="1:15" x14ac:dyDescent="0.3">
      <c r="A887">
        <v>72</v>
      </c>
      <c r="B887" s="1" t="s">
        <v>18</v>
      </c>
      <c r="C887">
        <v>3243092.91</v>
      </c>
      <c r="D887" s="1" t="s">
        <v>1781</v>
      </c>
      <c r="E887">
        <v>3243092.91</v>
      </c>
      <c r="F887">
        <v>0</v>
      </c>
      <c r="G887" s="1" t="s">
        <v>1782</v>
      </c>
      <c r="H887">
        <v>1299786.5900000001</v>
      </c>
      <c r="I887">
        <v>4542879.5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3243092.91</v>
      </c>
    </row>
    <row r="888" spans="1:15" x14ac:dyDescent="0.3">
      <c r="A888">
        <v>72</v>
      </c>
      <c r="B888" s="1" t="s">
        <v>15</v>
      </c>
      <c r="C888">
        <v>10000000</v>
      </c>
      <c r="D888" s="1" t="s">
        <v>1783</v>
      </c>
      <c r="E888">
        <v>18600000</v>
      </c>
      <c r="F888">
        <v>8594065.0899999999</v>
      </c>
      <c r="G888" s="1" t="s">
        <v>1784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10005934.91</v>
      </c>
    </row>
    <row r="889" spans="1:15" x14ac:dyDescent="0.3">
      <c r="A889">
        <v>72</v>
      </c>
      <c r="B889" s="1" t="s">
        <v>18</v>
      </c>
      <c r="C889">
        <v>10000000</v>
      </c>
      <c r="D889" s="1" t="s">
        <v>1785</v>
      </c>
      <c r="E889">
        <v>10000000</v>
      </c>
      <c r="F889">
        <v>0</v>
      </c>
      <c r="G889" s="1" t="s">
        <v>1786</v>
      </c>
      <c r="H889">
        <v>81810.42</v>
      </c>
      <c r="I889">
        <v>10100000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10000000</v>
      </c>
    </row>
    <row r="890" spans="1:15" x14ac:dyDescent="0.3">
      <c r="A890">
        <v>72</v>
      </c>
      <c r="B890" s="1" t="s">
        <v>15</v>
      </c>
      <c r="C890">
        <v>8594065.0899999999</v>
      </c>
      <c r="D890" s="1" t="s">
        <v>1787</v>
      </c>
      <c r="E890">
        <v>8594065.0899999999</v>
      </c>
      <c r="F890">
        <v>0</v>
      </c>
      <c r="G890" s="1" t="s">
        <v>1788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8594065.0899999999</v>
      </c>
    </row>
    <row r="891" spans="1:15" x14ac:dyDescent="0.3">
      <c r="A891">
        <v>72</v>
      </c>
      <c r="B891" s="1" t="s">
        <v>18</v>
      </c>
      <c r="C891">
        <v>8594065.0899999999</v>
      </c>
      <c r="D891" s="1" t="s">
        <v>1789</v>
      </c>
      <c r="E891">
        <v>8594065.0899999999</v>
      </c>
      <c r="F891">
        <v>0</v>
      </c>
      <c r="G891" s="1" t="s">
        <v>1790</v>
      </c>
      <c r="H891">
        <v>5844.51</v>
      </c>
      <c r="I891">
        <v>8599909.5999999996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8594065.0899999999</v>
      </c>
    </row>
    <row r="892" spans="1:15" x14ac:dyDescent="0.3">
      <c r="A892">
        <v>73</v>
      </c>
      <c r="B892" s="1" t="s">
        <v>15</v>
      </c>
      <c r="C892">
        <v>12619.29</v>
      </c>
      <c r="D892" s="1" t="s">
        <v>1791</v>
      </c>
      <c r="E892">
        <v>12619.29</v>
      </c>
      <c r="F892">
        <v>0</v>
      </c>
      <c r="G892" s="1" t="s">
        <v>1792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1</v>
      </c>
      <c r="O892">
        <v>12619.29</v>
      </c>
    </row>
    <row r="893" spans="1:15" x14ac:dyDescent="0.3">
      <c r="A893">
        <v>73</v>
      </c>
      <c r="B893" s="1" t="s">
        <v>18</v>
      </c>
      <c r="C893">
        <v>12619.29</v>
      </c>
      <c r="D893" s="1" t="s">
        <v>1793</v>
      </c>
      <c r="E893">
        <v>12619.29</v>
      </c>
      <c r="F893">
        <v>0</v>
      </c>
      <c r="G893" s="1" t="s">
        <v>1794</v>
      </c>
      <c r="H893">
        <v>204470.03</v>
      </c>
      <c r="I893">
        <v>217089.31</v>
      </c>
      <c r="J893">
        <v>1</v>
      </c>
      <c r="K893">
        <v>0</v>
      </c>
      <c r="L893">
        <v>1</v>
      </c>
      <c r="M893">
        <v>0</v>
      </c>
      <c r="N893">
        <v>1</v>
      </c>
      <c r="O893">
        <v>12619.29</v>
      </c>
    </row>
    <row r="894" spans="1:15" x14ac:dyDescent="0.3">
      <c r="A894">
        <v>73</v>
      </c>
      <c r="B894" s="1" t="s">
        <v>15</v>
      </c>
      <c r="C894">
        <v>193663.9</v>
      </c>
      <c r="D894" s="1" t="s">
        <v>1795</v>
      </c>
      <c r="E894">
        <v>193663.9</v>
      </c>
      <c r="F894">
        <v>0</v>
      </c>
      <c r="G894" s="1" t="s">
        <v>1796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193663.9</v>
      </c>
    </row>
    <row r="895" spans="1:15" x14ac:dyDescent="0.3">
      <c r="A895">
        <v>73</v>
      </c>
      <c r="B895" s="1" t="s">
        <v>18</v>
      </c>
      <c r="C895">
        <v>193663.9</v>
      </c>
      <c r="D895" s="1" t="s">
        <v>1797</v>
      </c>
      <c r="E895">
        <v>193663.9</v>
      </c>
      <c r="F895">
        <v>0</v>
      </c>
      <c r="G895" s="1" t="s">
        <v>1798</v>
      </c>
      <c r="H895">
        <v>0</v>
      </c>
      <c r="I895">
        <v>193663.9</v>
      </c>
      <c r="J895">
        <v>1</v>
      </c>
      <c r="K895">
        <v>0</v>
      </c>
      <c r="L895">
        <v>1</v>
      </c>
      <c r="M895">
        <v>0</v>
      </c>
      <c r="N895">
        <v>1</v>
      </c>
      <c r="O895">
        <v>193663.9</v>
      </c>
    </row>
    <row r="896" spans="1:15" x14ac:dyDescent="0.3">
      <c r="A896">
        <v>73</v>
      </c>
      <c r="B896" s="1" t="s">
        <v>15</v>
      </c>
      <c r="C896">
        <v>684796.16</v>
      </c>
      <c r="D896" s="1" t="s">
        <v>1799</v>
      </c>
      <c r="E896">
        <v>684796.16</v>
      </c>
      <c r="F896">
        <v>0</v>
      </c>
      <c r="G896" s="1" t="s">
        <v>1800</v>
      </c>
      <c r="H896">
        <v>0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1</v>
      </c>
      <c r="O896">
        <v>684796.16</v>
      </c>
    </row>
    <row r="897" spans="1:15" x14ac:dyDescent="0.3">
      <c r="A897">
        <v>73</v>
      </c>
      <c r="B897" s="1" t="s">
        <v>18</v>
      </c>
      <c r="C897">
        <v>684796.16</v>
      </c>
      <c r="D897" s="1" t="s">
        <v>1801</v>
      </c>
      <c r="E897">
        <v>684796.16</v>
      </c>
      <c r="F897">
        <v>0</v>
      </c>
      <c r="G897" s="1" t="s">
        <v>1802</v>
      </c>
      <c r="H897">
        <v>2754453.54</v>
      </c>
      <c r="I897">
        <v>3439249.7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684796.16</v>
      </c>
    </row>
    <row r="898" spans="1:15" x14ac:dyDescent="0.3">
      <c r="A898">
        <v>73</v>
      </c>
      <c r="B898" s="1" t="s">
        <v>15</v>
      </c>
      <c r="C898">
        <v>400157.86</v>
      </c>
      <c r="D898" s="1" t="s">
        <v>1803</v>
      </c>
      <c r="E898">
        <v>400157.86</v>
      </c>
      <c r="F898">
        <v>0</v>
      </c>
      <c r="G898" s="1" t="s">
        <v>1804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1</v>
      </c>
      <c r="O898">
        <v>400157.86</v>
      </c>
    </row>
    <row r="899" spans="1:15" x14ac:dyDescent="0.3">
      <c r="A899">
        <v>73</v>
      </c>
      <c r="B899" s="1" t="s">
        <v>18</v>
      </c>
      <c r="C899">
        <v>400157.86</v>
      </c>
      <c r="D899" s="1" t="s">
        <v>1805</v>
      </c>
      <c r="E899">
        <v>400157.86</v>
      </c>
      <c r="F899">
        <v>0</v>
      </c>
      <c r="G899" s="1" t="s">
        <v>1806</v>
      </c>
      <c r="H899">
        <v>0</v>
      </c>
      <c r="I899">
        <v>400157.86</v>
      </c>
      <c r="J899">
        <v>1</v>
      </c>
      <c r="K899">
        <v>0</v>
      </c>
      <c r="L899">
        <v>1</v>
      </c>
      <c r="M899">
        <v>0</v>
      </c>
      <c r="N899">
        <v>1</v>
      </c>
      <c r="O899">
        <v>400157.86</v>
      </c>
    </row>
    <row r="900" spans="1:15" x14ac:dyDescent="0.3">
      <c r="A900">
        <v>74</v>
      </c>
      <c r="B900" s="1" t="s">
        <v>15</v>
      </c>
      <c r="C900">
        <v>4375931.29</v>
      </c>
      <c r="D900" s="1" t="s">
        <v>1807</v>
      </c>
      <c r="E900">
        <v>4375931.29</v>
      </c>
      <c r="F900">
        <v>0</v>
      </c>
      <c r="G900" s="1" t="s">
        <v>1808</v>
      </c>
      <c r="H900">
        <v>0</v>
      </c>
      <c r="I900">
        <v>0</v>
      </c>
      <c r="J900">
        <v>1</v>
      </c>
      <c r="K900">
        <v>0</v>
      </c>
      <c r="L900">
        <v>2</v>
      </c>
      <c r="M900">
        <v>0</v>
      </c>
      <c r="N900">
        <v>1</v>
      </c>
      <c r="O900">
        <v>4375931.29</v>
      </c>
    </row>
    <row r="901" spans="1:15" x14ac:dyDescent="0.3">
      <c r="A901">
        <v>74</v>
      </c>
      <c r="B901" s="1" t="s">
        <v>18</v>
      </c>
      <c r="C901">
        <v>4375931.29</v>
      </c>
      <c r="D901" s="1" t="s">
        <v>1809</v>
      </c>
      <c r="E901">
        <v>4375931.29</v>
      </c>
      <c r="F901">
        <v>0</v>
      </c>
      <c r="G901" s="1" t="s">
        <v>1810</v>
      </c>
      <c r="H901">
        <v>68494.86</v>
      </c>
      <c r="I901">
        <v>4444426.16</v>
      </c>
      <c r="J901">
        <v>1</v>
      </c>
      <c r="K901">
        <v>0</v>
      </c>
      <c r="L901">
        <v>2</v>
      </c>
      <c r="M901">
        <v>0</v>
      </c>
      <c r="N901">
        <v>1</v>
      </c>
      <c r="O901">
        <v>4375931.29</v>
      </c>
    </row>
    <row r="902" spans="1:15" x14ac:dyDescent="0.3">
      <c r="A902">
        <v>74</v>
      </c>
      <c r="B902" s="1" t="s">
        <v>15</v>
      </c>
      <c r="C902">
        <v>74177.919999999998</v>
      </c>
      <c r="D902" s="1" t="s">
        <v>1811</v>
      </c>
      <c r="E902">
        <v>74177.919999999998</v>
      </c>
      <c r="F902">
        <v>0</v>
      </c>
      <c r="G902" s="1" t="s">
        <v>1812</v>
      </c>
      <c r="H902">
        <v>0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1</v>
      </c>
      <c r="O902">
        <v>74177.919999999998</v>
      </c>
    </row>
    <row r="903" spans="1:15" x14ac:dyDescent="0.3">
      <c r="A903">
        <v>74</v>
      </c>
      <c r="B903" s="1" t="s">
        <v>18</v>
      </c>
      <c r="C903">
        <v>74177.919999999998</v>
      </c>
      <c r="D903" s="1" t="s">
        <v>1813</v>
      </c>
      <c r="E903">
        <v>74177.919999999998</v>
      </c>
      <c r="F903">
        <v>0</v>
      </c>
      <c r="G903" s="1" t="s">
        <v>1814</v>
      </c>
      <c r="H903">
        <v>79018.509999999995</v>
      </c>
      <c r="I903">
        <v>153196.43</v>
      </c>
      <c r="J903">
        <v>1</v>
      </c>
      <c r="K903">
        <v>0</v>
      </c>
      <c r="L903">
        <v>2</v>
      </c>
      <c r="M903">
        <v>0</v>
      </c>
      <c r="N903">
        <v>1</v>
      </c>
      <c r="O903">
        <v>74177.919999999998</v>
      </c>
    </row>
    <row r="904" spans="1:15" x14ac:dyDescent="0.3">
      <c r="A904">
        <v>74</v>
      </c>
      <c r="B904" s="1" t="s">
        <v>15</v>
      </c>
      <c r="C904">
        <v>59127.34</v>
      </c>
      <c r="D904" s="1" t="s">
        <v>1815</v>
      </c>
      <c r="E904">
        <v>59127.34</v>
      </c>
      <c r="F904">
        <v>0</v>
      </c>
      <c r="G904" s="1" t="s">
        <v>1816</v>
      </c>
      <c r="H904">
        <v>0</v>
      </c>
      <c r="I904">
        <v>0</v>
      </c>
      <c r="J904">
        <v>1</v>
      </c>
      <c r="K904">
        <v>0</v>
      </c>
      <c r="L904">
        <v>2</v>
      </c>
      <c r="M904">
        <v>0</v>
      </c>
      <c r="N904">
        <v>1</v>
      </c>
      <c r="O904">
        <v>59127.34</v>
      </c>
    </row>
    <row r="905" spans="1:15" x14ac:dyDescent="0.3">
      <c r="A905">
        <v>74</v>
      </c>
      <c r="B905" s="1" t="s">
        <v>18</v>
      </c>
      <c r="C905">
        <v>59127.34</v>
      </c>
      <c r="D905" s="1" t="s">
        <v>1817</v>
      </c>
      <c r="E905">
        <v>59127.34</v>
      </c>
      <c r="F905">
        <v>0</v>
      </c>
      <c r="G905" s="1" t="s">
        <v>1818</v>
      </c>
      <c r="H905">
        <v>17207.02</v>
      </c>
      <c r="I905">
        <v>76334.36</v>
      </c>
      <c r="J905">
        <v>1</v>
      </c>
      <c r="K905">
        <v>0</v>
      </c>
      <c r="L905">
        <v>2</v>
      </c>
      <c r="M905">
        <v>0</v>
      </c>
      <c r="N905">
        <v>1</v>
      </c>
      <c r="O905">
        <v>59127.34</v>
      </c>
    </row>
    <row r="906" spans="1:15" x14ac:dyDescent="0.3">
      <c r="A906">
        <v>74</v>
      </c>
      <c r="B906" s="1" t="s">
        <v>15</v>
      </c>
      <c r="C906">
        <v>2451423.58</v>
      </c>
      <c r="D906" s="1" t="s">
        <v>1819</v>
      </c>
      <c r="E906">
        <v>2451423.58</v>
      </c>
      <c r="F906">
        <v>0</v>
      </c>
      <c r="G906" s="1" t="s">
        <v>1820</v>
      </c>
      <c r="H906">
        <v>0</v>
      </c>
      <c r="I906">
        <v>0</v>
      </c>
      <c r="J906">
        <v>1</v>
      </c>
      <c r="K906">
        <v>0</v>
      </c>
      <c r="L906">
        <v>2</v>
      </c>
      <c r="M906">
        <v>0</v>
      </c>
      <c r="N906">
        <v>1</v>
      </c>
      <c r="O906">
        <v>2451423.58</v>
      </c>
    </row>
    <row r="907" spans="1:15" x14ac:dyDescent="0.3">
      <c r="A907">
        <v>74</v>
      </c>
      <c r="B907" s="1" t="s">
        <v>18</v>
      </c>
      <c r="C907">
        <v>2451423.58</v>
      </c>
      <c r="D907" s="1" t="s">
        <v>1821</v>
      </c>
      <c r="E907">
        <v>2451423.58</v>
      </c>
      <c r="F907">
        <v>0</v>
      </c>
      <c r="G907" s="1" t="s">
        <v>1822</v>
      </c>
      <c r="H907">
        <v>4870.6499999999996</v>
      </c>
      <c r="I907">
        <v>2456294.2200000002</v>
      </c>
      <c r="J907">
        <v>1</v>
      </c>
      <c r="K907">
        <v>0</v>
      </c>
      <c r="L907">
        <v>2</v>
      </c>
      <c r="M907">
        <v>0</v>
      </c>
      <c r="N907">
        <v>1</v>
      </c>
      <c r="O907">
        <v>2451423.58</v>
      </c>
    </row>
    <row r="908" spans="1:15" x14ac:dyDescent="0.3">
      <c r="A908">
        <v>74</v>
      </c>
      <c r="B908" s="1" t="s">
        <v>15</v>
      </c>
      <c r="C908">
        <v>59813.61</v>
      </c>
      <c r="D908" s="1" t="s">
        <v>1823</v>
      </c>
      <c r="E908">
        <v>59813.61</v>
      </c>
      <c r="F908">
        <v>0</v>
      </c>
      <c r="G908" s="1" t="s">
        <v>1824</v>
      </c>
      <c r="H908">
        <v>0</v>
      </c>
      <c r="I908">
        <v>0</v>
      </c>
      <c r="J908">
        <v>1</v>
      </c>
      <c r="K908">
        <v>0</v>
      </c>
      <c r="L908">
        <v>2</v>
      </c>
      <c r="M908">
        <v>0</v>
      </c>
      <c r="N908">
        <v>1</v>
      </c>
      <c r="O908">
        <v>59813.61</v>
      </c>
    </row>
    <row r="909" spans="1:15" x14ac:dyDescent="0.3">
      <c r="A909">
        <v>74</v>
      </c>
      <c r="B909" s="1" t="s">
        <v>18</v>
      </c>
      <c r="C909">
        <v>59813.61</v>
      </c>
      <c r="D909" s="1" t="s">
        <v>1825</v>
      </c>
      <c r="E909">
        <v>59813.61</v>
      </c>
      <c r="F909">
        <v>0</v>
      </c>
      <c r="G909" s="1" t="s">
        <v>1826</v>
      </c>
      <c r="H909">
        <v>0</v>
      </c>
      <c r="I909">
        <v>59813.61</v>
      </c>
      <c r="J909">
        <v>1</v>
      </c>
      <c r="K909">
        <v>0</v>
      </c>
      <c r="L909">
        <v>2</v>
      </c>
      <c r="M909">
        <v>0</v>
      </c>
      <c r="N909">
        <v>1</v>
      </c>
      <c r="O909">
        <v>59813.61</v>
      </c>
    </row>
    <row r="910" spans="1:15" x14ac:dyDescent="0.3">
      <c r="A910">
        <v>74</v>
      </c>
      <c r="B910" s="1" t="s">
        <v>15</v>
      </c>
      <c r="C910">
        <v>158489.29</v>
      </c>
      <c r="D910" s="1" t="s">
        <v>1827</v>
      </c>
      <c r="E910">
        <v>158489.29</v>
      </c>
      <c r="F910">
        <v>0</v>
      </c>
      <c r="G910" s="1" t="s">
        <v>1828</v>
      </c>
      <c r="H910">
        <v>0</v>
      </c>
      <c r="I910">
        <v>0</v>
      </c>
      <c r="J910">
        <v>1</v>
      </c>
      <c r="K910">
        <v>0</v>
      </c>
      <c r="L910">
        <v>2</v>
      </c>
      <c r="M910">
        <v>0</v>
      </c>
      <c r="N910">
        <v>1</v>
      </c>
      <c r="O910">
        <v>158489.29</v>
      </c>
    </row>
    <row r="911" spans="1:15" x14ac:dyDescent="0.3">
      <c r="A911">
        <v>74</v>
      </c>
      <c r="B911" s="1" t="s">
        <v>18</v>
      </c>
      <c r="C911">
        <v>158489.29</v>
      </c>
      <c r="D911" s="1" t="s">
        <v>1829</v>
      </c>
      <c r="E911">
        <v>158489.29</v>
      </c>
      <c r="F911">
        <v>0</v>
      </c>
      <c r="G911" s="1" t="s">
        <v>1830</v>
      </c>
      <c r="H911">
        <v>0</v>
      </c>
      <c r="I911">
        <v>158489.29</v>
      </c>
      <c r="J911">
        <v>1</v>
      </c>
      <c r="K911">
        <v>0</v>
      </c>
      <c r="L911">
        <v>2</v>
      </c>
      <c r="M911">
        <v>0</v>
      </c>
      <c r="N911">
        <v>1</v>
      </c>
      <c r="O911">
        <v>158489.29</v>
      </c>
    </row>
    <row r="912" spans="1:15" x14ac:dyDescent="0.3">
      <c r="A912">
        <v>74</v>
      </c>
      <c r="B912" s="1" t="s">
        <v>15</v>
      </c>
      <c r="C912">
        <v>85637.08</v>
      </c>
      <c r="D912" s="1" t="s">
        <v>1831</v>
      </c>
      <c r="E912">
        <v>85637.08</v>
      </c>
      <c r="F912">
        <v>0</v>
      </c>
      <c r="G912" s="1" t="s">
        <v>1832</v>
      </c>
      <c r="H912">
        <v>0</v>
      </c>
      <c r="I912">
        <v>0</v>
      </c>
      <c r="J912">
        <v>1</v>
      </c>
      <c r="K912">
        <v>0</v>
      </c>
      <c r="L912">
        <v>2</v>
      </c>
      <c r="M912">
        <v>0</v>
      </c>
      <c r="N912">
        <v>1</v>
      </c>
      <c r="O912">
        <v>85637.08</v>
      </c>
    </row>
    <row r="913" spans="1:15" x14ac:dyDescent="0.3">
      <c r="A913">
        <v>74</v>
      </c>
      <c r="B913" s="1" t="s">
        <v>18</v>
      </c>
      <c r="C913">
        <v>85637.08</v>
      </c>
      <c r="D913" s="1" t="s">
        <v>1833</v>
      </c>
      <c r="E913">
        <v>85637.08</v>
      </c>
      <c r="F913">
        <v>0</v>
      </c>
      <c r="G913" s="1" t="s">
        <v>1834</v>
      </c>
      <c r="H913">
        <v>235137.06</v>
      </c>
      <c r="I913">
        <v>320774.13</v>
      </c>
      <c r="J913">
        <v>1</v>
      </c>
      <c r="K913">
        <v>0</v>
      </c>
      <c r="L913">
        <v>2</v>
      </c>
      <c r="M913">
        <v>0</v>
      </c>
      <c r="N913">
        <v>1</v>
      </c>
      <c r="O913">
        <v>85637.08</v>
      </c>
    </row>
    <row r="914" spans="1:15" x14ac:dyDescent="0.3">
      <c r="A914">
        <v>74</v>
      </c>
      <c r="B914" s="1" t="s">
        <v>15</v>
      </c>
      <c r="C914">
        <v>1311150.8999999999</v>
      </c>
      <c r="D914" s="1" t="s">
        <v>1835</v>
      </c>
      <c r="E914">
        <v>1311150.8999999999</v>
      </c>
      <c r="F914">
        <v>0</v>
      </c>
      <c r="G914" s="1" t="s">
        <v>1836</v>
      </c>
      <c r="H914">
        <v>0</v>
      </c>
      <c r="I914">
        <v>0</v>
      </c>
      <c r="J914">
        <v>1</v>
      </c>
      <c r="K914">
        <v>0</v>
      </c>
      <c r="L914">
        <v>2</v>
      </c>
      <c r="M914">
        <v>0</v>
      </c>
      <c r="N914">
        <v>1</v>
      </c>
      <c r="O914">
        <v>1311150.8999999999</v>
      </c>
    </row>
    <row r="915" spans="1:15" x14ac:dyDescent="0.3">
      <c r="A915">
        <v>74</v>
      </c>
      <c r="B915" s="1" t="s">
        <v>18</v>
      </c>
      <c r="C915">
        <v>1311150.8999999999</v>
      </c>
      <c r="D915" s="1" t="s">
        <v>1837</v>
      </c>
      <c r="E915">
        <v>1311150.8999999999</v>
      </c>
      <c r="F915">
        <v>0</v>
      </c>
      <c r="G915" s="1" t="s">
        <v>1838</v>
      </c>
      <c r="H915">
        <v>0</v>
      </c>
      <c r="I915">
        <v>1311150.8999999999</v>
      </c>
      <c r="J915">
        <v>1</v>
      </c>
      <c r="K915">
        <v>0</v>
      </c>
      <c r="L915">
        <v>2</v>
      </c>
      <c r="M915">
        <v>0</v>
      </c>
      <c r="N915">
        <v>1</v>
      </c>
      <c r="O915">
        <v>1311150.8999999999</v>
      </c>
    </row>
    <row r="916" spans="1:15" x14ac:dyDescent="0.3">
      <c r="A916">
        <v>74</v>
      </c>
      <c r="B916" s="1" t="s">
        <v>15</v>
      </c>
      <c r="C916">
        <v>4582074.51</v>
      </c>
      <c r="D916" s="1" t="s">
        <v>1839</v>
      </c>
      <c r="E916">
        <v>4582074.51</v>
      </c>
      <c r="F916">
        <v>0</v>
      </c>
      <c r="G916" s="1" t="s">
        <v>1840</v>
      </c>
      <c r="H916">
        <v>0</v>
      </c>
      <c r="I916">
        <v>0</v>
      </c>
      <c r="J916">
        <v>1</v>
      </c>
      <c r="K916">
        <v>0</v>
      </c>
      <c r="L916">
        <v>2</v>
      </c>
      <c r="M916">
        <v>0</v>
      </c>
      <c r="N916">
        <v>1</v>
      </c>
      <c r="O916">
        <v>4582074.51</v>
      </c>
    </row>
    <row r="917" spans="1:15" x14ac:dyDescent="0.3">
      <c r="A917">
        <v>74</v>
      </c>
      <c r="B917" s="1" t="s">
        <v>18</v>
      </c>
      <c r="C917">
        <v>4582074.51</v>
      </c>
      <c r="D917" s="1" t="s">
        <v>1841</v>
      </c>
      <c r="E917">
        <v>4582074.51</v>
      </c>
      <c r="F917">
        <v>0</v>
      </c>
      <c r="G917" s="1" t="s">
        <v>1842</v>
      </c>
      <c r="H917">
        <v>154034.94</v>
      </c>
      <c r="I917">
        <v>4736109.45</v>
      </c>
      <c r="J917">
        <v>1</v>
      </c>
      <c r="K917">
        <v>0</v>
      </c>
      <c r="L917">
        <v>2</v>
      </c>
      <c r="M917">
        <v>0</v>
      </c>
      <c r="N917">
        <v>1</v>
      </c>
      <c r="O917">
        <v>4582074.51</v>
      </c>
    </row>
    <row r="918" spans="1:15" x14ac:dyDescent="0.3">
      <c r="A918">
        <v>74</v>
      </c>
      <c r="B918" s="1" t="s">
        <v>15</v>
      </c>
      <c r="C918">
        <v>455074.13</v>
      </c>
      <c r="D918" s="1" t="s">
        <v>1843</v>
      </c>
      <c r="E918">
        <v>455074.13</v>
      </c>
      <c r="F918">
        <v>0</v>
      </c>
      <c r="G918" s="1" t="s">
        <v>1844</v>
      </c>
      <c r="H918">
        <v>0</v>
      </c>
      <c r="I918">
        <v>0</v>
      </c>
      <c r="J918">
        <v>1</v>
      </c>
      <c r="K918">
        <v>0</v>
      </c>
      <c r="L918">
        <v>2</v>
      </c>
      <c r="M918">
        <v>0</v>
      </c>
      <c r="N918">
        <v>1</v>
      </c>
      <c r="O918">
        <v>455074.13</v>
      </c>
    </row>
    <row r="919" spans="1:15" x14ac:dyDescent="0.3">
      <c r="A919">
        <v>74</v>
      </c>
      <c r="B919" s="1" t="s">
        <v>18</v>
      </c>
      <c r="C919">
        <v>455074.13</v>
      </c>
      <c r="D919" s="1" t="s">
        <v>1845</v>
      </c>
      <c r="E919">
        <v>455074.13</v>
      </c>
      <c r="F919">
        <v>0</v>
      </c>
      <c r="G919" s="1" t="s">
        <v>211</v>
      </c>
      <c r="H919">
        <v>9237170.7400000002</v>
      </c>
      <c r="I919">
        <v>9692244.8599999994</v>
      </c>
      <c r="J919">
        <v>1</v>
      </c>
      <c r="K919">
        <v>0</v>
      </c>
      <c r="L919">
        <v>2</v>
      </c>
      <c r="M919">
        <v>0</v>
      </c>
      <c r="N919">
        <v>1</v>
      </c>
      <c r="O919">
        <v>455074.13</v>
      </c>
    </row>
    <row r="920" spans="1:15" x14ac:dyDescent="0.3">
      <c r="A920">
        <v>74</v>
      </c>
      <c r="B920" s="1" t="s">
        <v>15</v>
      </c>
      <c r="C920">
        <v>3284197.88</v>
      </c>
      <c r="D920" s="1" t="s">
        <v>1846</v>
      </c>
      <c r="E920">
        <v>3284197.88</v>
      </c>
      <c r="F920">
        <v>0</v>
      </c>
      <c r="G920" s="1" t="s">
        <v>1847</v>
      </c>
      <c r="H920">
        <v>0</v>
      </c>
      <c r="I920">
        <v>0</v>
      </c>
      <c r="J920">
        <v>1</v>
      </c>
      <c r="K920">
        <v>0</v>
      </c>
      <c r="L920">
        <v>2</v>
      </c>
      <c r="M920">
        <v>0</v>
      </c>
      <c r="N920">
        <v>1</v>
      </c>
      <c r="O920">
        <v>3284197.88</v>
      </c>
    </row>
    <row r="921" spans="1:15" x14ac:dyDescent="0.3">
      <c r="A921">
        <v>74</v>
      </c>
      <c r="B921" s="1" t="s">
        <v>18</v>
      </c>
      <c r="C921">
        <v>3284197.88</v>
      </c>
      <c r="D921" s="1" t="s">
        <v>1848</v>
      </c>
      <c r="E921">
        <v>3284197.88</v>
      </c>
      <c r="F921">
        <v>0</v>
      </c>
      <c r="G921" s="1" t="s">
        <v>1849</v>
      </c>
      <c r="H921">
        <v>200942.07999999999</v>
      </c>
      <c r="I921">
        <v>3485139.96</v>
      </c>
      <c r="J921">
        <v>1</v>
      </c>
      <c r="K921">
        <v>0</v>
      </c>
      <c r="L921">
        <v>2</v>
      </c>
      <c r="M921">
        <v>0</v>
      </c>
      <c r="N921">
        <v>1</v>
      </c>
      <c r="O921">
        <v>3284197.88</v>
      </c>
    </row>
    <row r="922" spans="1:15" x14ac:dyDescent="0.3">
      <c r="A922">
        <v>75</v>
      </c>
      <c r="B922" s="1" t="s">
        <v>15</v>
      </c>
      <c r="C922">
        <v>810039.19</v>
      </c>
      <c r="D922" s="1" t="s">
        <v>1850</v>
      </c>
      <c r="E922">
        <v>810039.19</v>
      </c>
      <c r="F922">
        <v>0</v>
      </c>
      <c r="G922" s="1" t="s">
        <v>1851</v>
      </c>
      <c r="H922">
        <v>0</v>
      </c>
      <c r="I922">
        <v>0</v>
      </c>
      <c r="J922">
        <v>1</v>
      </c>
      <c r="K922">
        <v>0</v>
      </c>
      <c r="L922">
        <v>3</v>
      </c>
      <c r="M922">
        <v>0</v>
      </c>
      <c r="N922">
        <v>1</v>
      </c>
      <c r="O922">
        <v>810039.19</v>
      </c>
    </row>
    <row r="923" spans="1:15" x14ac:dyDescent="0.3">
      <c r="A923">
        <v>75</v>
      </c>
      <c r="B923" s="1" t="s">
        <v>18</v>
      </c>
      <c r="C923">
        <v>810039.19</v>
      </c>
      <c r="D923" s="1" t="s">
        <v>1852</v>
      </c>
      <c r="E923">
        <v>810039.19</v>
      </c>
      <c r="F923">
        <v>0</v>
      </c>
      <c r="G923" s="1" t="s">
        <v>1853</v>
      </c>
      <c r="H923">
        <v>409035.12</v>
      </c>
      <c r="I923">
        <v>1219074.31</v>
      </c>
      <c r="J923">
        <v>1</v>
      </c>
      <c r="K923">
        <v>0</v>
      </c>
      <c r="L923">
        <v>3</v>
      </c>
      <c r="M923">
        <v>0</v>
      </c>
      <c r="N923">
        <v>1</v>
      </c>
      <c r="O923">
        <v>810039.19</v>
      </c>
    </row>
    <row r="924" spans="1:15" x14ac:dyDescent="0.3">
      <c r="A924">
        <v>75</v>
      </c>
      <c r="B924" s="1" t="s">
        <v>15</v>
      </c>
      <c r="C924">
        <v>959018.79</v>
      </c>
      <c r="D924" s="1" t="s">
        <v>1854</v>
      </c>
      <c r="E924">
        <v>959018.79</v>
      </c>
      <c r="F924">
        <v>0</v>
      </c>
      <c r="G924" s="1" t="s">
        <v>1855</v>
      </c>
      <c r="H924">
        <v>0</v>
      </c>
      <c r="I924">
        <v>0</v>
      </c>
      <c r="J924">
        <v>1</v>
      </c>
      <c r="K924">
        <v>0</v>
      </c>
      <c r="L924">
        <v>3</v>
      </c>
      <c r="M924">
        <v>0</v>
      </c>
      <c r="N924">
        <v>1</v>
      </c>
      <c r="O924">
        <v>959018.79</v>
      </c>
    </row>
    <row r="925" spans="1:15" x14ac:dyDescent="0.3">
      <c r="A925">
        <v>75</v>
      </c>
      <c r="B925" s="1" t="s">
        <v>18</v>
      </c>
      <c r="C925">
        <v>959018.79</v>
      </c>
      <c r="D925" s="1" t="s">
        <v>1856</v>
      </c>
      <c r="E925">
        <v>959018.79</v>
      </c>
      <c r="F925">
        <v>0</v>
      </c>
      <c r="G925" s="1" t="s">
        <v>1857</v>
      </c>
      <c r="H925">
        <v>0</v>
      </c>
      <c r="I925">
        <v>959018.79</v>
      </c>
      <c r="J925">
        <v>1</v>
      </c>
      <c r="K925">
        <v>0</v>
      </c>
      <c r="L925">
        <v>3</v>
      </c>
      <c r="M925">
        <v>0</v>
      </c>
      <c r="N925">
        <v>1</v>
      </c>
      <c r="O925">
        <v>959018.79</v>
      </c>
    </row>
    <row r="926" spans="1:15" x14ac:dyDescent="0.3">
      <c r="A926">
        <v>75</v>
      </c>
      <c r="B926" s="1" t="s">
        <v>15</v>
      </c>
      <c r="C926">
        <v>755813.12</v>
      </c>
      <c r="D926" s="1" t="s">
        <v>1858</v>
      </c>
      <c r="E926">
        <v>755813.12</v>
      </c>
      <c r="F926">
        <v>0</v>
      </c>
      <c r="G926" s="1" t="s">
        <v>1859</v>
      </c>
      <c r="H926">
        <v>0</v>
      </c>
      <c r="I926">
        <v>0</v>
      </c>
      <c r="J926">
        <v>1</v>
      </c>
      <c r="K926">
        <v>0</v>
      </c>
      <c r="L926">
        <v>3</v>
      </c>
      <c r="M926">
        <v>0</v>
      </c>
      <c r="N926">
        <v>1</v>
      </c>
      <c r="O926">
        <v>755813.12</v>
      </c>
    </row>
    <row r="927" spans="1:15" x14ac:dyDescent="0.3">
      <c r="A927">
        <v>75</v>
      </c>
      <c r="B927" s="1" t="s">
        <v>18</v>
      </c>
      <c r="C927">
        <v>755813.12</v>
      </c>
      <c r="D927" s="1" t="s">
        <v>1860</v>
      </c>
      <c r="E927">
        <v>755813.12</v>
      </c>
      <c r="F927">
        <v>0</v>
      </c>
      <c r="G927" s="1" t="s">
        <v>1861</v>
      </c>
      <c r="H927">
        <v>494575.27</v>
      </c>
      <c r="I927">
        <v>1250388.3799999999</v>
      </c>
      <c r="J927">
        <v>1</v>
      </c>
      <c r="K927">
        <v>0</v>
      </c>
      <c r="L927">
        <v>3</v>
      </c>
      <c r="M927">
        <v>0</v>
      </c>
      <c r="N927">
        <v>1</v>
      </c>
      <c r="O927">
        <v>755813.12</v>
      </c>
    </row>
    <row r="928" spans="1:15" x14ac:dyDescent="0.3">
      <c r="A928">
        <v>75</v>
      </c>
      <c r="B928" s="1" t="s">
        <v>15</v>
      </c>
      <c r="C928">
        <v>460436.43</v>
      </c>
      <c r="D928" s="1" t="s">
        <v>1862</v>
      </c>
      <c r="E928">
        <v>460436.43</v>
      </c>
      <c r="F928">
        <v>0</v>
      </c>
      <c r="G928" s="1" t="s">
        <v>1863</v>
      </c>
      <c r="H928">
        <v>0</v>
      </c>
      <c r="I928">
        <v>0</v>
      </c>
      <c r="J928">
        <v>1</v>
      </c>
      <c r="K928">
        <v>0</v>
      </c>
      <c r="L928">
        <v>3</v>
      </c>
      <c r="M928">
        <v>0</v>
      </c>
      <c r="N928">
        <v>1</v>
      </c>
      <c r="O928">
        <v>460436.43</v>
      </c>
    </row>
    <row r="929" spans="1:15" x14ac:dyDescent="0.3">
      <c r="A929">
        <v>75</v>
      </c>
      <c r="B929" s="1" t="s">
        <v>18</v>
      </c>
      <c r="C929">
        <v>460436.43</v>
      </c>
      <c r="D929" s="1" t="s">
        <v>1864</v>
      </c>
      <c r="E929">
        <v>460436.43</v>
      </c>
      <c r="F929">
        <v>0</v>
      </c>
      <c r="G929" s="1" t="s">
        <v>1865</v>
      </c>
      <c r="H929">
        <v>0</v>
      </c>
      <c r="I929">
        <v>460436.43</v>
      </c>
      <c r="J929">
        <v>1</v>
      </c>
      <c r="K929">
        <v>0</v>
      </c>
      <c r="L929">
        <v>3</v>
      </c>
      <c r="M929">
        <v>0</v>
      </c>
      <c r="N929">
        <v>1</v>
      </c>
      <c r="O929">
        <v>460436.43</v>
      </c>
    </row>
    <row r="930" spans="1:15" x14ac:dyDescent="0.3">
      <c r="A930">
        <v>76</v>
      </c>
      <c r="B930" s="1" t="s">
        <v>15</v>
      </c>
      <c r="C930">
        <v>9917.27</v>
      </c>
      <c r="D930" s="1" t="s">
        <v>1866</v>
      </c>
      <c r="E930">
        <v>9917.27</v>
      </c>
      <c r="F930">
        <v>0</v>
      </c>
      <c r="G930" s="1" t="s">
        <v>1867</v>
      </c>
      <c r="H930">
        <v>0</v>
      </c>
      <c r="I930">
        <v>0</v>
      </c>
      <c r="J930">
        <v>1</v>
      </c>
      <c r="K930">
        <v>0</v>
      </c>
      <c r="L930">
        <v>4</v>
      </c>
      <c r="M930">
        <v>0</v>
      </c>
      <c r="N930">
        <v>1</v>
      </c>
      <c r="O930">
        <v>9917.27</v>
      </c>
    </row>
    <row r="931" spans="1:15" x14ac:dyDescent="0.3">
      <c r="A931">
        <v>76</v>
      </c>
      <c r="B931" s="1" t="s">
        <v>18</v>
      </c>
      <c r="C931">
        <v>9917.27</v>
      </c>
      <c r="D931" s="1" t="s">
        <v>1868</v>
      </c>
      <c r="E931">
        <v>9917.27</v>
      </c>
      <c r="F931">
        <v>0</v>
      </c>
      <c r="G931" s="1" t="s">
        <v>1869</v>
      </c>
      <c r="H931">
        <v>408610.64</v>
      </c>
      <c r="I931">
        <v>418527.91</v>
      </c>
      <c r="J931">
        <v>1</v>
      </c>
      <c r="K931">
        <v>0</v>
      </c>
      <c r="L931">
        <v>4</v>
      </c>
      <c r="M931">
        <v>0</v>
      </c>
      <c r="N931">
        <v>1</v>
      </c>
      <c r="O931">
        <v>9917.27</v>
      </c>
    </row>
    <row r="932" spans="1:15" x14ac:dyDescent="0.3">
      <c r="A932">
        <v>76</v>
      </c>
      <c r="B932" s="1" t="s">
        <v>15</v>
      </c>
      <c r="C932">
        <v>2066446.27</v>
      </c>
      <c r="D932" s="1" t="s">
        <v>1870</v>
      </c>
      <c r="E932">
        <v>2066446.27</v>
      </c>
      <c r="F932">
        <v>0</v>
      </c>
      <c r="G932" s="1" t="s">
        <v>1871</v>
      </c>
      <c r="H932">
        <v>0</v>
      </c>
      <c r="I932">
        <v>0</v>
      </c>
      <c r="J932">
        <v>1</v>
      </c>
      <c r="K932">
        <v>0</v>
      </c>
      <c r="L932">
        <v>4</v>
      </c>
      <c r="M932">
        <v>0</v>
      </c>
      <c r="N932">
        <v>1</v>
      </c>
      <c r="O932">
        <v>2066446.27</v>
      </c>
    </row>
    <row r="933" spans="1:15" x14ac:dyDescent="0.3">
      <c r="A933">
        <v>76</v>
      </c>
      <c r="B933" s="1" t="s">
        <v>18</v>
      </c>
      <c r="C933">
        <v>2066446.27</v>
      </c>
      <c r="D933" s="1" t="s">
        <v>1872</v>
      </c>
      <c r="E933">
        <v>2066446.27</v>
      </c>
      <c r="F933">
        <v>0</v>
      </c>
      <c r="G933" s="1" t="s">
        <v>1873</v>
      </c>
      <c r="H933">
        <v>423086.94</v>
      </c>
      <c r="I933">
        <v>2489533.21</v>
      </c>
      <c r="J933">
        <v>1</v>
      </c>
      <c r="K933">
        <v>0</v>
      </c>
      <c r="L933">
        <v>4</v>
      </c>
      <c r="M933">
        <v>0</v>
      </c>
      <c r="N933">
        <v>1</v>
      </c>
      <c r="O933">
        <v>2066446.27</v>
      </c>
    </row>
    <row r="934" spans="1:15" x14ac:dyDescent="0.3">
      <c r="A934">
        <v>77</v>
      </c>
      <c r="B934" s="1" t="s">
        <v>15</v>
      </c>
      <c r="C934">
        <v>819048.34</v>
      </c>
      <c r="D934" s="1" t="s">
        <v>1874</v>
      </c>
      <c r="E934">
        <v>819048.34</v>
      </c>
      <c r="F934">
        <v>0</v>
      </c>
      <c r="G934" s="1" t="s">
        <v>1875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0</v>
      </c>
      <c r="N934">
        <v>1</v>
      </c>
      <c r="O934">
        <v>819048.34</v>
      </c>
    </row>
    <row r="935" spans="1:15" x14ac:dyDescent="0.3">
      <c r="A935">
        <v>77</v>
      </c>
      <c r="B935" s="1" t="s">
        <v>18</v>
      </c>
      <c r="C935">
        <v>819048.34</v>
      </c>
      <c r="D935" s="1" t="s">
        <v>1876</v>
      </c>
      <c r="E935">
        <v>819048.34</v>
      </c>
      <c r="F935">
        <v>0</v>
      </c>
      <c r="G935" s="1" t="s">
        <v>1877</v>
      </c>
      <c r="H935">
        <v>1104098.69</v>
      </c>
      <c r="I935">
        <v>1923147.03</v>
      </c>
      <c r="J935">
        <v>1</v>
      </c>
      <c r="K935">
        <v>0</v>
      </c>
      <c r="L935">
        <v>5</v>
      </c>
      <c r="M935">
        <v>0</v>
      </c>
      <c r="N935">
        <v>1</v>
      </c>
      <c r="O935">
        <v>819048.34</v>
      </c>
    </row>
    <row r="936" spans="1:15" x14ac:dyDescent="0.3">
      <c r="A936">
        <v>77</v>
      </c>
      <c r="B936" s="1" t="s">
        <v>15</v>
      </c>
      <c r="C936">
        <v>9039246.8200000003</v>
      </c>
      <c r="D936" s="1" t="s">
        <v>1878</v>
      </c>
      <c r="E936">
        <v>9039246.8200000003</v>
      </c>
      <c r="F936">
        <v>0</v>
      </c>
      <c r="G936" s="1" t="s">
        <v>1879</v>
      </c>
      <c r="H936">
        <v>0</v>
      </c>
      <c r="I936">
        <v>0</v>
      </c>
      <c r="J936">
        <v>1</v>
      </c>
      <c r="K936">
        <v>0</v>
      </c>
      <c r="L936">
        <v>5</v>
      </c>
      <c r="M936">
        <v>0</v>
      </c>
      <c r="N936">
        <v>1</v>
      </c>
      <c r="O936">
        <v>9039246.8200000003</v>
      </c>
    </row>
    <row r="937" spans="1:15" x14ac:dyDescent="0.3">
      <c r="A937">
        <v>77</v>
      </c>
      <c r="B937" s="1" t="s">
        <v>18</v>
      </c>
      <c r="C937">
        <v>9039246.8200000003</v>
      </c>
      <c r="D937" s="1" t="s">
        <v>1880</v>
      </c>
      <c r="E937">
        <v>9039246.8200000003</v>
      </c>
      <c r="F937">
        <v>0</v>
      </c>
      <c r="G937" s="1" t="s">
        <v>1881</v>
      </c>
      <c r="H937">
        <v>464686.69</v>
      </c>
      <c r="I937">
        <v>9503933.5099999998</v>
      </c>
      <c r="J937">
        <v>1</v>
      </c>
      <c r="K937">
        <v>0</v>
      </c>
      <c r="L937">
        <v>5</v>
      </c>
      <c r="M937">
        <v>0</v>
      </c>
      <c r="N937">
        <v>1</v>
      </c>
      <c r="O937">
        <v>9039246.8200000003</v>
      </c>
    </row>
    <row r="938" spans="1:15" x14ac:dyDescent="0.3">
      <c r="A938">
        <v>77</v>
      </c>
      <c r="B938" s="1" t="s">
        <v>15</v>
      </c>
      <c r="C938">
        <v>239473.85</v>
      </c>
      <c r="D938" s="1" t="s">
        <v>1882</v>
      </c>
      <c r="E938">
        <v>239473.85</v>
      </c>
      <c r="F938">
        <v>0</v>
      </c>
      <c r="G938" s="1" t="s">
        <v>1883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0</v>
      </c>
      <c r="N938">
        <v>1</v>
      </c>
      <c r="O938">
        <v>239473.85</v>
      </c>
    </row>
    <row r="939" spans="1:15" x14ac:dyDescent="0.3">
      <c r="A939">
        <v>77</v>
      </c>
      <c r="B939" s="1" t="s">
        <v>18</v>
      </c>
      <c r="C939">
        <v>239473.85</v>
      </c>
      <c r="D939" s="1" t="s">
        <v>1884</v>
      </c>
      <c r="E939">
        <v>239473.85</v>
      </c>
      <c r="F939">
        <v>0</v>
      </c>
      <c r="G939" s="1" t="s">
        <v>1885</v>
      </c>
      <c r="H939">
        <v>729245.09</v>
      </c>
      <c r="I939">
        <v>968718.94</v>
      </c>
      <c r="J939">
        <v>1</v>
      </c>
      <c r="K939">
        <v>0</v>
      </c>
      <c r="L939">
        <v>5</v>
      </c>
      <c r="M939">
        <v>0</v>
      </c>
      <c r="N939">
        <v>1</v>
      </c>
      <c r="O939">
        <v>239473.85</v>
      </c>
    </row>
    <row r="940" spans="1:15" x14ac:dyDescent="0.3">
      <c r="A940">
        <v>77</v>
      </c>
      <c r="B940" s="1" t="s">
        <v>15</v>
      </c>
      <c r="C940">
        <v>5715004.2999999998</v>
      </c>
      <c r="D940" s="1" t="s">
        <v>1886</v>
      </c>
      <c r="E940">
        <v>5715004.2999999998</v>
      </c>
      <c r="F940">
        <v>0</v>
      </c>
      <c r="G940" s="1" t="s">
        <v>1887</v>
      </c>
      <c r="H940">
        <v>0</v>
      </c>
      <c r="I940">
        <v>0</v>
      </c>
      <c r="J940">
        <v>1</v>
      </c>
      <c r="K940">
        <v>0</v>
      </c>
      <c r="L940">
        <v>5</v>
      </c>
      <c r="M940">
        <v>0</v>
      </c>
      <c r="N940">
        <v>1</v>
      </c>
      <c r="O940">
        <v>5715004.2999999998</v>
      </c>
    </row>
    <row r="941" spans="1:15" x14ac:dyDescent="0.3">
      <c r="A941">
        <v>77</v>
      </c>
      <c r="B941" s="1" t="s">
        <v>18</v>
      </c>
      <c r="C941">
        <v>5715004.2999999998</v>
      </c>
      <c r="D941" s="1" t="s">
        <v>1888</v>
      </c>
      <c r="E941">
        <v>5715004.2999999998</v>
      </c>
      <c r="F941">
        <v>0</v>
      </c>
      <c r="G941" s="1" t="s">
        <v>1889</v>
      </c>
      <c r="H941">
        <v>318309.23</v>
      </c>
      <c r="I941">
        <v>6033313.5300000003</v>
      </c>
      <c r="J941">
        <v>1</v>
      </c>
      <c r="K941">
        <v>0</v>
      </c>
      <c r="L941">
        <v>5</v>
      </c>
      <c r="M941">
        <v>0</v>
      </c>
      <c r="N941">
        <v>1</v>
      </c>
      <c r="O941">
        <v>5715004.2999999998</v>
      </c>
    </row>
    <row r="942" spans="1:15" x14ac:dyDescent="0.3">
      <c r="A942">
        <v>77</v>
      </c>
      <c r="B942" s="1" t="s">
        <v>15</v>
      </c>
      <c r="C942">
        <v>2149976.69</v>
      </c>
      <c r="D942" s="1" t="s">
        <v>1890</v>
      </c>
      <c r="E942">
        <v>2149976.69</v>
      </c>
      <c r="F942">
        <v>0</v>
      </c>
      <c r="G942" s="1" t="s">
        <v>1891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0</v>
      </c>
      <c r="N942">
        <v>1</v>
      </c>
      <c r="O942">
        <v>2149976.69</v>
      </c>
    </row>
    <row r="943" spans="1:15" x14ac:dyDescent="0.3">
      <c r="A943">
        <v>77</v>
      </c>
      <c r="B943" s="1" t="s">
        <v>18</v>
      </c>
      <c r="C943">
        <v>2149976.69</v>
      </c>
      <c r="D943" s="1" t="s">
        <v>1892</v>
      </c>
      <c r="E943">
        <v>2149976.69</v>
      </c>
      <c r="F943">
        <v>0</v>
      </c>
      <c r="G943" s="1" t="s">
        <v>1893</v>
      </c>
      <c r="H943">
        <v>0</v>
      </c>
      <c r="I943">
        <v>2149976.69</v>
      </c>
      <c r="J943">
        <v>1</v>
      </c>
      <c r="K943">
        <v>0</v>
      </c>
      <c r="L943">
        <v>5</v>
      </c>
      <c r="M943">
        <v>0</v>
      </c>
      <c r="N943">
        <v>1</v>
      </c>
      <c r="O943">
        <v>2149976.69</v>
      </c>
    </row>
    <row r="944" spans="1:15" x14ac:dyDescent="0.3">
      <c r="A944">
        <v>78</v>
      </c>
      <c r="B944" s="1" t="s">
        <v>15</v>
      </c>
      <c r="C944">
        <v>1321091.25</v>
      </c>
      <c r="D944" s="1" t="s">
        <v>1894</v>
      </c>
      <c r="E944">
        <v>1321091.25</v>
      </c>
      <c r="F944">
        <v>0</v>
      </c>
      <c r="G944" s="1" t="s">
        <v>1895</v>
      </c>
      <c r="H944">
        <v>0</v>
      </c>
      <c r="I944">
        <v>0</v>
      </c>
      <c r="J944">
        <v>1</v>
      </c>
      <c r="K944">
        <v>0</v>
      </c>
      <c r="L944">
        <v>6</v>
      </c>
      <c r="M944">
        <v>0</v>
      </c>
      <c r="N944">
        <v>1</v>
      </c>
      <c r="O944">
        <v>1321091.25</v>
      </c>
    </row>
    <row r="945" spans="1:15" x14ac:dyDescent="0.3">
      <c r="A945">
        <v>78</v>
      </c>
      <c r="B945" s="1" t="s">
        <v>18</v>
      </c>
      <c r="C945">
        <v>1321091.25</v>
      </c>
      <c r="D945" s="1" t="s">
        <v>1896</v>
      </c>
      <c r="E945">
        <v>1321091.25</v>
      </c>
      <c r="F945">
        <v>0</v>
      </c>
      <c r="G945" s="1" t="s">
        <v>1897</v>
      </c>
      <c r="H945">
        <v>0</v>
      </c>
      <c r="I945">
        <v>1321091.25</v>
      </c>
      <c r="J945">
        <v>1</v>
      </c>
      <c r="K945">
        <v>0</v>
      </c>
      <c r="L945">
        <v>6</v>
      </c>
      <c r="M945">
        <v>0</v>
      </c>
      <c r="N945">
        <v>1</v>
      </c>
      <c r="O945">
        <v>1321091.25</v>
      </c>
    </row>
    <row r="946" spans="1:15" x14ac:dyDescent="0.3">
      <c r="A946">
        <v>78</v>
      </c>
      <c r="B946" s="1" t="s">
        <v>15</v>
      </c>
      <c r="C946">
        <v>113829.89</v>
      </c>
      <c r="D946" s="1" t="s">
        <v>1898</v>
      </c>
      <c r="E946">
        <v>113829.89</v>
      </c>
      <c r="F946">
        <v>0</v>
      </c>
      <c r="G946" s="1" t="s">
        <v>1899</v>
      </c>
      <c r="H946">
        <v>0</v>
      </c>
      <c r="I946">
        <v>0</v>
      </c>
      <c r="J946">
        <v>1</v>
      </c>
      <c r="K946">
        <v>0</v>
      </c>
      <c r="L946">
        <v>6</v>
      </c>
      <c r="M946">
        <v>0</v>
      </c>
      <c r="N946">
        <v>1</v>
      </c>
      <c r="O946">
        <v>113829.89</v>
      </c>
    </row>
    <row r="947" spans="1:15" x14ac:dyDescent="0.3">
      <c r="A947">
        <v>78</v>
      </c>
      <c r="B947" s="1" t="s">
        <v>18</v>
      </c>
      <c r="C947">
        <v>113829.89</v>
      </c>
      <c r="D947" s="1" t="s">
        <v>1900</v>
      </c>
      <c r="E947">
        <v>113829.89</v>
      </c>
      <c r="F947">
        <v>0</v>
      </c>
      <c r="G947" s="1" t="s">
        <v>1901</v>
      </c>
      <c r="H947">
        <v>0</v>
      </c>
      <c r="I947">
        <v>113829.89</v>
      </c>
      <c r="J947">
        <v>1</v>
      </c>
      <c r="K947">
        <v>0</v>
      </c>
      <c r="L947">
        <v>6</v>
      </c>
      <c r="M947">
        <v>0</v>
      </c>
      <c r="N947">
        <v>1</v>
      </c>
      <c r="O947">
        <v>113829.89</v>
      </c>
    </row>
    <row r="948" spans="1:15" x14ac:dyDescent="0.3">
      <c r="A948">
        <v>78</v>
      </c>
      <c r="B948" s="1" t="s">
        <v>15</v>
      </c>
      <c r="C948">
        <v>178569.48</v>
      </c>
      <c r="D948" s="1" t="s">
        <v>1902</v>
      </c>
      <c r="E948">
        <v>178569.48</v>
      </c>
      <c r="F948">
        <v>0</v>
      </c>
      <c r="G948" s="1" t="s">
        <v>1903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0</v>
      </c>
      <c r="N948">
        <v>1</v>
      </c>
      <c r="O948">
        <v>178569.48</v>
      </c>
    </row>
    <row r="949" spans="1:15" x14ac:dyDescent="0.3">
      <c r="A949">
        <v>78</v>
      </c>
      <c r="B949" s="1" t="s">
        <v>18</v>
      </c>
      <c r="C949">
        <v>178569.48</v>
      </c>
      <c r="D949" s="1" t="s">
        <v>1904</v>
      </c>
      <c r="E949">
        <v>178569.48</v>
      </c>
      <c r="F949">
        <v>0</v>
      </c>
      <c r="G949" s="1" t="s">
        <v>1905</v>
      </c>
      <c r="H949">
        <v>263128.53000000003</v>
      </c>
      <c r="I949">
        <v>441698.01</v>
      </c>
      <c r="J949">
        <v>1</v>
      </c>
      <c r="K949">
        <v>0</v>
      </c>
      <c r="L949">
        <v>6</v>
      </c>
      <c r="M949">
        <v>0</v>
      </c>
      <c r="N949">
        <v>1</v>
      </c>
      <c r="O949">
        <v>178569.48</v>
      </c>
    </row>
    <row r="950" spans="1:15" x14ac:dyDescent="0.3">
      <c r="A950">
        <v>78</v>
      </c>
      <c r="B950" s="1" t="s">
        <v>15</v>
      </c>
      <c r="C950">
        <v>1735647.47</v>
      </c>
      <c r="D950" s="1" t="s">
        <v>1906</v>
      </c>
      <c r="E950">
        <v>1735647.47</v>
      </c>
      <c r="F950">
        <v>0</v>
      </c>
      <c r="G950" s="1" t="s">
        <v>1907</v>
      </c>
      <c r="H950">
        <v>0</v>
      </c>
      <c r="I950">
        <v>0</v>
      </c>
      <c r="J950">
        <v>1</v>
      </c>
      <c r="K950">
        <v>0</v>
      </c>
      <c r="L950">
        <v>6</v>
      </c>
      <c r="M950">
        <v>0</v>
      </c>
      <c r="N950">
        <v>1</v>
      </c>
      <c r="O950">
        <v>1735647.47</v>
      </c>
    </row>
    <row r="951" spans="1:15" x14ac:dyDescent="0.3">
      <c r="A951">
        <v>78</v>
      </c>
      <c r="B951" s="1" t="s">
        <v>18</v>
      </c>
      <c r="C951">
        <v>1735647.47</v>
      </c>
      <c r="D951" s="1" t="s">
        <v>1908</v>
      </c>
      <c r="E951">
        <v>1735647.47</v>
      </c>
      <c r="F951">
        <v>0</v>
      </c>
      <c r="G951" s="1" t="s">
        <v>1909</v>
      </c>
      <c r="H951">
        <v>0</v>
      </c>
      <c r="I951">
        <v>1735647.47</v>
      </c>
      <c r="J951">
        <v>1</v>
      </c>
      <c r="K951">
        <v>0</v>
      </c>
      <c r="L951">
        <v>6</v>
      </c>
      <c r="M951">
        <v>0</v>
      </c>
      <c r="N951">
        <v>1</v>
      </c>
      <c r="O951">
        <v>1735647.47</v>
      </c>
    </row>
    <row r="952" spans="1:15" x14ac:dyDescent="0.3">
      <c r="A952">
        <v>78</v>
      </c>
      <c r="B952" s="1" t="s">
        <v>15</v>
      </c>
      <c r="C952">
        <v>2254934.36</v>
      </c>
      <c r="D952" s="1" t="s">
        <v>1910</v>
      </c>
      <c r="E952">
        <v>2254934.36</v>
      </c>
      <c r="F952">
        <v>0</v>
      </c>
      <c r="G952" s="1" t="s">
        <v>1911</v>
      </c>
      <c r="H952">
        <v>0</v>
      </c>
      <c r="I952">
        <v>0</v>
      </c>
      <c r="J952">
        <v>1</v>
      </c>
      <c r="K952">
        <v>0</v>
      </c>
      <c r="L952">
        <v>6</v>
      </c>
      <c r="M952">
        <v>0</v>
      </c>
      <c r="N952">
        <v>1</v>
      </c>
      <c r="O952">
        <v>2254934.36</v>
      </c>
    </row>
    <row r="953" spans="1:15" x14ac:dyDescent="0.3">
      <c r="A953">
        <v>78</v>
      </c>
      <c r="B953" s="1" t="s">
        <v>18</v>
      </c>
      <c r="C953">
        <v>2254934.36</v>
      </c>
      <c r="D953" s="1" t="s">
        <v>1912</v>
      </c>
      <c r="E953">
        <v>2254934.36</v>
      </c>
      <c r="F953">
        <v>0</v>
      </c>
      <c r="G953" s="1" t="s">
        <v>1913</v>
      </c>
      <c r="H953">
        <v>364128.61</v>
      </c>
      <c r="I953">
        <v>2619062.9700000002</v>
      </c>
      <c r="J953">
        <v>1</v>
      </c>
      <c r="K953">
        <v>0</v>
      </c>
      <c r="L953">
        <v>6</v>
      </c>
      <c r="M953">
        <v>0</v>
      </c>
      <c r="N953">
        <v>1</v>
      </c>
      <c r="O953">
        <v>2254934.36</v>
      </c>
    </row>
    <row r="954" spans="1:15" x14ac:dyDescent="0.3">
      <c r="A954">
        <v>79</v>
      </c>
      <c r="B954" s="1" t="s">
        <v>15</v>
      </c>
      <c r="C954">
        <v>353045.35</v>
      </c>
      <c r="D954" s="1" t="s">
        <v>1914</v>
      </c>
      <c r="E954">
        <v>353045.35</v>
      </c>
      <c r="F954">
        <v>0</v>
      </c>
      <c r="G954" s="1" t="s">
        <v>1915</v>
      </c>
      <c r="H954">
        <v>0</v>
      </c>
      <c r="I954">
        <v>0</v>
      </c>
      <c r="J954">
        <v>1</v>
      </c>
      <c r="K954">
        <v>0</v>
      </c>
      <c r="L954">
        <v>7</v>
      </c>
      <c r="M954">
        <v>0</v>
      </c>
      <c r="N954">
        <v>1</v>
      </c>
      <c r="O954">
        <v>353045.35</v>
      </c>
    </row>
    <row r="955" spans="1:15" x14ac:dyDescent="0.3">
      <c r="A955">
        <v>79</v>
      </c>
      <c r="B955" s="1" t="s">
        <v>18</v>
      </c>
      <c r="C955">
        <v>353045.35</v>
      </c>
      <c r="D955" s="1" t="s">
        <v>1916</v>
      </c>
      <c r="E955">
        <v>353045.35</v>
      </c>
      <c r="F955">
        <v>0</v>
      </c>
      <c r="G955" s="1" t="s">
        <v>1917</v>
      </c>
      <c r="H955">
        <v>981978.74</v>
      </c>
      <c r="I955">
        <v>1335024.0900000001</v>
      </c>
      <c r="J955">
        <v>1</v>
      </c>
      <c r="K955">
        <v>0</v>
      </c>
      <c r="L955">
        <v>7</v>
      </c>
      <c r="M955">
        <v>0</v>
      </c>
      <c r="N955">
        <v>1</v>
      </c>
      <c r="O955">
        <v>353045.35</v>
      </c>
    </row>
    <row r="956" spans="1:15" x14ac:dyDescent="0.3">
      <c r="A956">
        <v>79</v>
      </c>
      <c r="B956" s="1" t="s">
        <v>15</v>
      </c>
      <c r="C956">
        <v>1619331.51</v>
      </c>
      <c r="D956" s="1" t="s">
        <v>1918</v>
      </c>
      <c r="E956">
        <v>1619331.51</v>
      </c>
      <c r="F956">
        <v>0</v>
      </c>
      <c r="G956" s="1" t="s">
        <v>1919</v>
      </c>
      <c r="H956">
        <v>0</v>
      </c>
      <c r="I956">
        <v>0</v>
      </c>
      <c r="J956">
        <v>1</v>
      </c>
      <c r="K956">
        <v>0</v>
      </c>
      <c r="L956">
        <v>7</v>
      </c>
      <c r="M956">
        <v>0</v>
      </c>
      <c r="N956">
        <v>1</v>
      </c>
      <c r="O956">
        <v>1619331.51</v>
      </c>
    </row>
    <row r="957" spans="1:15" x14ac:dyDescent="0.3">
      <c r="A957">
        <v>79</v>
      </c>
      <c r="B957" s="1" t="s">
        <v>18</v>
      </c>
      <c r="C957">
        <v>1619331.51</v>
      </c>
      <c r="D957" s="1" t="s">
        <v>1920</v>
      </c>
      <c r="E957">
        <v>1619331.51</v>
      </c>
      <c r="F957">
        <v>0</v>
      </c>
      <c r="G957" s="1" t="s">
        <v>1921</v>
      </c>
      <c r="H957">
        <v>0</v>
      </c>
      <c r="I957">
        <v>1619331.51</v>
      </c>
      <c r="J957">
        <v>1</v>
      </c>
      <c r="K957">
        <v>0</v>
      </c>
      <c r="L957">
        <v>7</v>
      </c>
      <c r="M957">
        <v>0</v>
      </c>
      <c r="N957">
        <v>1</v>
      </c>
      <c r="O957">
        <v>1619331.51</v>
      </c>
    </row>
    <row r="958" spans="1:15" x14ac:dyDescent="0.3">
      <c r="A958">
        <v>79</v>
      </c>
      <c r="B958" s="1" t="s">
        <v>15</v>
      </c>
      <c r="C958">
        <v>61178.51</v>
      </c>
      <c r="D958" s="1" t="s">
        <v>1922</v>
      </c>
      <c r="E958">
        <v>61178.51</v>
      </c>
      <c r="F958">
        <v>0</v>
      </c>
      <c r="G958" s="1" t="s">
        <v>1923</v>
      </c>
      <c r="H958">
        <v>0</v>
      </c>
      <c r="I958">
        <v>0</v>
      </c>
      <c r="J958">
        <v>1</v>
      </c>
      <c r="K958">
        <v>0</v>
      </c>
      <c r="L958">
        <v>7</v>
      </c>
      <c r="M958">
        <v>0</v>
      </c>
      <c r="N958">
        <v>1</v>
      </c>
      <c r="O958">
        <v>61178.51</v>
      </c>
    </row>
    <row r="959" spans="1:15" x14ac:dyDescent="0.3">
      <c r="A959">
        <v>79</v>
      </c>
      <c r="B959" s="1" t="s">
        <v>18</v>
      </c>
      <c r="C959">
        <v>61178.51</v>
      </c>
      <c r="D959" s="1" t="s">
        <v>1924</v>
      </c>
      <c r="E959">
        <v>61178.51</v>
      </c>
      <c r="F959">
        <v>0</v>
      </c>
      <c r="G959" s="1" t="s">
        <v>1925</v>
      </c>
      <c r="H959">
        <v>238787.35</v>
      </c>
      <c r="I959">
        <v>299965.86</v>
      </c>
      <c r="J959">
        <v>1</v>
      </c>
      <c r="K959">
        <v>0</v>
      </c>
      <c r="L959">
        <v>7</v>
      </c>
      <c r="M959">
        <v>0</v>
      </c>
      <c r="N959">
        <v>1</v>
      </c>
      <c r="O959">
        <v>61178.51</v>
      </c>
    </row>
    <row r="960" spans="1:15" x14ac:dyDescent="0.3">
      <c r="A960">
        <v>79</v>
      </c>
      <c r="B960" s="1" t="s">
        <v>15</v>
      </c>
      <c r="C960">
        <v>664992.86</v>
      </c>
      <c r="D960" s="1" t="s">
        <v>1926</v>
      </c>
      <c r="E960">
        <v>664992.86</v>
      </c>
      <c r="F960">
        <v>0</v>
      </c>
      <c r="G960" s="1" t="s">
        <v>1927</v>
      </c>
      <c r="H960">
        <v>0</v>
      </c>
      <c r="I960">
        <v>0</v>
      </c>
      <c r="J960">
        <v>1</v>
      </c>
      <c r="K960">
        <v>0</v>
      </c>
      <c r="L960">
        <v>7</v>
      </c>
      <c r="M960">
        <v>0</v>
      </c>
      <c r="N960">
        <v>1</v>
      </c>
      <c r="O960">
        <v>664992.86</v>
      </c>
    </row>
    <row r="961" spans="1:15" x14ac:dyDescent="0.3">
      <c r="A961">
        <v>79</v>
      </c>
      <c r="B961" s="1" t="s">
        <v>18</v>
      </c>
      <c r="C961">
        <v>664992.86</v>
      </c>
      <c r="D961" s="1" t="s">
        <v>1928</v>
      </c>
      <c r="E961">
        <v>664992.86</v>
      </c>
      <c r="F961">
        <v>0</v>
      </c>
      <c r="G961" s="1" t="s">
        <v>1929</v>
      </c>
      <c r="H961">
        <v>769363.38</v>
      </c>
      <c r="I961">
        <v>1434356.23</v>
      </c>
      <c r="J961">
        <v>1</v>
      </c>
      <c r="K961">
        <v>0</v>
      </c>
      <c r="L961">
        <v>7</v>
      </c>
      <c r="M961">
        <v>0</v>
      </c>
      <c r="N961">
        <v>1</v>
      </c>
      <c r="O961">
        <v>664992.86</v>
      </c>
    </row>
    <row r="962" spans="1:15" x14ac:dyDescent="0.3">
      <c r="A962">
        <v>79</v>
      </c>
      <c r="B962" s="1" t="s">
        <v>15</v>
      </c>
      <c r="C962">
        <v>432254.84</v>
      </c>
      <c r="D962" s="1" t="s">
        <v>1930</v>
      </c>
      <c r="E962">
        <v>432254.84</v>
      </c>
      <c r="F962">
        <v>0</v>
      </c>
      <c r="G962" s="1" t="s">
        <v>1931</v>
      </c>
      <c r="H962">
        <v>0</v>
      </c>
      <c r="I962">
        <v>0</v>
      </c>
      <c r="J962">
        <v>1</v>
      </c>
      <c r="K962">
        <v>0</v>
      </c>
      <c r="L962">
        <v>7</v>
      </c>
      <c r="M962">
        <v>0</v>
      </c>
      <c r="N962">
        <v>1</v>
      </c>
      <c r="O962">
        <v>432254.84</v>
      </c>
    </row>
    <row r="963" spans="1:15" x14ac:dyDescent="0.3">
      <c r="A963">
        <v>79</v>
      </c>
      <c r="B963" s="1" t="s">
        <v>18</v>
      </c>
      <c r="C963">
        <v>432254.84</v>
      </c>
      <c r="D963" s="1" t="s">
        <v>1932</v>
      </c>
      <c r="E963">
        <v>432254.84</v>
      </c>
      <c r="F963">
        <v>0</v>
      </c>
      <c r="G963" s="1" t="s">
        <v>1933</v>
      </c>
      <c r="H963">
        <v>1300115.81</v>
      </c>
      <c r="I963">
        <v>1732370.65</v>
      </c>
      <c r="J963">
        <v>1</v>
      </c>
      <c r="K963">
        <v>0</v>
      </c>
      <c r="L963">
        <v>7</v>
      </c>
      <c r="M963">
        <v>0</v>
      </c>
      <c r="N963">
        <v>1</v>
      </c>
      <c r="O963">
        <v>432254.84</v>
      </c>
    </row>
    <row r="964" spans="1:15" x14ac:dyDescent="0.3">
      <c r="A964">
        <v>80</v>
      </c>
      <c r="B964" s="1" t="s">
        <v>15</v>
      </c>
      <c r="C964">
        <v>42659.39</v>
      </c>
      <c r="D964" s="1" t="s">
        <v>1934</v>
      </c>
      <c r="E964">
        <v>42659.39</v>
      </c>
      <c r="F964">
        <v>0</v>
      </c>
      <c r="G964" s="1" t="s">
        <v>1935</v>
      </c>
      <c r="H964">
        <v>0</v>
      </c>
      <c r="I964">
        <v>0</v>
      </c>
      <c r="J964">
        <v>1</v>
      </c>
      <c r="K964">
        <v>0</v>
      </c>
      <c r="L964">
        <v>8</v>
      </c>
      <c r="M964">
        <v>0</v>
      </c>
      <c r="N964">
        <v>1</v>
      </c>
      <c r="O964">
        <v>42659.39</v>
      </c>
    </row>
    <row r="965" spans="1:15" x14ac:dyDescent="0.3">
      <c r="A965">
        <v>80</v>
      </c>
      <c r="B965" s="1" t="s">
        <v>18</v>
      </c>
      <c r="C965">
        <v>42659.39</v>
      </c>
      <c r="D965" s="1" t="s">
        <v>1936</v>
      </c>
      <c r="E965">
        <v>42659.39</v>
      </c>
      <c r="F965">
        <v>0</v>
      </c>
      <c r="G965" s="1" t="s">
        <v>1937</v>
      </c>
      <c r="H965">
        <v>173558.43</v>
      </c>
      <c r="I965">
        <v>216217.82</v>
      </c>
      <c r="J965">
        <v>1</v>
      </c>
      <c r="K965">
        <v>0</v>
      </c>
      <c r="L965">
        <v>8</v>
      </c>
      <c r="M965">
        <v>0</v>
      </c>
      <c r="N965">
        <v>1</v>
      </c>
      <c r="O965">
        <v>42659.39</v>
      </c>
    </row>
    <row r="966" spans="1:15" x14ac:dyDescent="0.3">
      <c r="A966">
        <v>80</v>
      </c>
      <c r="B966" s="1" t="s">
        <v>15</v>
      </c>
      <c r="C966">
        <v>173782.59</v>
      </c>
      <c r="D966" s="1" t="s">
        <v>1938</v>
      </c>
      <c r="E966">
        <v>173782.59</v>
      </c>
      <c r="F966">
        <v>0</v>
      </c>
      <c r="G966" s="1" t="s">
        <v>1939</v>
      </c>
      <c r="H966">
        <v>0</v>
      </c>
      <c r="I966">
        <v>0</v>
      </c>
      <c r="J966">
        <v>1</v>
      </c>
      <c r="K966">
        <v>0</v>
      </c>
      <c r="L966">
        <v>8</v>
      </c>
      <c r="M966">
        <v>0</v>
      </c>
      <c r="N966">
        <v>1</v>
      </c>
      <c r="O966">
        <v>173782.59</v>
      </c>
    </row>
    <row r="967" spans="1:15" x14ac:dyDescent="0.3">
      <c r="A967">
        <v>80</v>
      </c>
      <c r="B967" s="1" t="s">
        <v>18</v>
      </c>
      <c r="C967">
        <v>173782.59</v>
      </c>
      <c r="D967" s="1" t="s">
        <v>1940</v>
      </c>
      <c r="E967">
        <v>173782.59</v>
      </c>
      <c r="F967">
        <v>0</v>
      </c>
      <c r="G967" s="1" t="s">
        <v>1941</v>
      </c>
      <c r="H967">
        <v>3272453.63</v>
      </c>
      <c r="I967">
        <v>3446236.22</v>
      </c>
      <c r="J967">
        <v>1</v>
      </c>
      <c r="K967">
        <v>0</v>
      </c>
      <c r="L967">
        <v>8</v>
      </c>
      <c r="M967">
        <v>0</v>
      </c>
      <c r="N967">
        <v>1</v>
      </c>
      <c r="O967">
        <v>173782.59</v>
      </c>
    </row>
    <row r="968" spans="1:15" x14ac:dyDescent="0.3">
      <c r="A968">
        <v>80</v>
      </c>
      <c r="B968" s="1" t="s">
        <v>15</v>
      </c>
      <c r="C968">
        <v>62134.33</v>
      </c>
      <c r="D968" s="1" t="s">
        <v>1942</v>
      </c>
      <c r="E968">
        <v>62134.33</v>
      </c>
      <c r="F968">
        <v>0</v>
      </c>
      <c r="G968" s="1" t="s">
        <v>1943</v>
      </c>
      <c r="H968">
        <v>0</v>
      </c>
      <c r="I968">
        <v>0</v>
      </c>
      <c r="J968">
        <v>1</v>
      </c>
      <c r="K968">
        <v>0</v>
      </c>
      <c r="L968">
        <v>8</v>
      </c>
      <c r="M968">
        <v>0</v>
      </c>
      <c r="N968">
        <v>1</v>
      </c>
      <c r="O968">
        <v>62134.33</v>
      </c>
    </row>
    <row r="969" spans="1:15" x14ac:dyDescent="0.3">
      <c r="A969">
        <v>80</v>
      </c>
      <c r="B969" s="1" t="s">
        <v>18</v>
      </c>
      <c r="C969">
        <v>62134.33</v>
      </c>
      <c r="D969" s="1" t="s">
        <v>1944</v>
      </c>
      <c r="E969">
        <v>62134.33</v>
      </c>
      <c r="F969">
        <v>0</v>
      </c>
      <c r="G969" s="1" t="s">
        <v>1945</v>
      </c>
      <c r="H969">
        <v>509204.33</v>
      </c>
      <c r="I969">
        <v>571338.66</v>
      </c>
      <c r="J969">
        <v>1</v>
      </c>
      <c r="K969">
        <v>0</v>
      </c>
      <c r="L969">
        <v>8</v>
      </c>
      <c r="M969">
        <v>0</v>
      </c>
      <c r="N969">
        <v>1</v>
      </c>
      <c r="O969">
        <v>62134.33</v>
      </c>
    </row>
    <row r="970" spans="1:15" x14ac:dyDescent="0.3">
      <c r="A970">
        <v>80</v>
      </c>
      <c r="B970" s="1" t="s">
        <v>15</v>
      </c>
      <c r="C970">
        <v>972920.87</v>
      </c>
      <c r="D970" s="1" t="s">
        <v>1946</v>
      </c>
      <c r="E970">
        <v>972920.87</v>
      </c>
      <c r="F970">
        <v>0</v>
      </c>
      <c r="G970" s="1" t="s">
        <v>1947</v>
      </c>
      <c r="H970">
        <v>0</v>
      </c>
      <c r="I970">
        <v>0</v>
      </c>
      <c r="J970">
        <v>1</v>
      </c>
      <c r="K970">
        <v>0</v>
      </c>
      <c r="L970">
        <v>8</v>
      </c>
      <c r="M970">
        <v>0</v>
      </c>
      <c r="N970">
        <v>1</v>
      </c>
      <c r="O970">
        <v>972920.87</v>
      </c>
    </row>
    <row r="971" spans="1:15" x14ac:dyDescent="0.3">
      <c r="A971">
        <v>80</v>
      </c>
      <c r="B971" s="1" t="s">
        <v>18</v>
      </c>
      <c r="C971">
        <v>972920.87</v>
      </c>
      <c r="D971" s="1" t="s">
        <v>1948</v>
      </c>
      <c r="E971">
        <v>972920.87</v>
      </c>
      <c r="F971">
        <v>0</v>
      </c>
      <c r="G971" s="1" t="s">
        <v>1949</v>
      </c>
      <c r="H971">
        <v>21030.1</v>
      </c>
      <c r="I971">
        <v>993950.97</v>
      </c>
      <c r="J971">
        <v>1</v>
      </c>
      <c r="K971">
        <v>0</v>
      </c>
      <c r="L971">
        <v>8</v>
      </c>
      <c r="M971">
        <v>0</v>
      </c>
      <c r="N971">
        <v>1</v>
      </c>
      <c r="O971">
        <v>972920.87</v>
      </c>
    </row>
    <row r="972" spans="1:15" x14ac:dyDescent="0.3">
      <c r="A972">
        <v>80</v>
      </c>
      <c r="B972" s="1" t="s">
        <v>15</v>
      </c>
      <c r="C972">
        <v>244814.12</v>
      </c>
      <c r="D972" s="1" t="s">
        <v>1950</v>
      </c>
      <c r="E972">
        <v>244814.12</v>
      </c>
      <c r="F972">
        <v>0</v>
      </c>
      <c r="G972" s="1" t="s">
        <v>1951</v>
      </c>
      <c r="H972">
        <v>0</v>
      </c>
      <c r="I972">
        <v>0</v>
      </c>
      <c r="J972">
        <v>1</v>
      </c>
      <c r="K972">
        <v>0</v>
      </c>
      <c r="L972">
        <v>8</v>
      </c>
      <c r="M972">
        <v>0</v>
      </c>
      <c r="N972">
        <v>1</v>
      </c>
      <c r="O972">
        <v>244814.12</v>
      </c>
    </row>
    <row r="973" spans="1:15" x14ac:dyDescent="0.3">
      <c r="A973">
        <v>80</v>
      </c>
      <c r="B973" s="1" t="s">
        <v>18</v>
      </c>
      <c r="C973">
        <v>244814.12</v>
      </c>
      <c r="D973" s="1" t="s">
        <v>1952</v>
      </c>
      <c r="E973">
        <v>244814.12</v>
      </c>
      <c r="F973">
        <v>0</v>
      </c>
      <c r="G973" s="1" t="s">
        <v>1953</v>
      </c>
      <c r="H973">
        <v>7106855.4699999997</v>
      </c>
      <c r="I973">
        <v>7351669.5899999999</v>
      </c>
      <c r="J973">
        <v>1</v>
      </c>
      <c r="K973">
        <v>0</v>
      </c>
      <c r="L973">
        <v>8</v>
      </c>
      <c r="M973">
        <v>0</v>
      </c>
      <c r="N973">
        <v>1</v>
      </c>
      <c r="O973">
        <v>244814.12</v>
      </c>
    </row>
    <row r="974" spans="1:15" x14ac:dyDescent="0.3">
      <c r="A974">
        <v>81</v>
      </c>
      <c r="B974" s="1" t="s">
        <v>15</v>
      </c>
      <c r="C974">
        <v>82527.13</v>
      </c>
      <c r="D974" s="1" t="s">
        <v>1954</v>
      </c>
      <c r="E974">
        <v>82527.13</v>
      </c>
      <c r="F974">
        <v>0</v>
      </c>
      <c r="G974" s="1" t="s">
        <v>1955</v>
      </c>
      <c r="H974">
        <v>0</v>
      </c>
      <c r="I974">
        <v>0</v>
      </c>
      <c r="J974">
        <v>1</v>
      </c>
      <c r="K974">
        <v>0</v>
      </c>
      <c r="L974">
        <v>9</v>
      </c>
      <c r="M974">
        <v>0</v>
      </c>
      <c r="N974">
        <v>1</v>
      </c>
      <c r="O974">
        <v>82527.13</v>
      </c>
    </row>
    <row r="975" spans="1:15" x14ac:dyDescent="0.3">
      <c r="A975">
        <v>81</v>
      </c>
      <c r="B975" s="1" t="s">
        <v>18</v>
      </c>
      <c r="C975">
        <v>82527.13</v>
      </c>
      <c r="D975" s="1" t="s">
        <v>1956</v>
      </c>
      <c r="E975">
        <v>82527.13</v>
      </c>
      <c r="F975">
        <v>0</v>
      </c>
      <c r="G975" s="1" t="s">
        <v>1957</v>
      </c>
      <c r="H975">
        <v>397267.85</v>
      </c>
      <c r="I975">
        <v>479794.98</v>
      </c>
      <c r="J975">
        <v>1</v>
      </c>
      <c r="K975">
        <v>0</v>
      </c>
      <c r="L975">
        <v>9</v>
      </c>
      <c r="M975">
        <v>0</v>
      </c>
      <c r="N975">
        <v>1</v>
      </c>
      <c r="O975">
        <v>82527.13</v>
      </c>
    </row>
    <row r="976" spans="1:15" x14ac:dyDescent="0.3">
      <c r="A976">
        <v>81</v>
      </c>
      <c r="B976" s="1" t="s">
        <v>15</v>
      </c>
      <c r="C976">
        <v>78028.89</v>
      </c>
      <c r="D976" s="1" t="s">
        <v>1958</v>
      </c>
      <c r="E976">
        <v>78028.89</v>
      </c>
      <c r="F976">
        <v>0</v>
      </c>
      <c r="G976" s="1" t="s">
        <v>1959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0</v>
      </c>
      <c r="N976">
        <v>1</v>
      </c>
      <c r="O976">
        <v>78028.89</v>
      </c>
    </row>
    <row r="977" spans="1:15" x14ac:dyDescent="0.3">
      <c r="A977">
        <v>81</v>
      </c>
      <c r="B977" s="1" t="s">
        <v>18</v>
      </c>
      <c r="C977">
        <v>78028.89</v>
      </c>
      <c r="D977" s="1" t="s">
        <v>1960</v>
      </c>
      <c r="E977">
        <v>78028.89</v>
      </c>
      <c r="F977">
        <v>0</v>
      </c>
      <c r="G977" s="1" t="s">
        <v>1961</v>
      </c>
      <c r="H977">
        <v>473519.42</v>
      </c>
      <c r="I977">
        <v>551548.31000000006</v>
      </c>
      <c r="J977">
        <v>1</v>
      </c>
      <c r="K977">
        <v>0</v>
      </c>
      <c r="L977">
        <v>9</v>
      </c>
      <c r="M977">
        <v>0</v>
      </c>
      <c r="N977">
        <v>1</v>
      </c>
      <c r="O977">
        <v>78028.89</v>
      </c>
    </row>
    <row r="978" spans="1:15" x14ac:dyDescent="0.3">
      <c r="A978">
        <v>81</v>
      </c>
      <c r="B978" s="1" t="s">
        <v>15</v>
      </c>
      <c r="C978">
        <v>2737766.8</v>
      </c>
      <c r="D978" s="1" t="s">
        <v>1962</v>
      </c>
      <c r="E978">
        <v>2737766.8</v>
      </c>
      <c r="F978">
        <v>0</v>
      </c>
      <c r="G978" s="1" t="s">
        <v>1963</v>
      </c>
      <c r="H978">
        <v>0</v>
      </c>
      <c r="I978">
        <v>0</v>
      </c>
      <c r="J978">
        <v>1</v>
      </c>
      <c r="K978">
        <v>0</v>
      </c>
      <c r="L978">
        <v>9</v>
      </c>
      <c r="M978">
        <v>0</v>
      </c>
      <c r="N978">
        <v>1</v>
      </c>
      <c r="O978">
        <v>2737766.8</v>
      </c>
    </row>
    <row r="979" spans="1:15" x14ac:dyDescent="0.3">
      <c r="A979">
        <v>81</v>
      </c>
      <c r="B979" s="1" t="s">
        <v>18</v>
      </c>
      <c r="C979">
        <v>2737766.8</v>
      </c>
      <c r="D979" s="1" t="s">
        <v>1964</v>
      </c>
      <c r="E979">
        <v>2737766.8</v>
      </c>
      <c r="F979">
        <v>0</v>
      </c>
      <c r="G979" s="1" t="s">
        <v>1965</v>
      </c>
      <c r="H979">
        <v>0</v>
      </c>
      <c r="I979">
        <v>2737766.8</v>
      </c>
      <c r="J979">
        <v>1</v>
      </c>
      <c r="K979">
        <v>0</v>
      </c>
      <c r="L979">
        <v>9</v>
      </c>
      <c r="M979">
        <v>0</v>
      </c>
      <c r="N979">
        <v>1</v>
      </c>
      <c r="O979">
        <v>2737766.8</v>
      </c>
    </row>
    <row r="980" spans="1:15" x14ac:dyDescent="0.3">
      <c r="A980">
        <v>81</v>
      </c>
      <c r="B980" s="1" t="s">
        <v>15</v>
      </c>
      <c r="C980">
        <v>1980800.05</v>
      </c>
      <c r="D980" s="1" t="s">
        <v>1966</v>
      </c>
      <c r="E980">
        <v>1980800.05</v>
      </c>
      <c r="F980">
        <v>0</v>
      </c>
      <c r="G980" s="1" t="s">
        <v>1967</v>
      </c>
      <c r="H980">
        <v>0</v>
      </c>
      <c r="I980">
        <v>0</v>
      </c>
      <c r="J980">
        <v>1</v>
      </c>
      <c r="K980">
        <v>0</v>
      </c>
      <c r="L980">
        <v>9</v>
      </c>
      <c r="M980">
        <v>0</v>
      </c>
      <c r="N980">
        <v>1</v>
      </c>
      <c r="O980">
        <v>1980800.05</v>
      </c>
    </row>
    <row r="981" spans="1:15" x14ac:dyDescent="0.3">
      <c r="A981">
        <v>81</v>
      </c>
      <c r="B981" s="1" t="s">
        <v>18</v>
      </c>
      <c r="C981">
        <v>1980800.05</v>
      </c>
      <c r="D981" s="1" t="s">
        <v>1968</v>
      </c>
      <c r="E981">
        <v>1980800.05</v>
      </c>
      <c r="F981">
        <v>0</v>
      </c>
      <c r="G981" s="1" t="s">
        <v>1969</v>
      </c>
      <c r="H981">
        <v>1779203.4</v>
      </c>
      <c r="I981">
        <v>3760003.46</v>
      </c>
      <c r="J981">
        <v>1</v>
      </c>
      <c r="K981">
        <v>0</v>
      </c>
      <c r="L981">
        <v>9</v>
      </c>
      <c r="M981">
        <v>0</v>
      </c>
      <c r="N981">
        <v>1</v>
      </c>
      <c r="O981">
        <v>1980800.05</v>
      </c>
    </row>
    <row r="982" spans="1:15" x14ac:dyDescent="0.3">
      <c r="A982">
        <v>81</v>
      </c>
      <c r="B982" s="1" t="s">
        <v>15</v>
      </c>
      <c r="C982">
        <v>221936.6</v>
      </c>
      <c r="D982" s="1" t="s">
        <v>1970</v>
      </c>
      <c r="E982">
        <v>221936.6</v>
      </c>
      <c r="F982">
        <v>0</v>
      </c>
      <c r="G982" s="1" t="s">
        <v>1971</v>
      </c>
      <c r="H982">
        <v>0</v>
      </c>
      <c r="I982">
        <v>0</v>
      </c>
      <c r="J982">
        <v>1</v>
      </c>
      <c r="K982">
        <v>0</v>
      </c>
      <c r="L982">
        <v>9</v>
      </c>
      <c r="M982">
        <v>0</v>
      </c>
      <c r="N982">
        <v>1</v>
      </c>
      <c r="O982">
        <v>221936.6</v>
      </c>
    </row>
    <row r="983" spans="1:15" x14ac:dyDescent="0.3">
      <c r="A983">
        <v>81</v>
      </c>
      <c r="B983" s="1" t="s">
        <v>18</v>
      </c>
      <c r="C983">
        <v>221936.6</v>
      </c>
      <c r="D983" s="1" t="s">
        <v>1972</v>
      </c>
      <c r="E983">
        <v>221936.6</v>
      </c>
      <c r="F983">
        <v>0</v>
      </c>
      <c r="G983" s="1" t="s">
        <v>1973</v>
      </c>
      <c r="H983">
        <v>1811.03</v>
      </c>
      <c r="I983">
        <v>223747.62</v>
      </c>
      <c r="J983">
        <v>1</v>
      </c>
      <c r="K983">
        <v>0</v>
      </c>
      <c r="L983">
        <v>9</v>
      </c>
      <c r="M983">
        <v>0</v>
      </c>
      <c r="N983">
        <v>1</v>
      </c>
      <c r="O983">
        <v>221936.6</v>
      </c>
    </row>
    <row r="984" spans="1:15" x14ac:dyDescent="0.3">
      <c r="A984">
        <v>82</v>
      </c>
      <c r="B984" s="1" t="s">
        <v>15</v>
      </c>
      <c r="C984">
        <v>5338583.38</v>
      </c>
      <c r="D984" s="1" t="s">
        <v>1974</v>
      </c>
      <c r="E984">
        <v>5338583.38</v>
      </c>
      <c r="F984">
        <v>0</v>
      </c>
      <c r="G984" s="1" t="s">
        <v>1975</v>
      </c>
      <c r="H984">
        <v>0</v>
      </c>
      <c r="I984">
        <v>0</v>
      </c>
      <c r="J984">
        <v>1</v>
      </c>
      <c r="K984">
        <v>0</v>
      </c>
      <c r="L984">
        <v>10</v>
      </c>
      <c r="M984">
        <v>0</v>
      </c>
      <c r="N984">
        <v>1</v>
      </c>
      <c r="O984">
        <v>5338583.38</v>
      </c>
    </row>
    <row r="985" spans="1:15" x14ac:dyDescent="0.3">
      <c r="A985">
        <v>82</v>
      </c>
      <c r="B985" s="1" t="s">
        <v>18</v>
      </c>
      <c r="C985">
        <v>5338583.38</v>
      </c>
      <c r="D985" s="1" t="s">
        <v>1976</v>
      </c>
      <c r="E985">
        <v>5338583.38</v>
      </c>
      <c r="F985">
        <v>0</v>
      </c>
      <c r="G985" s="1" t="s">
        <v>1977</v>
      </c>
      <c r="H985">
        <v>31250.62</v>
      </c>
      <c r="I985">
        <v>5369834</v>
      </c>
      <c r="J985">
        <v>1</v>
      </c>
      <c r="K985">
        <v>0</v>
      </c>
      <c r="L985">
        <v>10</v>
      </c>
      <c r="M985">
        <v>0</v>
      </c>
      <c r="N985">
        <v>1</v>
      </c>
      <c r="O985">
        <v>5338583.38</v>
      </c>
    </row>
    <row r="986" spans="1:15" x14ac:dyDescent="0.3">
      <c r="A986">
        <v>82</v>
      </c>
      <c r="B986" s="1" t="s">
        <v>15</v>
      </c>
      <c r="C986">
        <v>1534985.07</v>
      </c>
      <c r="D986" s="1" t="s">
        <v>1978</v>
      </c>
      <c r="E986">
        <v>1534985.07</v>
      </c>
      <c r="F986">
        <v>0</v>
      </c>
      <c r="G986" s="1" t="s">
        <v>1979</v>
      </c>
      <c r="H986">
        <v>0</v>
      </c>
      <c r="I986">
        <v>0</v>
      </c>
      <c r="J986">
        <v>1</v>
      </c>
      <c r="K986">
        <v>0</v>
      </c>
      <c r="L986">
        <v>10</v>
      </c>
      <c r="M986">
        <v>0</v>
      </c>
      <c r="N986">
        <v>1</v>
      </c>
      <c r="O986">
        <v>1534985.07</v>
      </c>
    </row>
    <row r="987" spans="1:15" x14ac:dyDescent="0.3">
      <c r="A987">
        <v>82</v>
      </c>
      <c r="B987" s="1" t="s">
        <v>18</v>
      </c>
      <c r="C987">
        <v>1534985.07</v>
      </c>
      <c r="D987" s="1" t="s">
        <v>1980</v>
      </c>
      <c r="E987">
        <v>1534985.07</v>
      </c>
      <c r="F987">
        <v>0</v>
      </c>
      <c r="G987" s="1" t="s">
        <v>1981</v>
      </c>
      <c r="H987">
        <v>0</v>
      </c>
      <c r="I987">
        <v>1534985.07</v>
      </c>
      <c r="J987">
        <v>1</v>
      </c>
      <c r="K987">
        <v>0</v>
      </c>
      <c r="L987">
        <v>10</v>
      </c>
      <c r="M987">
        <v>0</v>
      </c>
      <c r="N987">
        <v>1</v>
      </c>
      <c r="O987">
        <v>1534985.07</v>
      </c>
    </row>
    <row r="988" spans="1:15" x14ac:dyDescent="0.3">
      <c r="A988">
        <v>82</v>
      </c>
      <c r="B988" s="1" t="s">
        <v>15</v>
      </c>
      <c r="C988">
        <v>45077.1</v>
      </c>
      <c r="D988" s="1" t="s">
        <v>1982</v>
      </c>
      <c r="E988">
        <v>45077.1</v>
      </c>
      <c r="F988">
        <v>0</v>
      </c>
      <c r="G988" s="1" t="s">
        <v>1983</v>
      </c>
      <c r="H988">
        <v>0</v>
      </c>
      <c r="I988">
        <v>0</v>
      </c>
      <c r="J988">
        <v>1</v>
      </c>
      <c r="K988">
        <v>0</v>
      </c>
      <c r="L988">
        <v>10</v>
      </c>
      <c r="M988">
        <v>0</v>
      </c>
      <c r="N988">
        <v>1</v>
      </c>
      <c r="O988">
        <v>45077.1</v>
      </c>
    </row>
    <row r="989" spans="1:15" x14ac:dyDescent="0.3">
      <c r="A989">
        <v>82</v>
      </c>
      <c r="B989" s="1" t="s">
        <v>18</v>
      </c>
      <c r="C989">
        <v>45077.1</v>
      </c>
      <c r="D989" s="1" t="s">
        <v>1984</v>
      </c>
      <c r="E989">
        <v>45077.1</v>
      </c>
      <c r="F989">
        <v>0</v>
      </c>
      <c r="G989" s="1" t="s">
        <v>1985</v>
      </c>
      <c r="H989">
        <v>126262.18</v>
      </c>
      <c r="I989">
        <v>171339.29</v>
      </c>
      <c r="J989">
        <v>1</v>
      </c>
      <c r="K989">
        <v>0</v>
      </c>
      <c r="L989">
        <v>10</v>
      </c>
      <c r="M989">
        <v>0</v>
      </c>
      <c r="N989">
        <v>1</v>
      </c>
      <c r="O989">
        <v>45077.1</v>
      </c>
    </row>
    <row r="990" spans="1:15" x14ac:dyDescent="0.3">
      <c r="A990">
        <v>82</v>
      </c>
      <c r="B990" s="1" t="s">
        <v>15</v>
      </c>
      <c r="C990">
        <v>10000000</v>
      </c>
      <c r="D990" s="1" t="s">
        <v>1986</v>
      </c>
      <c r="E990">
        <v>11000000</v>
      </c>
      <c r="F990">
        <v>987591.59</v>
      </c>
      <c r="G990" s="1" t="s">
        <v>1987</v>
      </c>
      <c r="H990">
        <v>0</v>
      </c>
      <c r="I990">
        <v>0</v>
      </c>
      <c r="J990">
        <v>1</v>
      </c>
      <c r="K990">
        <v>0</v>
      </c>
      <c r="L990">
        <v>10</v>
      </c>
      <c r="M990">
        <v>1</v>
      </c>
      <c r="N990">
        <v>0</v>
      </c>
      <c r="O990">
        <v>10012408.41</v>
      </c>
    </row>
    <row r="991" spans="1:15" x14ac:dyDescent="0.3">
      <c r="A991">
        <v>82</v>
      </c>
      <c r="B991" s="1" t="s">
        <v>18</v>
      </c>
      <c r="C991">
        <v>10000000</v>
      </c>
      <c r="D991" s="1" t="s">
        <v>1988</v>
      </c>
      <c r="E991">
        <v>10000000</v>
      </c>
      <c r="F991">
        <v>0</v>
      </c>
      <c r="G991" s="1" t="s">
        <v>1989</v>
      </c>
      <c r="H991">
        <v>373274.84</v>
      </c>
      <c r="I991">
        <v>10400000</v>
      </c>
      <c r="J991">
        <v>1</v>
      </c>
      <c r="K991">
        <v>0</v>
      </c>
      <c r="L991">
        <v>10</v>
      </c>
      <c r="M991">
        <v>1</v>
      </c>
      <c r="N991">
        <v>1</v>
      </c>
      <c r="O991">
        <v>10000000</v>
      </c>
    </row>
    <row r="992" spans="1:15" x14ac:dyDescent="0.3">
      <c r="A992">
        <v>82</v>
      </c>
      <c r="B992" s="1" t="s">
        <v>15</v>
      </c>
      <c r="C992">
        <v>987591.59</v>
      </c>
      <c r="D992" s="1" t="s">
        <v>1990</v>
      </c>
      <c r="E992">
        <v>987591.59</v>
      </c>
      <c r="F992">
        <v>0</v>
      </c>
      <c r="G992" s="1" t="s">
        <v>1991</v>
      </c>
      <c r="H992">
        <v>0</v>
      </c>
      <c r="I992">
        <v>0</v>
      </c>
      <c r="J992">
        <v>1</v>
      </c>
      <c r="K992">
        <v>0</v>
      </c>
      <c r="L992">
        <v>10</v>
      </c>
      <c r="M992">
        <v>0</v>
      </c>
      <c r="N992">
        <v>1</v>
      </c>
      <c r="O992">
        <v>987591.59</v>
      </c>
    </row>
    <row r="993" spans="1:15" x14ac:dyDescent="0.3">
      <c r="A993">
        <v>82</v>
      </c>
      <c r="B993" s="1" t="s">
        <v>18</v>
      </c>
      <c r="C993">
        <v>987591.59</v>
      </c>
      <c r="D993" s="1" t="s">
        <v>1992</v>
      </c>
      <c r="E993">
        <v>987591.59</v>
      </c>
      <c r="F993">
        <v>0</v>
      </c>
      <c r="G993" s="1" t="s">
        <v>1993</v>
      </c>
      <c r="H993">
        <v>0</v>
      </c>
      <c r="I993">
        <v>987591.59</v>
      </c>
      <c r="J993">
        <v>1</v>
      </c>
      <c r="K993">
        <v>0</v>
      </c>
      <c r="L993">
        <v>10</v>
      </c>
      <c r="M993">
        <v>0</v>
      </c>
      <c r="N993">
        <v>1</v>
      </c>
      <c r="O993">
        <v>987591.59</v>
      </c>
    </row>
    <row r="994" spans="1:15" x14ac:dyDescent="0.3">
      <c r="A994">
        <v>83</v>
      </c>
      <c r="B994" s="1" t="s">
        <v>15</v>
      </c>
      <c r="C994">
        <v>1534926.96</v>
      </c>
      <c r="D994" s="1" t="s">
        <v>1994</v>
      </c>
      <c r="E994">
        <v>1534926.96</v>
      </c>
      <c r="F994">
        <v>0</v>
      </c>
      <c r="G994" s="1" t="s">
        <v>1995</v>
      </c>
      <c r="H994">
        <v>0</v>
      </c>
      <c r="I994">
        <v>0</v>
      </c>
      <c r="J994">
        <v>1</v>
      </c>
      <c r="K994">
        <v>0</v>
      </c>
      <c r="L994">
        <v>11</v>
      </c>
      <c r="M994">
        <v>0</v>
      </c>
      <c r="N994">
        <v>1</v>
      </c>
      <c r="O994">
        <v>1534926.96</v>
      </c>
    </row>
    <row r="995" spans="1:15" x14ac:dyDescent="0.3">
      <c r="A995">
        <v>83</v>
      </c>
      <c r="B995" s="1" t="s">
        <v>18</v>
      </c>
      <c r="C995">
        <v>1534926.96</v>
      </c>
      <c r="D995" s="1" t="s">
        <v>1996</v>
      </c>
      <c r="E995">
        <v>1534926.96</v>
      </c>
      <c r="F995">
        <v>0</v>
      </c>
      <c r="G995" s="1" t="s">
        <v>1997</v>
      </c>
      <c r="H995">
        <v>0</v>
      </c>
      <c r="I995">
        <v>1534926.96</v>
      </c>
      <c r="J995">
        <v>1</v>
      </c>
      <c r="K995">
        <v>0</v>
      </c>
      <c r="L995">
        <v>11</v>
      </c>
      <c r="M995">
        <v>0</v>
      </c>
      <c r="N995">
        <v>1</v>
      </c>
      <c r="O995">
        <v>1534926.96</v>
      </c>
    </row>
    <row r="996" spans="1:15" x14ac:dyDescent="0.3">
      <c r="A996">
        <v>83</v>
      </c>
      <c r="B996" s="1" t="s">
        <v>15</v>
      </c>
      <c r="C996">
        <v>594577.22</v>
      </c>
      <c r="D996" s="1" t="s">
        <v>1998</v>
      </c>
      <c r="E996">
        <v>594577.22</v>
      </c>
      <c r="F996">
        <v>0</v>
      </c>
      <c r="G996" s="1" t="s">
        <v>1999</v>
      </c>
      <c r="H996">
        <v>0</v>
      </c>
      <c r="I996">
        <v>0</v>
      </c>
      <c r="J996">
        <v>1</v>
      </c>
      <c r="K996">
        <v>0</v>
      </c>
      <c r="L996">
        <v>11</v>
      </c>
      <c r="M996">
        <v>0</v>
      </c>
      <c r="N996">
        <v>1</v>
      </c>
      <c r="O996">
        <v>594577.22</v>
      </c>
    </row>
    <row r="997" spans="1:15" x14ac:dyDescent="0.3">
      <c r="A997">
        <v>83</v>
      </c>
      <c r="B997" s="1" t="s">
        <v>18</v>
      </c>
      <c r="C997">
        <v>594577.22</v>
      </c>
      <c r="D997" s="1" t="s">
        <v>2000</v>
      </c>
      <c r="E997">
        <v>594577.22</v>
      </c>
      <c r="F997">
        <v>0</v>
      </c>
      <c r="G997" s="1" t="s">
        <v>511</v>
      </c>
      <c r="H997">
        <v>685106.85</v>
      </c>
      <c r="I997">
        <v>1279684.07</v>
      </c>
      <c r="J997">
        <v>1</v>
      </c>
      <c r="K997">
        <v>0</v>
      </c>
      <c r="L997">
        <v>11</v>
      </c>
      <c r="M997">
        <v>0</v>
      </c>
      <c r="N997">
        <v>1</v>
      </c>
      <c r="O997">
        <v>594577.22</v>
      </c>
    </row>
    <row r="998" spans="1:15" x14ac:dyDescent="0.3">
      <c r="A998">
        <v>83</v>
      </c>
      <c r="B998" s="1" t="s">
        <v>15</v>
      </c>
      <c r="C998">
        <v>24412.07</v>
      </c>
      <c r="D998" s="1" t="s">
        <v>2001</v>
      </c>
      <c r="E998">
        <v>24412.07</v>
      </c>
      <c r="F998">
        <v>0</v>
      </c>
      <c r="G998" s="1" t="s">
        <v>2002</v>
      </c>
      <c r="H998">
        <v>0</v>
      </c>
      <c r="I998">
        <v>0</v>
      </c>
      <c r="J998">
        <v>1</v>
      </c>
      <c r="K998">
        <v>0</v>
      </c>
      <c r="L998">
        <v>11</v>
      </c>
      <c r="M998">
        <v>0</v>
      </c>
      <c r="N998">
        <v>1</v>
      </c>
      <c r="O998">
        <v>24412.07</v>
      </c>
    </row>
    <row r="999" spans="1:15" x14ac:dyDescent="0.3">
      <c r="A999">
        <v>83</v>
      </c>
      <c r="B999" s="1" t="s">
        <v>18</v>
      </c>
      <c r="C999">
        <v>24412.07</v>
      </c>
      <c r="D999" s="1" t="s">
        <v>2003</v>
      </c>
      <c r="E999">
        <v>24412.07</v>
      </c>
      <c r="F999">
        <v>0</v>
      </c>
      <c r="G999" s="1" t="s">
        <v>2004</v>
      </c>
      <c r="H999">
        <v>1564103.49</v>
      </c>
      <c r="I999">
        <v>1588515.56</v>
      </c>
      <c r="J999">
        <v>1</v>
      </c>
      <c r="K999">
        <v>0</v>
      </c>
      <c r="L999">
        <v>11</v>
      </c>
      <c r="M999">
        <v>0</v>
      </c>
      <c r="N999">
        <v>1</v>
      </c>
      <c r="O999">
        <v>24412.07</v>
      </c>
    </row>
    <row r="1000" spans="1:15" x14ac:dyDescent="0.3">
      <c r="A1000">
        <v>83</v>
      </c>
      <c r="B1000" s="1" t="s">
        <v>15</v>
      </c>
      <c r="C1000">
        <v>286769.07</v>
      </c>
      <c r="D1000" s="1" t="s">
        <v>2005</v>
      </c>
      <c r="E1000">
        <v>286769.07</v>
      </c>
      <c r="F1000">
        <v>0</v>
      </c>
      <c r="G1000" s="1" t="s">
        <v>2006</v>
      </c>
      <c r="H1000">
        <v>0</v>
      </c>
      <c r="I1000">
        <v>0</v>
      </c>
      <c r="J1000">
        <v>1</v>
      </c>
      <c r="K1000">
        <v>0</v>
      </c>
      <c r="L1000">
        <v>11</v>
      </c>
      <c r="M1000">
        <v>0</v>
      </c>
      <c r="N1000">
        <v>1</v>
      </c>
      <c r="O1000">
        <v>286769.07</v>
      </c>
    </row>
    <row r="1001" spans="1:15" x14ac:dyDescent="0.3">
      <c r="A1001">
        <v>83</v>
      </c>
      <c r="B1001" s="1" t="s">
        <v>18</v>
      </c>
      <c r="C1001">
        <v>286769.07</v>
      </c>
      <c r="D1001" s="1" t="s">
        <v>2007</v>
      </c>
      <c r="E1001">
        <v>286769.07</v>
      </c>
      <c r="F1001">
        <v>0</v>
      </c>
      <c r="G1001" s="1" t="s">
        <v>2008</v>
      </c>
      <c r="H1001">
        <v>0</v>
      </c>
      <c r="I1001">
        <v>286769.07</v>
      </c>
      <c r="J1001">
        <v>1</v>
      </c>
      <c r="K1001">
        <v>0</v>
      </c>
      <c r="L1001">
        <v>11</v>
      </c>
      <c r="M1001">
        <v>0</v>
      </c>
      <c r="N1001">
        <v>1</v>
      </c>
      <c r="O1001">
        <v>286769.07</v>
      </c>
    </row>
    <row r="1002" spans="1:15" x14ac:dyDescent="0.3">
      <c r="A1002">
        <v>83</v>
      </c>
      <c r="B1002" s="1" t="s">
        <v>15</v>
      </c>
      <c r="C1002">
        <v>365099.76</v>
      </c>
      <c r="D1002" s="1" t="s">
        <v>2009</v>
      </c>
      <c r="E1002">
        <v>365099.76</v>
      </c>
      <c r="F1002">
        <v>0</v>
      </c>
      <c r="G1002" s="1" t="s">
        <v>2010</v>
      </c>
      <c r="H1002">
        <v>0</v>
      </c>
      <c r="I1002">
        <v>0</v>
      </c>
      <c r="J1002">
        <v>1</v>
      </c>
      <c r="K1002">
        <v>0</v>
      </c>
      <c r="L1002">
        <v>11</v>
      </c>
      <c r="M1002">
        <v>0</v>
      </c>
      <c r="N1002">
        <v>1</v>
      </c>
      <c r="O1002">
        <v>365099.76</v>
      </c>
    </row>
    <row r="1003" spans="1:15" x14ac:dyDescent="0.3">
      <c r="A1003">
        <v>83</v>
      </c>
      <c r="B1003" s="1" t="s">
        <v>18</v>
      </c>
      <c r="C1003">
        <v>365099.76</v>
      </c>
      <c r="D1003" s="1" t="s">
        <v>2011</v>
      </c>
      <c r="E1003">
        <v>365099.76</v>
      </c>
      <c r="F1003">
        <v>0</v>
      </c>
      <c r="G1003" s="1" t="s">
        <v>2012</v>
      </c>
      <c r="H1003">
        <v>32745.23</v>
      </c>
      <c r="I1003">
        <v>397844.99</v>
      </c>
      <c r="J1003">
        <v>1</v>
      </c>
      <c r="K1003">
        <v>0</v>
      </c>
      <c r="L1003">
        <v>11</v>
      </c>
      <c r="M1003">
        <v>0</v>
      </c>
      <c r="N1003">
        <v>1</v>
      </c>
      <c r="O1003">
        <v>365099.76</v>
      </c>
    </row>
    <row r="1004" spans="1:15" x14ac:dyDescent="0.3">
      <c r="A1004">
        <v>83</v>
      </c>
      <c r="B1004" s="1" t="s">
        <v>15</v>
      </c>
      <c r="C1004">
        <v>2498370.12</v>
      </c>
      <c r="D1004" s="1" t="s">
        <v>2013</v>
      </c>
      <c r="E1004">
        <v>2498370.12</v>
      </c>
      <c r="F1004">
        <v>0</v>
      </c>
      <c r="G1004" s="1" t="s">
        <v>2014</v>
      </c>
      <c r="H1004">
        <v>0</v>
      </c>
      <c r="I1004">
        <v>0</v>
      </c>
      <c r="J1004">
        <v>1</v>
      </c>
      <c r="K1004">
        <v>0</v>
      </c>
      <c r="L1004">
        <v>11</v>
      </c>
      <c r="M1004">
        <v>0</v>
      </c>
      <c r="N1004">
        <v>1</v>
      </c>
      <c r="O1004">
        <v>2498370.12</v>
      </c>
    </row>
    <row r="1005" spans="1:15" x14ac:dyDescent="0.3">
      <c r="A1005">
        <v>83</v>
      </c>
      <c r="B1005" s="1" t="s">
        <v>18</v>
      </c>
      <c r="C1005">
        <v>2498370.12</v>
      </c>
      <c r="D1005" s="1" t="s">
        <v>2015</v>
      </c>
      <c r="E1005">
        <v>2498370.12</v>
      </c>
      <c r="F1005">
        <v>0</v>
      </c>
      <c r="G1005" s="1" t="s">
        <v>2016</v>
      </c>
      <c r="H1005">
        <v>2343446.7400000002</v>
      </c>
      <c r="I1005">
        <v>4841816.8600000003</v>
      </c>
      <c r="J1005">
        <v>1</v>
      </c>
      <c r="K1005">
        <v>0</v>
      </c>
      <c r="L1005">
        <v>11</v>
      </c>
      <c r="M1005">
        <v>0</v>
      </c>
      <c r="N1005">
        <v>1</v>
      </c>
      <c r="O1005">
        <v>2498370.12</v>
      </c>
    </row>
    <row r="1006" spans="1:15" x14ac:dyDescent="0.3">
      <c r="A1006">
        <v>84</v>
      </c>
      <c r="B1006" s="1" t="s">
        <v>15</v>
      </c>
      <c r="C1006">
        <v>8380.7900000000009</v>
      </c>
      <c r="D1006" s="1" t="s">
        <v>2017</v>
      </c>
      <c r="E1006">
        <v>8380.7900000000009</v>
      </c>
      <c r="F1006">
        <v>0</v>
      </c>
      <c r="G1006" s="1" t="s">
        <v>2018</v>
      </c>
      <c r="H1006">
        <v>0</v>
      </c>
      <c r="I1006">
        <v>0</v>
      </c>
      <c r="J1006">
        <v>1</v>
      </c>
      <c r="K1006">
        <v>0</v>
      </c>
      <c r="L1006">
        <v>12</v>
      </c>
      <c r="M1006">
        <v>0</v>
      </c>
      <c r="N1006">
        <v>1</v>
      </c>
      <c r="O1006">
        <v>8380.7900000000009</v>
      </c>
    </row>
    <row r="1007" spans="1:15" x14ac:dyDescent="0.3">
      <c r="A1007">
        <v>84</v>
      </c>
      <c r="B1007" s="1" t="s">
        <v>18</v>
      </c>
      <c r="C1007">
        <v>8380.7900000000009</v>
      </c>
      <c r="D1007" s="1" t="s">
        <v>2019</v>
      </c>
      <c r="E1007">
        <v>8380.7900000000009</v>
      </c>
      <c r="F1007">
        <v>0</v>
      </c>
      <c r="G1007" s="1" t="s">
        <v>2020</v>
      </c>
      <c r="H1007">
        <v>0</v>
      </c>
      <c r="I1007">
        <v>8380.7900000000009</v>
      </c>
      <c r="J1007">
        <v>1</v>
      </c>
      <c r="K1007">
        <v>0</v>
      </c>
      <c r="L1007">
        <v>12</v>
      </c>
      <c r="M1007">
        <v>0</v>
      </c>
      <c r="N1007">
        <v>1</v>
      </c>
      <c r="O1007">
        <v>8380.7900000000009</v>
      </c>
    </row>
    <row r="1008" spans="1:15" x14ac:dyDescent="0.3">
      <c r="A1008">
        <v>84</v>
      </c>
      <c r="B1008" s="1" t="s">
        <v>15</v>
      </c>
      <c r="C1008">
        <v>2627070.5</v>
      </c>
      <c r="D1008" s="1" t="s">
        <v>2021</v>
      </c>
      <c r="E1008">
        <v>2627070.5</v>
      </c>
      <c r="F1008">
        <v>0</v>
      </c>
      <c r="G1008" s="1" t="s">
        <v>2022</v>
      </c>
      <c r="H1008">
        <v>0</v>
      </c>
      <c r="I1008">
        <v>0</v>
      </c>
      <c r="J1008">
        <v>1</v>
      </c>
      <c r="K1008">
        <v>0</v>
      </c>
      <c r="L1008">
        <v>12</v>
      </c>
      <c r="M1008">
        <v>0</v>
      </c>
      <c r="N1008">
        <v>1</v>
      </c>
      <c r="O1008">
        <v>2627070.5</v>
      </c>
    </row>
    <row r="1009" spans="1:15" x14ac:dyDescent="0.3">
      <c r="A1009">
        <v>84</v>
      </c>
      <c r="B1009" s="1" t="s">
        <v>18</v>
      </c>
      <c r="C1009">
        <v>2627070.5</v>
      </c>
      <c r="D1009" s="1" t="s">
        <v>2023</v>
      </c>
      <c r="E1009">
        <v>2627070.5</v>
      </c>
      <c r="F1009">
        <v>0</v>
      </c>
      <c r="G1009" s="1" t="s">
        <v>2024</v>
      </c>
      <c r="H1009">
        <v>463083.63</v>
      </c>
      <c r="I1009">
        <v>3090154.12</v>
      </c>
      <c r="J1009">
        <v>1</v>
      </c>
      <c r="K1009">
        <v>0</v>
      </c>
      <c r="L1009">
        <v>12</v>
      </c>
      <c r="M1009">
        <v>0</v>
      </c>
      <c r="N1009">
        <v>1</v>
      </c>
      <c r="O1009">
        <v>2627070.5</v>
      </c>
    </row>
    <row r="1010" spans="1:15" x14ac:dyDescent="0.3">
      <c r="A1010">
        <v>84</v>
      </c>
      <c r="B1010" s="1" t="s">
        <v>15</v>
      </c>
      <c r="C1010">
        <v>39379.449999999997</v>
      </c>
      <c r="D1010" s="1" t="s">
        <v>2025</v>
      </c>
      <c r="E1010">
        <v>39379.449999999997</v>
      </c>
      <c r="F1010">
        <v>0</v>
      </c>
      <c r="G1010" s="1" t="s">
        <v>2026</v>
      </c>
      <c r="H1010">
        <v>0</v>
      </c>
      <c r="I1010">
        <v>0</v>
      </c>
      <c r="J1010">
        <v>1</v>
      </c>
      <c r="K1010">
        <v>0</v>
      </c>
      <c r="L1010">
        <v>12</v>
      </c>
      <c r="M1010">
        <v>0</v>
      </c>
      <c r="N1010">
        <v>1</v>
      </c>
      <c r="O1010">
        <v>39379.449999999997</v>
      </c>
    </row>
    <row r="1011" spans="1:15" x14ac:dyDescent="0.3">
      <c r="A1011">
        <v>84</v>
      </c>
      <c r="B1011" s="1" t="s">
        <v>18</v>
      </c>
      <c r="C1011">
        <v>39379.449999999997</v>
      </c>
      <c r="D1011" s="1" t="s">
        <v>2027</v>
      </c>
      <c r="E1011">
        <v>39379.449999999997</v>
      </c>
      <c r="F1011">
        <v>0</v>
      </c>
      <c r="G1011" s="1" t="s">
        <v>2028</v>
      </c>
      <c r="H1011">
        <v>188532.97</v>
      </c>
      <c r="I1011">
        <v>227912.43</v>
      </c>
      <c r="J1011">
        <v>1</v>
      </c>
      <c r="K1011">
        <v>0</v>
      </c>
      <c r="L1011">
        <v>12</v>
      </c>
      <c r="M1011">
        <v>0</v>
      </c>
      <c r="N1011">
        <v>1</v>
      </c>
      <c r="O1011">
        <v>39379.449999999997</v>
      </c>
    </row>
    <row r="1012" spans="1:15" x14ac:dyDescent="0.3">
      <c r="A1012">
        <v>84</v>
      </c>
      <c r="B1012" s="1" t="s">
        <v>15</v>
      </c>
      <c r="C1012">
        <v>296349.8</v>
      </c>
      <c r="D1012" s="1" t="s">
        <v>2029</v>
      </c>
      <c r="E1012">
        <v>296349.8</v>
      </c>
      <c r="F1012">
        <v>0</v>
      </c>
      <c r="G1012" s="1" t="s">
        <v>2030</v>
      </c>
      <c r="H1012">
        <v>0</v>
      </c>
      <c r="I1012">
        <v>0</v>
      </c>
      <c r="J1012">
        <v>1</v>
      </c>
      <c r="K1012">
        <v>0</v>
      </c>
      <c r="L1012">
        <v>12</v>
      </c>
      <c r="M1012">
        <v>0</v>
      </c>
      <c r="N1012">
        <v>1</v>
      </c>
      <c r="O1012">
        <v>296349.8</v>
      </c>
    </row>
    <row r="1013" spans="1:15" x14ac:dyDescent="0.3">
      <c r="A1013">
        <v>84</v>
      </c>
      <c r="B1013" s="1" t="s">
        <v>18</v>
      </c>
      <c r="C1013">
        <v>296349.8</v>
      </c>
      <c r="D1013" s="1" t="s">
        <v>2031</v>
      </c>
      <c r="E1013">
        <v>296349.8</v>
      </c>
      <c r="F1013">
        <v>0</v>
      </c>
      <c r="G1013" s="1" t="s">
        <v>2032</v>
      </c>
      <c r="H1013">
        <v>0</v>
      </c>
      <c r="I1013">
        <v>296349.8</v>
      </c>
      <c r="J1013">
        <v>1</v>
      </c>
      <c r="K1013">
        <v>0</v>
      </c>
      <c r="L1013">
        <v>12</v>
      </c>
      <c r="M1013">
        <v>0</v>
      </c>
      <c r="N1013">
        <v>1</v>
      </c>
      <c r="O1013">
        <v>296349.8</v>
      </c>
    </row>
    <row r="1014" spans="1:15" x14ac:dyDescent="0.3">
      <c r="A1014">
        <v>84</v>
      </c>
      <c r="B1014" s="1" t="s">
        <v>15</v>
      </c>
      <c r="C1014">
        <v>152331.26</v>
      </c>
      <c r="D1014" s="1" t="s">
        <v>2033</v>
      </c>
      <c r="E1014">
        <v>152331.26</v>
      </c>
      <c r="F1014">
        <v>0</v>
      </c>
      <c r="G1014" s="1" t="s">
        <v>2034</v>
      </c>
      <c r="H1014">
        <v>0</v>
      </c>
      <c r="I1014">
        <v>0</v>
      </c>
      <c r="J1014">
        <v>1</v>
      </c>
      <c r="K1014">
        <v>0</v>
      </c>
      <c r="L1014">
        <v>12</v>
      </c>
      <c r="M1014">
        <v>0</v>
      </c>
      <c r="N1014">
        <v>1</v>
      </c>
      <c r="O1014">
        <v>152331.26</v>
      </c>
    </row>
    <row r="1015" spans="1:15" x14ac:dyDescent="0.3">
      <c r="A1015">
        <v>84</v>
      </c>
      <c r="B1015" s="1" t="s">
        <v>18</v>
      </c>
      <c r="C1015">
        <v>152331.26</v>
      </c>
      <c r="D1015" s="1" t="s">
        <v>2035</v>
      </c>
      <c r="E1015">
        <v>152331.26</v>
      </c>
      <c r="F1015">
        <v>0</v>
      </c>
      <c r="G1015" s="1" t="s">
        <v>2036</v>
      </c>
      <c r="H1015">
        <v>676868.23</v>
      </c>
      <c r="I1015">
        <v>829199.49</v>
      </c>
      <c r="J1015">
        <v>1</v>
      </c>
      <c r="K1015">
        <v>0</v>
      </c>
      <c r="L1015">
        <v>12</v>
      </c>
      <c r="M1015">
        <v>0</v>
      </c>
      <c r="N1015">
        <v>1</v>
      </c>
      <c r="O1015">
        <v>152331.26</v>
      </c>
    </row>
    <row r="1016" spans="1:15" x14ac:dyDescent="0.3">
      <c r="A1016">
        <v>84</v>
      </c>
      <c r="B1016" s="1" t="s">
        <v>15</v>
      </c>
      <c r="C1016">
        <v>10000000</v>
      </c>
      <c r="D1016" s="1" t="s">
        <v>2037</v>
      </c>
      <c r="E1016">
        <v>14800000</v>
      </c>
      <c r="F1016">
        <v>4830219.1500000004</v>
      </c>
      <c r="G1016" s="1" t="s">
        <v>2038</v>
      </c>
      <c r="H1016">
        <v>0</v>
      </c>
      <c r="I1016">
        <v>0</v>
      </c>
      <c r="J1016">
        <v>1</v>
      </c>
      <c r="K1016">
        <v>0</v>
      </c>
      <c r="L1016">
        <v>12</v>
      </c>
      <c r="M1016">
        <v>1</v>
      </c>
      <c r="N1016">
        <v>0</v>
      </c>
      <c r="O1016">
        <v>9969780.8499999996</v>
      </c>
    </row>
    <row r="1017" spans="1:15" x14ac:dyDescent="0.3">
      <c r="A1017">
        <v>84</v>
      </c>
      <c r="B1017" s="1" t="s">
        <v>18</v>
      </c>
      <c r="C1017">
        <v>10000000</v>
      </c>
      <c r="D1017" s="1" t="s">
        <v>2039</v>
      </c>
      <c r="E1017">
        <v>10000000</v>
      </c>
      <c r="F1017">
        <v>0</v>
      </c>
      <c r="G1017" s="1" t="s">
        <v>2040</v>
      </c>
      <c r="H1017">
        <v>0</v>
      </c>
      <c r="I1017">
        <v>10000000</v>
      </c>
      <c r="J1017">
        <v>1</v>
      </c>
      <c r="K1017">
        <v>0</v>
      </c>
      <c r="L1017">
        <v>12</v>
      </c>
      <c r="M1017">
        <v>1</v>
      </c>
      <c r="N1017">
        <v>1</v>
      </c>
      <c r="O1017">
        <v>10000000</v>
      </c>
    </row>
    <row r="1018" spans="1:15" x14ac:dyDescent="0.3">
      <c r="A1018">
        <v>84</v>
      </c>
      <c r="B1018" s="1" t="s">
        <v>15</v>
      </c>
      <c r="C1018">
        <v>4830219.1500000004</v>
      </c>
      <c r="D1018" s="1" t="s">
        <v>2041</v>
      </c>
      <c r="E1018">
        <v>4830219.1500000004</v>
      </c>
      <c r="F1018">
        <v>0</v>
      </c>
      <c r="G1018" s="1" t="s">
        <v>2042</v>
      </c>
      <c r="H1018">
        <v>0</v>
      </c>
      <c r="I1018">
        <v>0</v>
      </c>
      <c r="J1018">
        <v>1</v>
      </c>
      <c r="K1018">
        <v>0</v>
      </c>
      <c r="L1018">
        <v>12</v>
      </c>
      <c r="M1018">
        <v>0</v>
      </c>
      <c r="N1018">
        <v>1</v>
      </c>
      <c r="O1018">
        <v>4830219.1500000004</v>
      </c>
    </row>
    <row r="1019" spans="1:15" x14ac:dyDescent="0.3">
      <c r="A1019">
        <v>84</v>
      </c>
      <c r="B1019" s="1" t="s">
        <v>18</v>
      </c>
      <c r="C1019">
        <v>4830219.1500000004</v>
      </c>
      <c r="D1019" s="1" t="s">
        <v>2043</v>
      </c>
      <c r="E1019">
        <v>4830219.1500000004</v>
      </c>
      <c r="F1019">
        <v>0</v>
      </c>
      <c r="G1019" s="1" t="s">
        <v>2044</v>
      </c>
      <c r="H1019">
        <v>0</v>
      </c>
      <c r="I1019">
        <v>4830219.1500000004</v>
      </c>
      <c r="J1019">
        <v>1</v>
      </c>
      <c r="K1019">
        <v>0</v>
      </c>
      <c r="L1019">
        <v>12</v>
      </c>
      <c r="M1019">
        <v>0</v>
      </c>
      <c r="N1019">
        <v>1</v>
      </c>
      <c r="O1019">
        <v>4830219.1500000004</v>
      </c>
    </row>
    <row r="1020" spans="1:15" x14ac:dyDescent="0.3">
      <c r="A1020">
        <v>84</v>
      </c>
      <c r="B1020" s="1" t="s">
        <v>15</v>
      </c>
      <c r="C1020">
        <v>351912.04</v>
      </c>
      <c r="D1020" s="1" t="s">
        <v>2045</v>
      </c>
      <c r="E1020">
        <v>351912.04</v>
      </c>
      <c r="F1020">
        <v>0</v>
      </c>
      <c r="G1020" s="1" t="s">
        <v>2046</v>
      </c>
      <c r="H1020">
        <v>0</v>
      </c>
      <c r="I1020">
        <v>0</v>
      </c>
      <c r="J1020">
        <v>1</v>
      </c>
      <c r="K1020">
        <v>0</v>
      </c>
      <c r="L1020">
        <v>12</v>
      </c>
      <c r="M1020">
        <v>0</v>
      </c>
      <c r="N1020">
        <v>1</v>
      </c>
      <c r="O1020">
        <v>351912.04</v>
      </c>
    </row>
    <row r="1021" spans="1:15" x14ac:dyDescent="0.3">
      <c r="A1021">
        <v>84</v>
      </c>
      <c r="B1021" s="1" t="s">
        <v>18</v>
      </c>
      <c r="C1021">
        <v>351912.04</v>
      </c>
      <c r="D1021" s="1" t="s">
        <v>2047</v>
      </c>
      <c r="E1021">
        <v>351912.04</v>
      </c>
      <c r="F1021">
        <v>0</v>
      </c>
      <c r="G1021" s="1" t="s">
        <v>2048</v>
      </c>
      <c r="H1021">
        <v>196753.09</v>
      </c>
      <c r="I1021">
        <v>548665.13</v>
      </c>
      <c r="J1021">
        <v>1</v>
      </c>
      <c r="K1021">
        <v>0</v>
      </c>
      <c r="L1021">
        <v>12</v>
      </c>
      <c r="M1021">
        <v>0</v>
      </c>
      <c r="N1021">
        <v>1</v>
      </c>
      <c r="O1021">
        <v>351912.04</v>
      </c>
    </row>
    <row r="1022" spans="1:15" x14ac:dyDescent="0.3">
      <c r="A1022">
        <v>85</v>
      </c>
      <c r="B1022" s="1" t="s">
        <v>15</v>
      </c>
      <c r="C1022">
        <v>64344.59</v>
      </c>
      <c r="D1022" s="1" t="s">
        <v>2049</v>
      </c>
      <c r="E1022">
        <v>64344.59</v>
      </c>
      <c r="F1022">
        <v>0</v>
      </c>
      <c r="G1022" s="1" t="s">
        <v>2050</v>
      </c>
      <c r="H1022">
        <v>0</v>
      </c>
      <c r="I1022">
        <v>0</v>
      </c>
      <c r="J1022">
        <v>1</v>
      </c>
      <c r="K1022">
        <v>0</v>
      </c>
      <c r="L1022">
        <v>13</v>
      </c>
      <c r="M1022">
        <v>0</v>
      </c>
      <c r="N1022">
        <v>1</v>
      </c>
      <c r="O1022">
        <v>64344.59</v>
      </c>
    </row>
    <row r="1023" spans="1:15" x14ac:dyDescent="0.3">
      <c r="A1023">
        <v>85</v>
      </c>
      <c r="B1023" s="1" t="s">
        <v>18</v>
      </c>
      <c r="C1023">
        <v>64344.59</v>
      </c>
      <c r="D1023" s="1" t="s">
        <v>2051</v>
      </c>
      <c r="E1023">
        <v>64344.59</v>
      </c>
      <c r="F1023">
        <v>0</v>
      </c>
      <c r="G1023" s="1" t="s">
        <v>2052</v>
      </c>
      <c r="H1023">
        <v>0</v>
      </c>
      <c r="I1023">
        <v>64344.59</v>
      </c>
      <c r="J1023">
        <v>1</v>
      </c>
      <c r="K1023">
        <v>0</v>
      </c>
      <c r="L1023">
        <v>13</v>
      </c>
      <c r="M1023">
        <v>0</v>
      </c>
      <c r="N1023">
        <v>1</v>
      </c>
      <c r="O1023">
        <v>64344.59</v>
      </c>
    </row>
    <row r="1024" spans="1:15" x14ac:dyDescent="0.3">
      <c r="A1024">
        <v>85</v>
      </c>
      <c r="B1024" s="1" t="s">
        <v>15</v>
      </c>
      <c r="C1024">
        <v>4094.07</v>
      </c>
      <c r="D1024" s="1" t="s">
        <v>2053</v>
      </c>
      <c r="E1024">
        <v>4094.07</v>
      </c>
      <c r="F1024">
        <v>0</v>
      </c>
      <c r="G1024" s="1" t="s">
        <v>2054</v>
      </c>
      <c r="H1024">
        <v>0</v>
      </c>
      <c r="I1024">
        <v>0</v>
      </c>
      <c r="J1024">
        <v>1</v>
      </c>
      <c r="K1024">
        <v>0</v>
      </c>
      <c r="L1024">
        <v>13</v>
      </c>
      <c r="M1024">
        <v>0</v>
      </c>
      <c r="N1024">
        <v>1</v>
      </c>
      <c r="O1024">
        <v>4094.07</v>
      </c>
    </row>
    <row r="1025" spans="1:15" x14ac:dyDescent="0.3">
      <c r="A1025">
        <v>85</v>
      </c>
      <c r="B1025" s="1" t="s">
        <v>18</v>
      </c>
      <c r="C1025">
        <v>4094.07</v>
      </c>
      <c r="D1025" s="1" t="s">
        <v>2055</v>
      </c>
      <c r="E1025">
        <v>4094.07</v>
      </c>
      <c r="F1025">
        <v>0</v>
      </c>
      <c r="G1025" s="1" t="s">
        <v>2056</v>
      </c>
      <c r="H1025">
        <v>296534.2</v>
      </c>
      <c r="I1025">
        <v>300628.27</v>
      </c>
      <c r="J1025">
        <v>1</v>
      </c>
      <c r="K1025">
        <v>0</v>
      </c>
      <c r="L1025">
        <v>13</v>
      </c>
      <c r="M1025">
        <v>0</v>
      </c>
      <c r="N1025">
        <v>1</v>
      </c>
      <c r="O1025">
        <v>4094.07</v>
      </c>
    </row>
    <row r="1026" spans="1:15" x14ac:dyDescent="0.3">
      <c r="A1026">
        <v>85</v>
      </c>
      <c r="B1026" s="1" t="s">
        <v>15</v>
      </c>
      <c r="C1026">
        <v>167679.26999999999</v>
      </c>
      <c r="D1026" s="1" t="s">
        <v>2057</v>
      </c>
      <c r="E1026">
        <v>167679.26999999999</v>
      </c>
      <c r="F1026">
        <v>0</v>
      </c>
      <c r="G1026" s="1" t="s">
        <v>2058</v>
      </c>
      <c r="H1026">
        <v>0</v>
      </c>
      <c r="I1026">
        <v>0</v>
      </c>
      <c r="J1026">
        <v>1</v>
      </c>
      <c r="K1026">
        <v>0</v>
      </c>
      <c r="L1026">
        <v>13</v>
      </c>
      <c r="M1026">
        <v>0</v>
      </c>
      <c r="N1026">
        <v>1</v>
      </c>
      <c r="O1026">
        <v>167679.26999999999</v>
      </c>
    </row>
    <row r="1027" spans="1:15" x14ac:dyDescent="0.3">
      <c r="A1027">
        <v>85</v>
      </c>
      <c r="B1027" s="1" t="s">
        <v>18</v>
      </c>
      <c r="C1027">
        <v>167679.26999999999</v>
      </c>
      <c r="D1027" s="1" t="s">
        <v>2059</v>
      </c>
      <c r="E1027">
        <v>167679.26999999999</v>
      </c>
      <c r="F1027">
        <v>0</v>
      </c>
      <c r="G1027" s="1" t="s">
        <v>2060</v>
      </c>
      <c r="H1027">
        <v>165580.60999999999</v>
      </c>
      <c r="I1027">
        <v>333259.88</v>
      </c>
      <c r="J1027">
        <v>1</v>
      </c>
      <c r="K1027">
        <v>0</v>
      </c>
      <c r="L1027">
        <v>13</v>
      </c>
      <c r="M1027">
        <v>0</v>
      </c>
      <c r="N1027">
        <v>1</v>
      </c>
      <c r="O1027">
        <v>167679.26999999999</v>
      </c>
    </row>
    <row r="1028" spans="1:15" x14ac:dyDescent="0.3">
      <c r="A1028">
        <v>85</v>
      </c>
      <c r="B1028" s="1" t="s">
        <v>15</v>
      </c>
      <c r="C1028">
        <v>678058.75</v>
      </c>
      <c r="D1028" s="1" t="s">
        <v>2061</v>
      </c>
      <c r="E1028">
        <v>678058.75</v>
      </c>
      <c r="F1028">
        <v>0</v>
      </c>
      <c r="G1028" s="1" t="s">
        <v>2062</v>
      </c>
      <c r="H1028">
        <v>0</v>
      </c>
      <c r="I1028">
        <v>0</v>
      </c>
      <c r="J1028">
        <v>1</v>
      </c>
      <c r="K1028">
        <v>0</v>
      </c>
      <c r="L1028">
        <v>13</v>
      </c>
      <c r="M1028">
        <v>0</v>
      </c>
      <c r="N1028">
        <v>1</v>
      </c>
      <c r="O1028">
        <v>678058.75</v>
      </c>
    </row>
    <row r="1029" spans="1:15" x14ac:dyDescent="0.3">
      <c r="A1029">
        <v>85</v>
      </c>
      <c r="B1029" s="1" t="s">
        <v>18</v>
      </c>
      <c r="C1029">
        <v>678058.75</v>
      </c>
      <c r="D1029" s="1" t="s">
        <v>2063</v>
      </c>
      <c r="E1029">
        <v>678058.75</v>
      </c>
      <c r="F1029">
        <v>0</v>
      </c>
      <c r="G1029" s="1" t="s">
        <v>2064</v>
      </c>
      <c r="H1029">
        <v>7175958.3600000003</v>
      </c>
      <c r="I1029">
        <v>7854017.1100000003</v>
      </c>
      <c r="J1029">
        <v>1</v>
      </c>
      <c r="K1029">
        <v>0</v>
      </c>
      <c r="L1029">
        <v>13</v>
      </c>
      <c r="M1029">
        <v>0</v>
      </c>
      <c r="N1029">
        <v>1</v>
      </c>
      <c r="O1029">
        <v>678058.75</v>
      </c>
    </row>
    <row r="1030" spans="1:15" x14ac:dyDescent="0.3">
      <c r="A1030">
        <v>85</v>
      </c>
      <c r="B1030" s="1" t="s">
        <v>15</v>
      </c>
      <c r="C1030">
        <v>1529614.71</v>
      </c>
      <c r="D1030" s="1" t="s">
        <v>2065</v>
      </c>
      <c r="E1030">
        <v>1529614.71</v>
      </c>
      <c r="F1030">
        <v>0</v>
      </c>
      <c r="G1030" s="1" t="s">
        <v>2066</v>
      </c>
      <c r="H1030">
        <v>0</v>
      </c>
      <c r="I1030">
        <v>0</v>
      </c>
      <c r="J1030">
        <v>1</v>
      </c>
      <c r="K1030">
        <v>0</v>
      </c>
      <c r="L1030">
        <v>13</v>
      </c>
      <c r="M1030">
        <v>0</v>
      </c>
      <c r="N1030">
        <v>1</v>
      </c>
      <c r="O1030">
        <v>1529614.71</v>
      </c>
    </row>
    <row r="1031" spans="1:15" x14ac:dyDescent="0.3">
      <c r="A1031">
        <v>85</v>
      </c>
      <c r="B1031" s="1" t="s">
        <v>18</v>
      </c>
      <c r="C1031">
        <v>1529614.71</v>
      </c>
      <c r="D1031" s="1" t="s">
        <v>2067</v>
      </c>
      <c r="E1031">
        <v>1529614.71</v>
      </c>
      <c r="F1031">
        <v>0</v>
      </c>
      <c r="G1031" s="1" t="s">
        <v>2068</v>
      </c>
      <c r="H1031">
        <v>0</v>
      </c>
      <c r="I1031">
        <v>1529614.71</v>
      </c>
      <c r="J1031">
        <v>1</v>
      </c>
      <c r="K1031">
        <v>0</v>
      </c>
      <c r="L1031">
        <v>13</v>
      </c>
      <c r="M1031">
        <v>0</v>
      </c>
      <c r="N1031">
        <v>1</v>
      </c>
      <c r="O1031">
        <v>1529614.71</v>
      </c>
    </row>
    <row r="1032" spans="1:15" x14ac:dyDescent="0.3">
      <c r="A1032">
        <v>85</v>
      </c>
      <c r="B1032" s="1" t="s">
        <v>15</v>
      </c>
      <c r="C1032">
        <v>1440705.58</v>
      </c>
      <c r="D1032" s="1" t="s">
        <v>2069</v>
      </c>
      <c r="E1032">
        <v>1440705.58</v>
      </c>
      <c r="F1032">
        <v>0</v>
      </c>
      <c r="G1032" s="1" t="s">
        <v>2070</v>
      </c>
      <c r="H1032">
        <v>0</v>
      </c>
      <c r="I1032">
        <v>0</v>
      </c>
      <c r="J1032">
        <v>1</v>
      </c>
      <c r="K1032">
        <v>0</v>
      </c>
      <c r="L1032">
        <v>13</v>
      </c>
      <c r="M1032">
        <v>0</v>
      </c>
      <c r="N1032">
        <v>1</v>
      </c>
      <c r="O1032">
        <v>1440705.58</v>
      </c>
    </row>
    <row r="1033" spans="1:15" x14ac:dyDescent="0.3">
      <c r="A1033">
        <v>85</v>
      </c>
      <c r="B1033" s="1" t="s">
        <v>18</v>
      </c>
      <c r="C1033">
        <v>1440705.58</v>
      </c>
      <c r="D1033" s="1" t="s">
        <v>2071</v>
      </c>
      <c r="E1033">
        <v>1440705.58</v>
      </c>
      <c r="F1033">
        <v>0</v>
      </c>
      <c r="G1033" s="1" t="s">
        <v>2072</v>
      </c>
      <c r="H1033">
        <v>0</v>
      </c>
      <c r="I1033">
        <v>1440705.58</v>
      </c>
      <c r="J1033">
        <v>1</v>
      </c>
      <c r="K1033">
        <v>0</v>
      </c>
      <c r="L1033">
        <v>13</v>
      </c>
      <c r="M1033">
        <v>0</v>
      </c>
      <c r="N1033">
        <v>1</v>
      </c>
      <c r="O1033">
        <v>1440705.58</v>
      </c>
    </row>
    <row r="1034" spans="1:15" x14ac:dyDescent="0.3">
      <c r="A1034">
        <v>85</v>
      </c>
      <c r="B1034" s="1" t="s">
        <v>15</v>
      </c>
      <c r="C1034">
        <v>8924971.5899999999</v>
      </c>
      <c r="D1034" s="1" t="s">
        <v>2073</v>
      </c>
      <c r="E1034">
        <v>8924971.5899999999</v>
      </c>
      <c r="F1034">
        <v>0</v>
      </c>
      <c r="G1034" s="1" t="s">
        <v>2074</v>
      </c>
      <c r="H1034">
        <v>0</v>
      </c>
      <c r="I1034">
        <v>0</v>
      </c>
      <c r="J1034">
        <v>1</v>
      </c>
      <c r="K1034">
        <v>0</v>
      </c>
      <c r="L1034">
        <v>13</v>
      </c>
      <c r="M1034">
        <v>0</v>
      </c>
      <c r="N1034">
        <v>1</v>
      </c>
      <c r="O1034">
        <v>8924971.5899999999</v>
      </c>
    </row>
    <row r="1035" spans="1:15" x14ac:dyDescent="0.3">
      <c r="A1035">
        <v>85</v>
      </c>
      <c r="B1035" s="1" t="s">
        <v>18</v>
      </c>
      <c r="C1035">
        <v>8924971.5899999999</v>
      </c>
      <c r="D1035" s="1" t="s">
        <v>2075</v>
      </c>
      <c r="E1035">
        <v>8924971.5899999999</v>
      </c>
      <c r="F1035">
        <v>0</v>
      </c>
      <c r="G1035" s="1" t="s">
        <v>2076</v>
      </c>
      <c r="H1035">
        <v>59990.3</v>
      </c>
      <c r="I1035">
        <v>8984961.8900000006</v>
      </c>
      <c r="J1035">
        <v>1</v>
      </c>
      <c r="K1035">
        <v>0</v>
      </c>
      <c r="L1035">
        <v>13</v>
      </c>
      <c r="M1035">
        <v>0</v>
      </c>
      <c r="N1035">
        <v>1</v>
      </c>
      <c r="O1035">
        <v>8924971.5899999999</v>
      </c>
    </row>
    <row r="1036" spans="1:15" x14ac:dyDescent="0.3">
      <c r="A1036">
        <v>86</v>
      </c>
      <c r="B1036" s="1" t="s">
        <v>15</v>
      </c>
      <c r="C1036">
        <v>305817.12</v>
      </c>
      <c r="D1036" s="1" t="s">
        <v>2077</v>
      </c>
      <c r="E1036">
        <v>305817.12</v>
      </c>
      <c r="F1036">
        <v>0</v>
      </c>
      <c r="G1036" s="1" t="s">
        <v>2078</v>
      </c>
      <c r="H1036">
        <v>0</v>
      </c>
      <c r="I1036">
        <v>0</v>
      </c>
      <c r="J1036">
        <v>1</v>
      </c>
      <c r="K1036">
        <v>0</v>
      </c>
      <c r="L1036">
        <v>14</v>
      </c>
      <c r="M1036">
        <v>0</v>
      </c>
      <c r="N1036">
        <v>1</v>
      </c>
      <c r="O1036">
        <v>305817.12</v>
      </c>
    </row>
    <row r="1037" spans="1:15" x14ac:dyDescent="0.3">
      <c r="A1037">
        <v>86</v>
      </c>
      <c r="B1037" s="1" t="s">
        <v>18</v>
      </c>
      <c r="C1037">
        <v>305817.12</v>
      </c>
      <c r="D1037" s="1" t="s">
        <v>2079</v>
      </c>
      <c r="E1037">
        <v>305817.12</v>
      </c>
      <c r="F1037">
        <v>0</v>
      </c>
      <c r="G1037" s="1" t="s">
        <v>2080</v>
      </c>
      <c r="H1037">
        <v>0</v>
      </c>
      <c r="I1037">
        <v>305817.12</v>
      </c>
      <c r="J1037">
        <v>1</v>
      </c>
      <c r="K1037">
        <v>0</v>
      </c>
      <c r="L1037">
        <v>14</v>
      </c>
      <c r="M1037">
        <v>0</v>
      </c>
      <c r="N1037">
        <v>1</v>
      </c>
      <c r="O1037">
        <v>305817.12</v>
      </c>
    </row>
    <row r="1038" spans="1:15" x14ac:dyDescent="0.3">
      <c r="A1038">
        <v>86</v>
      </c>
      <c r="B1038" s="1" t="s">
        <v>15</v>
      </c>
      <c r="C1038">
        <v>10000000</v>
      </c>
      <c r="D1038" s="1" t="s">
        <v>2081</v>
      </c>
      <c r="E1038">
        <v>18900000</v>
      </c>
      <c r="F1038">
        <v>8931607.8900000006</v>
      </c>
      <c r="G1038" s="1" t="s">
        <v>2082</v>
      </c>
      <c r="H1038">
        <v>0</v>
      </c>
      <c r="I1038">
        <v>0</v>
      </c>
      <c r="J1038">
        <v>1</v>
      </c>
      <c r="K1038">
        <v>0</v>
      </c>
      <c r="L1038">
        <v>14</v>
      </c>
      <c r="M1038">
        <v>1</v>
      </c>
      <c r="N1038">
        <v>0</v>
      </c>
      <c r="O1038">
        <v>9968392.1099999994</v>
      </c>
    </row>
    <row r="1039" spans="1:15" x14ac:dyDescent="0.3">
      <c r="A1039">
        <v>86</v>
      </c>
      <c r="B1039" s="1" t="s">
        <v>18</v>
      </c>
      <c r="C1039">
        <v>10000000</v>
      </c>
      <c r="D1039" s="1" t="s">
        <v>2083</v>
      </c>
      <c r="E1039">
        <v>10000000</v>
      </c>
      <c r="F1039">
        <v>0</v>
      </c>
      <c r="G1039" s="1" t="s">
        <v>2084</v>
      </c>
      <c r="H1039">
        <v>0</v>
      </c>
      <c r="I1039">
        <v>10000000</v>
      </c>
      <c r="J1039">
        <v>1</v>
      </c>
      <c r="K1039">
        <v>0</v>
      </c>
      <c r="L1039">
        <v>14</v>
      </c>
      <c r="M1039">
        <v>1</v>
      </c>
      <c r="N1039">
        <v>1</v>
      </c>
      <c r="O1039">
        <v>10000000</v>
      </c>
    </row>
    <row r="1040" spans="1:15" x14ac:dyDescent="0.3">
      <c r="A1040">
        <v>86</v>
      </c>
      <c r="B1040" s="1" t="s">
        <v>15</v>
      </c>
      <c r="C1040">
        <v>8931607.8900000006</v>
      </c>
      <c r="D1040" s="1" t="s">
        <v>2085</v>
      </c>
      <c r="E1040">
        <v>8931607.8900000006</v>
      </c>
      <c r="F1040">
        <v>0</v>
      </c>
      <c r="G1040" s="1" t="s">
        <v>2086</v>
      </c>
      <c r="H1040">
        <v>0</v>
      </c>
      <c r="I1040">
        <v>0</v>
      </c>
      <c r="J1040">
        <v>1</v>
      </c>
      <c r="K1040">
        <v>0</v>
      </c>
      <c r="L1040">
        <v>14</v>
      </c>
      <c r="M1040">
        <v>0</v>
      </c>
      <c r="N1040">
        <v>1</v>
      </c>
      <c r="O1040">
        <v>8931607.8900000006</v>
      </c>
    </row>
    <row r="1041" spans="1:15" x14ac:dyDescent="0.3">
      <c r="A1041">
        <v>86</v>
      </c>
      <c r="B1041" s="1" t="s">
        <v>18</v>
      </c>
      <c r="C1041">
        <v>8931607.8900000006</v>
      </c>
      <c r="D1041" s="1" t="s">
        <v>2087</v>
      </c>
      <c r="E1041">
        <v>8931607.8900000006</v>
      </c>
      <c r="F1041">
        <v>0</v>
      </c>
      <c r="G1041" s="1" t="s">
        <v>2088</v>
      </c>
      <c r="H1041">
        <v>141515.57</v>
      </c>
      <c r="I1041">
        <v>9073123.4600000009</v>
      </c>
      <c r="J1041">
        <v>1</v>
      </c>
      <c r="K1041">
        <v>0</v>
      </c>
      <c r="L1041">
        <v>14</v>
      </c>
      <c r="M1041">
        <v>0</v>
      </c>
      <c r="N1041">
        <v>1</v>
      </c>
      <c r="O1041">
        <v>8931607.8900000006</v>
      </c>
    </row>
    <row r="1042" spans="1:15" x14ac:dyDescent="0.3">
      <c r="A1042">
        <v>86</v>
      </c>
      <c r="B1042" s="1" t="s">
        <v>15</v>
      </c>
      <c r="C1042">
        <v>21829.31</v>
      </c>
      <c r="D1042" s="1" t="s">
        <v>2089</v>
      </c>
      <c r="E1042">
        <v>21829.31</v>
      </c>
      <c r="F1042">
        <v>0</v>
      </c>
      <c r="G1042" s="1" t="s">
        <v>2090</v>
      </c>
      <c r="H1042">
        <v>0</v>
      </c>
      <c r="I1042">
        <v>0</v>
      </c>
      <c r="J1042">
        <v>1</v>
      </c>
      <c r="K1042">
        <v>0</v>
      </c>
      <c r="L1042">
        <v>14</v>
      </c>
      <c r="M1042">
        <v>0</v>
      </c>
      <c r="N1042">
        <v>1</v>
      </c>
      <c r="O1042">
        <v>21829.31</v>
      </c>
    </row>
    <row r="1043" spans="1:15" x14ac:dyDescent="0.3">
      <c r="A1043">
        <v>86</v>
      </c>
      <c r="B1043" s="1" t="s">
        <v>18</v>
      </c>
      <c r="C1043">
        <v>21829.31</v>
      </c>
      <c r="D1043" s="1" t="s">
        <v>2091</v>
      </c>
      <c r="E1043">
        <v>21829.31</v>
      </c>
      <c r="F1043">
        <v>0</v>
      </c>
      <c r="G1043" s="1" t="s">
        <v>2092</v>
      </c>
      <c r="H1043">
        <v>357009.54</v>
      </c>
      <c r="I1043">
        <v>378838.85</v>
      </c>
      <c r="J1043">
        <v>1</v>
      </c>
      <c r="K1043">
        <v>0</v>
      </c>
      <c r="L1043">
        <v>14</v>
      </c>
      <c r="M1043">
        <v>0</v>
      </c>
      <c r="N1043">
        <v>1</v>
      </c>
      <c r="O1043">
        <v>21829.31</v>
      </c>
    </row>
    <row r="1044" spans="1:15" x14ac:dyDescent="0.3">
      <c r="A1044">
        <v>86</v>
      </c>
      <c r="B1044" s="1" t="s">
        <v>15</v>
      </c>
      <c r="C1044">
        <v>6972164.9699999997</v>
      </c>
      <c r="D1044" s="1" t="s">
        <v>2093</v>
      </c>
      <c r="E1044">
        <v>6972164.9699999997</v>
      </c>
      <c r="F1044">
        <v>0</v>
      </c>
      <c r="G1044" s="1" t="s">
        <v>2094</v>
      </c>
      <c r="H1044">
        <v>0</v>
      </c>
      <c r="I1044">
        <v>0</v>
      </c>
      <c r="J1044">
        <v>1</v>
      </c>
      <c r="K1044">
        <v>0</v>
      </c>
      <c r="L1044">
        <v>14</v>
      </c>
      <c r="M1044">
        <v>0</v>
      </c>
      <c r="N1044">
        <v>1</v>
      </c>
      <c r="O1044">
        <v>6972164.9699999997</v>
      </c>
    </row>
    <row r="1045" spans="1:15" x14ac:dyDescent="0.3">
      <c r="A1045">
        <v>86</v>
      </c>
      <c r="B1045" s="1" t="s">
        <v>18</v>
      </c>
      <c r="C1045">
        <v>6972164.9699999997</v>
      </c>
      <c r="D1045" s="1" t="s">
        <v>2095</v>
      </c>
      <c r="E1045">
        <v>6972164.9699999997</v>
      </c>
      <c r="F1045">
        <v>0</v>
      </c>
      <c r="G1045" s="1" t="s">
        <v>2096</v>
      </c>
      <c r="H1045">
        <v>5680.28</v>
      </c>
      <c r="I1045">
        <v>6977845.25</v>
      </c>
      <c r="J1045">
        <v>1</v>
      </c>
      <c r="K1045">
        <v>0</v>
      </c>
      <c r="L1045">
        <v>14</v>
      </c>
      <c r="M1045">
        <v>0</v>
      </c>
      <c r="N1045">
        <v>1</v>
      </c>
      <c r="O1045">
        <v>6972164.9699999997</v>
      </c>
    </row>
    <row r="1046" spans="1:15" x14ac:dyDescent="0.3">
      <c r="A1046">
        <v>86</v>
      </c>
      <c r="B1046" s="1" t="s">
        <v>15</v>
      </c>
      <c r="C1046">
        <v>17822.02</v>
      </c>
      <c r="D1046" s="1" t="s">
        <v>2097</v>
      </c>
      <c r="E1046">
        <v>17822.02</v>
      </c>
      <c r="F1046">
        <v>0</v>
      </c>
      <c r="G1046" s="1" t="s">
        <v>2098</v>
      </c>
      <c r="H1046">
        <v>0</v>
      </c>
      <c r="I1046">
        <v>0</v>
      </c>
      <c r="J1046">
        <v>1</v>
      </c>
      <c r="K1046">
        <v>0</v>
      </c>
      <c r="L1046">
        <v>14</v>
      </c>
      <c r="M1046">
        <v>0</v>
      </c>
      <c r="N1046">
        <v>1</v>
      </c>
      <c r="O1046">
        <v>17822.02</v>
      </c>
    </row>
    <row r="1047" spans="1:15" x14ac:dyDescent="0.3">
      <c r="A1047">
        <v>86</v>
      </c>
      <c r="B1047" s="1" t="s">
        <v>18</v>
      </c>
      <c r="C1047">
        <v>17822.02</v>
      </c>
      <c r="D1047" s="1" t="s">
        <v>2099</v>
      </c>
      <c r="E1047">
        <v>17822.02</v>
      </c>
      <c r="F1047">
        <v>0</v>
      </c>
      <c r="G1047" s="1" t="s">
        <v>2100</v>
      </c>
      <c r="H1047">
        <v>2619609.5299999998</v>
      </c>
      <c r="I1047">
        <v>2637431.5499999998</v>
      </c>
      <c r="J1047">
        <v>1</v>
      </c>
      <c r="K1047">
        <v>0</v>
      </c>
      <c r="L1047">
        <v>14</v>
      </c>
      <c r="M1047">
        <v>0</v>
      </c>
      <c r="N1047">
        <v>1</v>
      </c>
      <c r="O1047">
        <v>17822.02</v>
      </c>
    </row>
    <row r="1048" spans="1:15" x14ac:dyDescent="0.3">
      <c r="A1048">
        <v>86</v>
      </c>
      <c r="B1048" s="1" t="s">
        <v>15</v>
      </c>
      <c r="C1048">
        <v>88649.1</v>
      </c>
      <c r="D1048" s="1" t="s">
        <v>2101</v>
      </c>
      <c r="E1048">
        <v>88649.1</v>
      </c>
      <c r="F1048">
        <v>0</v>
      </c>
      <c r="G1048" s="1" t="s">
        <v>2102</v>
      </c>
      <c r="H1048">
        <v>0</v>
      </c>
      <c r="I1048">
        <v>0</v>
      </c>
      <c r="J1048">
        <v>1</v>
      </c>
      <c r="K1048">
        <v>0</v>
      </c>
      <c r="L1048">
        <v>14</v>
      </c>
      <c r="M1048">
        <v>0</v>
      </c>
      <c r="N1048">
        <v>1</v>
      </c>
      <c r="O1048">
        <v>88649.1</v>
      </c>
    </row>
    <row r="1049" spans="1:15" x14ac:dyDescent="0.3">
      <c r="A1049">
        <v>86</v>
      </c>
      <c r="B1049" s="1" t="s">
        <v>18</v>
      </c>
      <c r="C1049">
        <v>88649.1</v>
      </c>
      <c r="D1049" s="1" t="s">
        <v>2103</v>
      </c>
      <c r="E1049">
        <v>88649.1</v>
      </c>
      <c r="F1049">
        <v>0</v>
      </c>
      <c r="G1049" s="1" t="s">
        <v>2104</v>
      </c>
      <c r="H1049">
        <v>2239755.86</v>
      </c>
      <c r="I1049">
        <v>2328404.96</v>
      </c>
      <c r="J1049">
        <v>1</v>
      </c>
      <c r="K1049">
        <v>0</v>
      </c>
      <c r="L1049">
        <v>14</v>
      </c>
      <c r="M1049">
        <v>0</v>
      </c>
      <c r="N1049">
        <v>1</v>
      </c>
      <c r="O1049">
        <v>88649.1</v>
      </c>
    </row>
    <row r="1050" spans="1:15" x14ac:dyDescent="0.3">
      <c r="A1050">
        <v>86</v>
      </c>
      <c r="B1050" s="1" t="s">
        <v>15</v>
      </c>
      <c r="C1050">
        <v>372344.58</v>
      </c>
      <c r="D1050" s="1" t="s">
        <v>2105</v>
      </c>
      <c r="E1050">
        <v>372344.58</v>
      </c>
      <c r="F1050">
        <v>0</v>
      </c>
      <c r="G1050" s="1" t="s">
        <v>2106</v>
      </c>
      <c r="H1050">
        <v>0</v>
      </c>
      <c r="I1050">
        <v>0</v>
      </c>
      <c r="J1050">
        <v>1</v>
      </c>
      <c r="K1050">
        <v>0</v>
      </c>
      <c r="L1050">
        <v>14</v>
      </c>
      <c r="M1050">
        <v>0</v>
      </c>
      <c r="N1050">
        <v>1</v>
      </c>
      <c r="O1050">
        <v>372344.58</v>
      </c>
    </row>
    <row r="1051" spans="1:15" x14ac:dyDescent="0.3">
      <c r="A1051">
        <v>86</v>
      </c>
      <c r="B1051" s="1" t="s">
        <v>18</v>
      </c>
      <c r="C1051">
        <v>372344.58</v>
      </c>
      <c r="D1051" s="1" t="s">
        <v>2107</v>
      </c>
      <c r="E1051">
        <v>372344.58</v>
      </c>
      <c r="F1051">
        <v>0</v>
      </c>
      <c r="G1051" s="1" t="s">
        <v>2108</v>
      </c>
      <c r="H1051">
        <v>0</v>
      </c>
      <c r="I1051">
        <v>372344.58</v>
      </c>
      <c r="J1051">
        <v>1</v>
      </c>
      <c r="K1051">
        <v>0</v>
      </c>
      <c r="L1051">
        <v>14</v>
      </c>
      <c r="M1051">
        <v>0</v>
      </c>
      <c r="N1051">
        <v>1</v>
      </c>
      <c r="O1051">
        <v>372344.58</v>
      </c>
    </row>
    <row r="1052" spans="1:15" x14ac:dyDescent="0.3">
      <c r="A1052">
        <v>86</v>
      </c>
      <c r="B1052" s="1" t="s">
        <v>15</v>
      </c>
      <c r="C1052">
        <v>72547.289999999994</v>
      </c>
      <c r="D1052" s="1" t="s">
        <v>2109</v>
      </c>
      <c r="E1052">
        <v>72547.289999999994</v>
      </c>
      <c r="F1052">
        <v>0</v>
      </c>
      <c r="G1052" s="1" t="s">
        <v>2110</v>
      </c>
      <c r="H1052">
        <v>0</v>
      </c>
      <c r="I1052">
        <v>0</v>
      </c>
      <c r="J1052">
        <v>1</v>
      </c>
      <c r="K1052">
        <v>0</v>
      </c>
      <c r="L1052">
        <v>14</v>
      </c>
      <c r="M1052">
        <v>0</v>
      </c>
      <c r="N1052">
        <v>1</v>
      </c>
      <c r="O1052">
        <v>72547.289999999994</v>
      </c>
    </row>
    <row r="1053" spans="1:15" x14ac:dyDescent="0.3">
      <c r="A1053">
        <v>86</v>
      </c>
      <c r="B1053" s="1" t="s">
        <v>18</v>
      </c>
      <c r="C1053">
        <v>72547.289999999994</v>
      </c>
      <c r="D1053" s="1" t="s">
        <v>2111</v>
      </c>
      <c r="E1053">
        <v>72547.289999999994</v>
      </c>
      <c r="F1053">
        <v>0</v>
      </c>
      <c r="G1053" s="1" t="s">
        <v>2112</v>
      </c>
      <c r="H1053">
        <v>79736.28</v>
      </c>
      <c r="I1053">
        <v>152283.57</v>
      </c>
      <c r="J1053">
        <v>1</v>
      </c>
      <c r="K1053">
        <v>0</v>
      </c>
      <c r="L1053">
        <v>14</v>
      </c>
      <c r="M1053">
        <v>0</v>
      </c>
      <c r="N1053">
        <v>1</v>
      </c>
      <c r="O1053">
        <v>72547.289999999994</v>
      </c>
    </row>
    <row r="1054" spans="1:15" x14ac:dyDescent="0.3">
      <c r="A1054">
        <v>87</v>
      </c>
      <c r="B1054" s="1" t="s">
        <v>15</v>
      </c>
      <c r="C1054">
        <v>114339.1</v>
      </c>
      <c r="D1054" s="1" t="s">
        <v>2113</v>
      </c>
      <c r="E1054">
        <v>114339.1</v>
      </c>
      <c r="F1054">
        <v>0</v>
      </c>
      <c r="G1054" s="1" t="s">
        <v>2114</v>
      </c>
      <c r="H1054">
        <v>0</v>
      </c>
      <c r="I1054">
        <v>0</v>
      </c>
      <c r="J1054">
        <v>1</v>
      </c>
      <c r="K1054">
        <v>0</v>
      </c>
      <c r="L1054">
        <v>15</v>
      </c>
      <c r="M1054">
        <v>0</v>
      </c>
      <c r="N1054">
        <v>1</v>
      </c>
      <c r="O1054">
        <v>114339.1</v>
      </c>
    </row>
    <row r="1055" spans="1:15" x14ac:dyDescent="0.3">
      <c r="A1055">
        <v>87</v>
      </c>
      <c r="B1055" s="1" t="s">
        <v>18</v>
      </c>
      <c r="C1055">
        <v>114339.1</v>
      </c>
      <c r="D1055" s="1" t="s">
        <v>2115</v>
      </c>
      <c r="E1055">
        <v>114339.1</v>
      </c>
      <c r="F1055">
        <v>0</v>
      </c>
      <c r="G1055" s="1" t="s">
        <v>2116</v>
      </c>
      <c r="H1055">
        <v>41413.230000000003</v>
      </c>
      <c r="I1055">
        <v>155752.32999999999</v>
      </c>
      <c r="J1055">
        <v>1</v>
      </c>
      <c r="K1055">
        <v>0</v>
      </c>
      <c r="L1055">
        <v>15</v>
      </c>
      <c r="M1055">
        <v>0</v>
      </c>
      <c r="N1055">
        <v>1</v>
      </c>
      <c r="O1055">
        <v>114339.1</v>
      </c>
    </row>
    <row r="1056" spans="1:15" x14ac:dyDescent="0.3">
      <c r="A1056">
        <v>87</v>
      </c>
      <c r="B1056" s="1" t="s">
        <v>15</v>
      </c>
      <c r="C1056">
        <v>1083860.21</v>
      </c>
      <c r="D1056" s="1" t="s">
        <v>2117</v>
      </c>
      <c r="E1056">
        <v>1083860.21</v>
      </c>
      <c r="F1056">
        <v>0</v>
      </c>
      <c r="G1056" s="1" t="s">
        <v>2118</v>
      </c>
      <c r="H1056">
        <v>0</v>
      </c>
      <c r="I1056">
        <v>0</v>
      </c>
      <c r="J1056">
        <v>1</v>
      </c>
      <c r="K1056">
        <v>0</v>
      </c>
      <c r="L1056">
        <v>15</v>
      </c>
      <c r="M1056">
        <v>0</v>
      </c>
      <c r="N1056">
        <v>1</v>
      </c>
      <c r="O1056">
        <v>1083860.21</v>
      </c>
    </row>
    <row r="1057" spans="1:15" x14ac:dyDescent="0.3">
      <c r="A1057">
        <v>87</v>
      </c>
      <c r="B1057" s="1" t="s">
        <v>18</v>
      </c>
      <c r="C1057">
        <v>1083860.21</v>
      </c>
      <c r="D1057" s="1" t="s">
        <v>2119</v>
      </c>
      <c r="E1057">
        <v>1083860.21</v>
      </c>
      <c r="F1057">
        <v>0</v>
      </c>
      <c r="G1057" s="1" t="s">
        <v>2120</v>
      </c>
      <c r="H1057">
        <v>0</v>
      </c>
      <c r="I1057">
        <v>1083860.21</v>
      </c>
      <c r="J1057">
        <v>1</v>
      </c>
      <c r="K1057">
        <v>0</v>
      </c>
      <c r="L1057">
        <v>15</v>
      </c>
      <c r="M1057">
        <v>0</v>
      </c>
      <c r="N1057">
        <v>1</v>
      </c>
      <c r="O1057">
        <v>1083860.21</v>
      </c>
    </row>
    <row r="1058" spans="1:15" x14ac:dyDescent="0.3">
      <c r="A1058">
        <v>87</v>
      </c>
      <c r="B1058" s="1" t="s">
        <v>15</v>
      </c>
      <c r="C1058">
        <v>115461.48</v>
      </c>
      <c r="D1058" s="1" t="s">
        <v>2121</v>
      </c>
      <c r="E1058">
        <v>115461.48</v>
      </c>
      <c r="F1058">
        <v>0</v>
      </c>
      <c r="G1058" s="1" t="s">
        <v>2122</v>
      </c>
      <c r="H1058">
        <v>0</v>
      </c>
      <c r="I1058">
        <v>0</v>
      </c>
      <c r="J1058">
        <v>1</v>
      </c>
      <c r="K1058">
        <v>0</v>
      </c>
      <c r="L1058">
        <v>15</v>
      </c>
      <c r="M1058">
        <v>0</v>
      </c>
      <c r="N1058">
        <v>1</v>
      </c>
      <c r="O1058">
        <v>115461.48</v>
      </c>
    </row>
    <row r="1059" spans="1:15" x14ac:dyDescent="0.3">
      <c r="A1059">
        <v>87</v>
      </c>
      <c r="B1059" s="1" t="s">
        <v>18</v>
      </c>
      <c r="C1059">
        <v>115461.48</v>
      </c>
      <c r="D1059" s="1" t="s">
        <v>2123</v>
      </c>
      <c r="E1059">
        <v>115461.48</v>
      </c>
      <c r="F1059">
        <v>0</v>
      </c>
      <c r="G1059" s="1" t="s">
        <v>2124</v>
      </c>
      <c r="H1059">
        <v>21619.279999999999</v>
      </c>
      <c r="I1059">
        <v>137080.75</v>
      </c>
      <c r="J1059">
        <v>1</v>
      </c>
      <c r="K1059">
        <v>0</v>
      </c>
      <c r="L1059">
        <v>15</v>
      </c>
      <c r="M1059">
        <v>0</v>
      </c>
      <c r="N1059">
        <v>1</v>
      </c>
      <c r="O1059">
        <v>115461.48</v>
      </c>
    </row>
    <row r="1060" spans="1:15" x14ac:dyDescent="0.3">
      <c r="A1060">
        <v>88</v>
      </c>
      <c r="B1060" s="1" t="s">
        <v>15</v>
      </c>
      <c r="C1060">
        <v>9345700.0700000003</v>
      </c>
      <c r="D1060" s="1" t="s">
        <v>2125</v>
      </c>
      <c r="E1060">
        <v>9345700.0700000003</v>
      </c>
      <c r="F1060">
        <v>0</v>
      </c>
      <c r="G1060" s="1" t="s">
        <v>2126</v>
      </c>
      <c r="H1060">
        <v>0</v>
      </c>
      <c r="I1060">
        <v>0</v>
      </c>
      <c r="J1060">
        <v>1</v>
      </c>
      <c r="K1060">
        <v>0</v>
      </c>
      <c r="L1060">
        <v>16</v>
      </c>
      <c r="M1060">
        <v>0</v>
      </c>
      <c r="N1060">
        <v>1</v>
      </c>
      <c r="O1060">
        <v>9345700.0700000003</v>
      </c>
    </row>
    <row r="1061" spans="1:15" x14ac:dyDescent="0.3">
      <c r="A1061">
        <v>88</v>
      </c>
      <c r="B1061" s="1" t="s">
        <v>18</v>
      </c>
      <c r="C1061">
        <v>9345700.0700000003</v>
      </c>
      <c r="D1061" s="1" t="s">
        <v>2127</v>
      </c>
      <c r="E1061">
        <v>9345700.0700000003</v>
      </c>
      <c r="F1061">
        <v>0</v>
      </c>
      <c r="G1061" s="1" t="s">
        <v>2128</v>
      </c>
      <c r="H1061">
        <v>8922060.4299999997</v>
      </c>
      <c r="I1061">
        <v>18300000</v>
      </c>
      <c r="J1061">
        <v>1</v>
      </c>
      <c r="K1061">
        <v>0</v>
      </c>
      <c r="L1061">
        <v>16</v>
      </c>
      <c r="M1061">
        <v>0</v>
      </c>
      <c r="N1061">
        <v>1</v>
      </c>
      <c r="O1061">
        <v>9345700.0700000003</v>
      </c>
    </row>
    <row r="1062" spans="1:15" x14ac:dyDescent="0.3">
      <c r="A1062">
        <v>88</v>
      </c>
      <c r="B1062" s="1" t="s">
        <v>15</v>
      </c>
      <c r="C1062">
        <v>337994.64</v>
      </c>
      <c r="D1062" s="1" t="s">
        <v>2129</v>
      </c>
      <c r="E1062">
        <v>337994.64</v>
      </c>
      <c r="F1062">
        <v>0</v>
      </c>
      <c r="G1062" s="1" t="s">
        <v>2130</v>
      </c>
      <c r="H1062">
        <v>0</v>
      </c>
      <c r="I1062">
        <v>0</v>
      </c>
      <c r="J1062">
        <v>1</v>
      </c>
      <c r="K1062">
        <v>0</v>
      </c>
      <c r="L1062">
        <v>16</v>
      </c>
      <c r="M1062">
        <v>0</v>
      </c>
      <c r="N1062">
        <v>1</v>
      </c>
      <c r="O1062">
        <v>337994.64</v>
      </c>
    </row>
    <row r="1063" spans="1:15" x14ac:dyDescent="0.3">
      <c r="A1063">
        <v>88</v>
      </c>
      <c r="B1063" s="1" t="s">
        <v>18</v>
      </c>
      <c r="C1063">
        <v>337994.64</v>
      </c>
      <c r="D1063" s="1" t="s">
        <v>2131</v>
      </c>
      <c r="E1063">
        <v>337994.64</v>
      </c>
      <c r="F1063">
        <v>0</v>
      </c>
      <c r="G1063" s="1" t="s">
        <v>2132</v>
      </c>
      <c r="H1063">
        <v>0</v>
      </c>
      <c r="I1063">
        <v>337994.64</v>
      </c>
      <c r="J1063">
        <v>1</v>
      </c>
      <c r="K1063">
        <v>0</v>
      </c>
      <c r="L1063">
        <v>16</v>
      </c>
      <c r="M1063">
        <v>0</v>
      </c>
      <c r="N1063">
        <v>1</v>
      </c>
      <c r="O1063">
        <v>337994.64</v>
      </c>
    </row>
    <row r="1064" spans="1:15" x14ac:dyDescent="0.3">
      <c r="A1064">
        <v>88</v>
      </c>
      <c r="B1064" s="1" t="s">
        <v>15</v>
      </c>
      <c r="C1064">
        <v>4022408.76</v>
      </c>
      <c r="D1064" s="1" t="s">
        <v>2133</v>
      </c>
      <c r="E1064">
        <v>4022408.76</v>
      </c>
      <c r="F1064">
        <v>0</v>
      </c>
      <c r="G1064" s="1" t="s">
        <v>2134</v>
      </c>
      <c r="H1064">
        <v>0</v>
      </c>
      <c r="I1064">
        <v>0</v>
      </c>
      <c r="J1064">
        <v>1</v>
      </c>
      <c r="K1064">
        <v>0</v>
      </c>
      <c r="L1064">
        <v>16</v>
      </c>
      <c r="M1064">
        <v>0</v>
      </c>
      <c r="N1064">
        <v>1</v>
      </c>
      <c r="O1064">
        <v>4022408.76</v>
      </c>
    </row>
    <row r="1065" spans="1:15" x14ac:dyDescent="0.3">
      <c r="A1065">
        <v>88</v>
      </c>
      <c r="B1065" s="1" t="s">
        <v>18</v>
      </c>
      <c r="C1065">
        <v>4022408.76</v>
      </c>
      <c r="D1065" s="1" t="s">
        <v>2135</v>
      </c>
      <c r="E1065">
        <v>4022408.76</v>
      </c>
      <c r="F1065">
        <v>0</v>
      </c>
      <c r="G1065" s="1" t="s">
        <v>1782</v>
      </c>
      <c r="H1065">
        <v>4542879.5</v>
      </c>
      <c r="I1065">
        <v>8565288.2599999998</v>
      </c>
      <c r="J1065">
        <v>1</v>
      </c>
      <c r="K1065">
        <v>0</v>
      </c>
      <c r="L1065">
        <v>16</v>
      </c>
      <c r="M1065">
        <v>0</v>
      </c>
      <c r="N1065">
        <v>1</v>
      </c>
      <c r="O1065">
        <v>4022408.76</v>
      </c>
    </row>
    <row r="1066" spans="1:15" x14ac:dyDescent="0.3">
      <c r="A1066">
        <v>88</v>
      </c>
      <c r="B1066" s="1" t="s">
        <v>15</v>
      </c>
      <c r="C1066">
        <v>3607917.73</v>
      </c>
      <c r="D1066" s="1" t="s">
        <v>2136</v>
      </c>
      <c r="E1066">
        <v>3607917.73</v>
      </c>
      <c r="F1066">
        <v>0</v>
      </c>
      <c r="G1066" s="1" t="s">
        <v>2137</v>
      </c>
      <c r="H1066">
        <v>0</v>
      </c>
      <c r="I1066">
        <v>0</v>
      </c>
      <c r="J1066">
        <v>1</v>
      </c>
      <c r="K1066">
        <v>0</v>
      </c>
      <c r="L1066">
        <v>16</v>
      </c>
      <c r="M1066">
        <v>0</v>
      </c>
      <c r="N1066">
        <v>1</v>
      </c>
      <c r="O1066">
        <v>3607917.73</v>
      </c>
    </row>
    <row r="1067" spans="1:15" x14ac:dyDescent="0.3">
      <c r="A1067">
        <v>88</v>
      </c>
      <c r="B1067" s="1" t="s">
        <v>18</v>
      </c>
      <c r="C1067">
        <v>3607917.73</v>
      </c>
      <c r="D1067" s="1" t="s">
        <v>2138</v>
      </c>
      <c r="E1067">
        <v>3607917.73</v>
      </c>
      <c r="F1067">
        <v>0</v>
      </c>
      <c r="G1067" s="1" t="s">
        <v>2139</v>
      </c>
      <c r="H1067">
        <v>8391754.1300000008</v>
      </c>
      <c r="I1067">
        <v>12000000</v>
      </c>
      <c r="J1067">
        <v>1</v>
      </c>
      <c r="K1067">
        <v>0</v>
      </c>
      <c r="L1067">
        <v>16</v>
      </c>
      <c r="M1067">
        <v>0</v>
      </c>
      <c r="N1067">
        <v>1</v>
      </c>
      <c r="O1067">
        <v>3607917.73</v>
      </c>
    </row>
    <row r="1068" spans="1:15" x14ac:dyDescent="0.3">
      <c r="A1068">
        <v>89</v>
      </c>
      <c r="B1068" s="1" t="s">
        <v>15</v>
      </c>
      <c r="C1068">
        <v>766631.82</v>
      </c>
      <c r="D1068" s="1" t="s">
        <v>2140</v>
      </c>
      <c r="E1068">
        <v>766631.82</v>
      </c>
      <c r="F1068">
        <v>0</v>
      </c>
      <c r="G1068" s="1" t="s">
        <v>2141</v>
      </c>
      <c r="H1068">
        <v>0</v>
      </c>
      <c r="I1068">
        <v>0</v>
      </c>
      <c r="J1068">
        <v>1</v>
      </c>
      <c r="K1068">
        <v>0</v>
      </c>
      <c r="L1068">
        <v>17</v>
      </c>
      <c r="M1068">
        <v>0</v>
      </c>
      <c r="N1068">
        <v>1</v>
      </c>
      <c r="O1068">
        <v>766631.82</v>
      </c>
    </row>
    <row r="1069" spans="1:15" x14ac:dyDescent="0.3">
      <c r="A1069">
        <v>89</v>
      </c>
      <c r="B1069" s="1" t="s">
        <v>18</v>
      </c>
      <c r="C1069">
        <v>766631.82</v>
      </c>
      <c r="D1069" s="1" t="s">
        <v>2142</v>
      </c>
      <c r="E1069">
        <v>766631.82</v>
      </c>
      <c r="F1069">
        <v>0</v>
      </c>
      <c r="G1069" s="1" t="s">
        <v>2143</v>
      </c>
      <c r="H1069">
        <v>0</v>
      </c>
      <c r="I1069">
        <v>766631.82</v>
      </c>
      <c r="J1069">
        <v>1</v>
      </c>
      <c r="K1069">
        <v>0</v>
      </c>
      <c r="L1069">
        <v>17</v>
      </c>
      <c r="M1069">
        <v>0</v>
      </c>
      <c r="N1069">
        <v>1</v>
      </c>
      <c r="O1069">
        <v>766631.82</v>
      </c>
    </row>
    <row r="1070" spans="1:15" x14ac:dyDescent="0.3">
      <c r="A1070">
        <v>89</v>
      </c>
      <c r="B1070" s="1" t="s">
        <v>15</v>
      </c>
      <c r="C1070">
        <v>43928.31</v>
      </c>
      <c r="D1070" s="1" t="s">
        <v>2144</v>
      </c>
      <c r="E1070">
        <v>43928.31</v>
      </c>
      <c r="F1070">
        <v>0</v>
      </c>
      <c r="G1070" s="1" t="s">
        <v>2145</v>
      </c>
      <c r="H1070">
        <v>0</v>
      </c>
      <c r="I1070">
        <v>0</v>
      </c>
      <c r="J1070">
        <v>1</v>
      </c>
      <c r="K1070">
        <v>0</v>
      </c>
      <c r="L1070">
        <v>17</v>
      </c>
      <c r="M1070">
        <v>0</v>
      </c>
      <c r="N1070">
        <v>1</v>
      </c>
      <c r="O1070">
        <v>43928.31</v>
      </c>
    </row>
    <row r="1071" spans="1:15" x14ac:dyDescent="0.3">
      <c r="A1071">
        <v>89</v>
      </c>
      <c r="B1071" s="1" t="s">
        <v>18</v>
      </c>
      <c r="C1071">
        <v>43928.31</v>
      </c>
      <c r="D1071" s="1" t="s">
        <v>2146</v>
      </c>
      <c r="E1071">
        <v>43928.31</v>
      </c>
      <c r="F1071">
        <v>0</v>
      </c>
      <c r="G1071" s="1" t="s">
        <v>2147</v>
      </c>
      <c r="H1071">
        <v>0</v>
      </c>
      <c r="I1071">
        <v>43928.31</v>
      </c>
      <c r="J1071">
        <v>1</v>
      </c>
      <c r="K1071">
        <v>0</v>
      </c>
      <c r="L1071">
        <v>17</v>
      </c>
      <c r="M1071">
        <v>0</v>
      </c>
      <c r="N1071">
        <v>1</v>
      </c>
      <c r="O1071">
        <v>43928.31</v>
      </c>
    </row>
    <row r="1072" spans="1:15" x14ac:dyDescent="0.3">
      <c r="A1072">
        <v>89</v>
      </c>
      <c r="B1072" s="1" t="s">
        <v>15</v>
      </c>
      <c r="C1072">
        <v>268230.43</v>
      </c>
      <c r="D1072" s="1" t="s">
        <v>2148</v>
      </c>
      <c r="E1072">
        <v>268230.43</v>
      </c>
      <c r="F1072">
        <v>0</v>
      </c>
      <c r="G1072" s="1" t="s">
        <v>2149</v>
      </c>
      <c r="H1072">
        <v>0</v>
      </c>
      <c r="I1072">
        <v>0</v>
      </c>
      <c r="J1072">
        <v>1</v>
      </c>
      <c r="K1072">
        <v>0</v>
      </c>
      <c r="L1072">
        <v>17</v>
      </c>
      <c r="M1072">
        <v>0</v>
      </c>
      <c r="N1072">
        <v>1</v>
      </c>
      <c r="O1072">
        <v>268230.43</v>
      </c>
    </row>
    <row r="1073" spans="1:15" x14ac:dyDescent="0.3">
      <c r="A1073">
        <v>89</v>
      </c>
      <c r="B1073" s="1" t="s">
        <v>18</v>
      </c>
      <c r="C1073">
        <v>268230.43</v>
      </c>
      <c r="D1073" s="1" t="s">
        <v>2150</v>
      </c>
      <c r="E1073">
        <v>268230.43</v>
      </c>
      <c r="F1073">
        <v>0</v>
      </c>
      <c r="G1073" s="1" t="s">
        <v>2151</v>
      </c>
      <c r="H1073">
        <v>0</v>
      </c>
      <c r="I1073">
        <v>268230.43</v>
      </c>
      <c r="J1073">
        <v>1</v>
      </c>
      <c r="K1073">
        <v>0</v>
      </c>
      <c r="L1073">
        <v>17</v>
      </c>
      <c r="M1073">
        <v>0</v>
      </c>
      <c r="N1073">
        <v>1</v>
      </c>
      <c r="O1073">
        <v>268230.43</v>
      </c>
    </row>
    <row r="1074" spans="1:15" x14ac:dyDescent="0.3">
      <c r="A1074">
        <v>90</v>
      </c>
      <c r="B1074" s="1" t="s">
        <v>15</v>
      </c>
      <c r="C1074">
        <v>1182557.97</v>
      </c>
      <c r="D1074" s="1" t="s">
        <v>2152</v>
      </c>
      <c r="E1074">
        <v>1182557.97</v>
      </c>
      <c r="F1074">
        <v>0</v>
      </c>
      <c r="G1074" s="1" t="s">
        <v>2153</v>
      </c>
      <c r="H1074">
        <v>0</v>
      </c>
      <c r="I1074">
        <v>0</v>
      </c>
      <c r="J1074">
        <v>1</v>
      </c>
      <c r="K1074">
        <v>0</v>
      </c>
      <c r="L1074">
        <v>18</v>
      </c>
      <c r="M1074">
        <v>0</v>
      </c>
      <c r="N1074">
        <v>1</v>
      </c>
      <c r="O1074">
        <v>1182557.97</v>
      </c>
    </row>
    <row r="1075" spans="1:15" x14ac:dyDescent="0.3">
      <c r="A1075">
        <v>90</v>
      </c>
      <c r="B1075" s="1" t="s">
        <v>18</v>
      </c>
      <c r="C1075">
        <v>1182557.97</v>
      </c>
      <c r="D1075" s="1" t="s">
        <v>2154</v>
      </c>
      <c r="E1075">
        <v>1182557.97</v>
      </c>
      <c r="F1075">
        <v>0</v>
      </c>
      <c r="G1075" s="1" t="s">
        <v>2155</v>
      </c>
      <c r="H1075">
        <v>141273.74</v>
      </c>
      <c r="I1075">
        <v>1323831.71</v>
      </c>
      <c r="J1075">
        <v>1</v>
      </c>
      <c r="K1075">
        <v>0</v>
      </c>
      <c r="L1075">
        <v>18</v>
      </c>
      <c r="M1075">
        <v>0</v>
      </c>
      <c r="N1075">
        <v>1</v>
      </c>
      <c r="O1075">
        <v>1182557.97</v>
      </c>
    </row>
    <row r="1076" spans="1:15" x14ac:dyDescent="0.3">
      <c r="A1076">
        <v>90</v>
      </c>
      <c r="B1076" s="1" t="s">
        <v>15</v>
      </c>
      <c r="C1076">
        <v>113309.55</v>
      </c>
      <c r="D1076" s="1" t="s">
        <v>2156</v>
      </c>
      <c r="E1076">
        <v>113309.55</v>
      </c>
      <c r="F1076">
        <v>0</v>
      </c>
      <c r="G1076" s="1" t="s">
        <v>2157</v>
      </c>
      <c r="H1076">
        <v>0</v>
      </c>
      <c r="I1076">
        <v>0</v>
      </c>
      <c r="J1076">
        <v>1</v>
      </c>
      <c r="K1076">
        <v>0</v>
      </c>
      <c r="L1076">
        <v>18</v>
      </c>
      <c r="M1076">
        <v>0</v>
      </c>
      <c r="N1076">
        <v>1</v>
      </c>
      <c r="O1076">
        <v>113309.55</v>
      </c>
    </row>
    <row r="1077" spans="1:15" x14ac:dyDescent="0.3">
      <c r="A1077">
        <v>90</v>
      </c>
      <c r="B1077" s="1" t="s">
        <v>18</v>
      </c>
      <c r="C1077">
        <v>113309.55</v>
      </c>
      <c r="D1077" s="1" t="s">
        <v>2158</v>
      </c>
      <c r="E1077">
        <v>113309.55</v>
      </c>
      <c r="F1077">
        <v>0</v>
      </c>
      <c r="G1077" s="1" t="s">
        <v>2159</v>
      </c>
      <c r="H1077">
        <v>0</v>
      </c>
      <c r="I1077">
        <v>113309.55</v>
      </c>
      <c r="J1077">
        <v>1</v>
      </c>
      <c r="K1077">
        <v>0</v>
      </c>
      <c r="L1077">
        <v>18</v>
      </c>
      <c r="M1077">
        <v>0</v>
      </c>
      <c r="N1077">
        <v>1</v>
      </c>
      <c r="O1077">
        <v>113309.55</v>
      </c>
    </row>
    <row r="1078" spans="1:15" x14ac:dyDescent="0.3">
      <c r="A1078">
        <v>90</v>
      </c>
      <c r="B1078" s="1" t="s">
        <v>15</v>
      </c>
      <c r="C1078">
        <v>703833.48</v>
      </c>
      <c r="D1078" s="1" t="s">
        <v>2160</v>
      </c>
      <c r="E1078">
        <v>703833.48</v>
      </c>
      <c r="F1078">
        <v>0</v>
      </c>
      <c r="G1078" s="1" t="s">
        <v>2161</v>
      </c>
      <c r="H1078">
        <v>0</v>
      </c>
      <c r="I1078">
        <v>0</v>
      </c>
      <c r="J1078">
        <v>1</v>
      </c>
      <c r="K1078">
        <v>0</v>
      </c>
      <c r="L1078">
        <v>18</v>
      </c>
      <c r="M1078">
        <v>0</v>
      </c>
      <c r="N1078">
        <v>1</v>
      </c>
      <c r="O1078">
        <v>703833.48</v>
      </c>
    </row>
    <row r="1079" spans="1:15" x14ac:dyDescent="0.3">
      <c r="A1079">
        <v>90</v>
      </c>
      <c r="B1079" s="1" t="s">
        <v>18</v>
      </c>
      <c r="C1079">
        <v>703833.48</v>
      </c>
      <c r="D1079" s="1" t="s">
        <v>2162</v>
      </c>
      <c r="E1079">
        <v>703833.48</v>
      </c>
      <c r="F1079">
        <v>0</v>
      </c>
      <c r="G1079" s="1" t="s">
        <v>2163</v>
      </c>
      <c r="H1079">
        <v>0</v>
      </c>
      <c r="I1079">
        <v>703833.48</v>
      </c>
      <c r="J1079">
        <v>1</v>
      </c>
      <c r="K1079">
        <v>0</v>
      </c>
      <c r="L1079">
        <v>18</v>
      </c>
      <c r="M1079">
        <v>0</v>
      </c>
      <c r="N1079">
        <v>1</v>
      </c>
      <c r="O1079">
        <v>703833.48</v>
      </c>
    </row>
    <row r="1080" spans="1:15" x14ac:dyDescent="0.3">
      <c r="A1080">
        <v>90</v>
      </c>
      <c r="B1080" s="1" t="s">
        <v>15</v>
      </c>
      <c r="C1080">
        <v>134515.35999999999</v>
      </c>
      <c r="D1080" s="1" t="s">
        <v>2164</v>
      </c>
      <c r="E1080">
        <v>134515.35999999999</v>
      </c>
      <c r="F1080">
        <v>0</v>
      </c>
      <c r="G1080" s="1" t="s">
        <v>2165</v>
      </c>
      <c r="H1080">
        <v>0</v>
      </c>
      <c r="I1080">
        <v>0</v>
      </c>
      <c r="J1080">
        <v>1</v>
      </c>
      <c r="K1080">
        <v>0</v>
      </c>
      <c r="L1080">
        <v>18</v>
      </c>
      <c r="M1080">
        <v>0</v>
      </c>
      <c r="N1080">
        <v>1</v>
      </c>
      <c r="O1080">
        <v>134515.35999999999</v>
      </c>
    </row>
    <row r="1081" spans="1:15" x14ac:dyDescent="0.3">
      <c r="A1081">
        <v>90</v>
      </c>
      <c r="B1081" s="1" t="s">
        <v>18</v>
      </c>
      <c r="C1081">
        <v>134515.35999999999</v>
      </c>
      <c r="D1081" s="1" t="s">
        <v>2166</v>
      </c>
      <c r="E1081">
        <v>134515.35999999999</v>
      </c>
      <c r="F1081">
        <v>0</v>
      </c>
      <c r="G1081" s="1" t="s">
        <v>2167</v>
      </c>
      <c r="H1081">
        <v>29488.06</v>
      </c>
      <c r="I1081">
        <v>164003.41</v>
      </c>
      <c r="J1081">
        <v>1</v>
      </c>
      <c r="K1081">
        <v>0</v>
      </c>
      <c r="L1081">
        <v>18</v>
      </c>
      <c r="M1081">
        <v>0</v>
      </c>
      <c r="N1081">
        <v>1</v>
      </c>
      <c r="O1081">
        <v>134515.35999999999</v>
      </c>
    </row>
    <row r="1082" spans="1:15" x14ac:dyDescent="0.3">
      <c r="A1082">
        <v>90</v>
      </c>
      <c r="B1082" s="1" t="s">
        <v>15</v>
      </c>
      <c r="C1082">
        <v>266746.42</v>
      </c>
      <c r="D1082" s="1" t="s">
        <v>2168</v>
      </c>
      <c r="E1082">
        <v>266746.42</v>
      </c>
      <c r="F1082">
        <v>0</v>
      </c>
      <c r="G1082" s="1" t="s">
        <v>2169</v>
      </c>
      <c r="H1082">
        <v>0</v>
      </c>
      <c r="I1082">
        <v>0</v>
      </c>
      <c r="J1082">
        <v>1</v>
      </c>
      <c r="K1082">
        <v>0</v>
      </c>
      <c r="L1082">
        <v>18</v>
      </c>
      <c r="M1082">
        <v>0</v>
      </c>
      <c r="N1082">
        <v>1</v>
      </c>
      <c r="O1082">
        <v>266746.42</v>
      </c>
    </row>
    <row r="1083" spans="1:15" x14ac:dyDescent="0.3">
      <c r="A1083">
        <v>90</v>
      </c>
      <c r="B1083" s="1" t="s">
        <v>18</v>
      </c>
      <c r="C1083">
        <v>266746.42</v>
      </c>
      <c r="D1083" s="1" t="s">
        <v>2170</v>
      </c>
      <c r="E1083">
        <v>266746.42</v>
      </c>
      <c r="F1083">
        <v>0</v>
      </c>
      <c r="G1083" s="1" t="s">
        <v>2171</v>
      </c>
      <c r="H1083">
        <v>4433931.7699999996</v>
      </c>
      <c r="I1083">
        <v>4700678.1900000004</v>
      </c>
      <c r="J1083">
        <v>1</v>
      </c>
      <c r="K1083">
        <v>0</v>
      </c>
      <c r="L1083">
        <v>18</v>
      </c>
      <c r="M1083">
        <v>0</v>
      </c>
      <c r="N1083">
        <v>1</v>
      </c>
      <c r="O1083">
        <v>266746.42</v>
      </c>
    </row>
    <row r="1084" spans="1:15" x14ac:dyDescent="0.3">
      <c r="A1084">
        <v>90</v>
      </c>
      <c r="B1084" s="1" t="s">
        <v>15</v>
      </c>
      <c r="C1084">
        <v>7696836.3499999996</v>
      </c>
      <c r="D1084" s="1" t="s">
        <v>2172</v>
      </c>
      <c r="E1084">
        <v>7696836.3499999996</v>
      </c>
      <c r="F1084">
        <v>0</v>
      </c>
      <c r="G1084" s="1" t="s">
        <v>2173</v>
      </c>
      <c r="H1084">
        <v>0</v>
      </c>
      <c r="I1084">
        <v>0</v>
      </c>
      <c r="J1084">
        <v>1</v>
      </c>
      <c r="K1084">
        <v>0</v>
      </c>
      <c r="L1084">
        <v>18</v>
      </c>
      <c r="M1084">
        <v>0</v>
      </c>
      <c r="N1084">
        <v>1</v>
      </c>
      <c r="O1084">
        <v>7696836.3499999996</v>
      </c>
    </row>
    <row r="1085" spans="1:15" x14ac:dyDescent="0.3">
      <c r="A1085">
        <v>90</v>
      </c>
      <c r="B1085" s="1" t="s">
        <v>18</v>
      </c>
      <c r="C1085">
        <v>7696836.3499999996</v>
      </c>
      <c r="D1085" s="1" t="s">
        <v>2174</v>
      </c>
      <c r="E1085">
        <v>7696836.3499999996</v>
      </c>
      <c r="F1085">
        <v>0</v>
      </c>
      <c r="G1085" s="1" t="s">
        <v>2175</v>
      </c>
      <c r="H1085">
        <v>180993.45</v>
      </c>
      <c r="I1085">
        <v>7877829.7999999998</v>
      </c>
      <c r="J1085">
        <v>1</v>
      </c>
      <c r="K1085">
        <v>0</v>
      </c>
      <c r="L1085">
        <v>18</v>
      </c>
      <c r="M1085">
        <v>0</v>
      </c>
      <c r="N1085">
        <v>1</v>
      </c>
      <c r="O1085">
        <v>7696836.3499999996</v>
      </c>
    </row>
    <row r="1086" spans="1:15" x14ac:dyDescent="0.3">
      <c r="A1086">
        <v>90</v>
      </c>
      <c r="B1086" s="1" t="s">
        <v>15</v>
      </c>
      <c r="C1086">
        <v>39664.74</v>
      </c>
      <c r="D1086" s="1" t="s">
        <v>2176</v>
      </c>
      <c r="E1086">
        <v>39664.74</v>
      </c>
      <c r="F1086">
        <v>0</v>
      </c>
      <c r="G1086" s="1" t="s">
        <v>2177</v>
      </c>
      <c r="H1086">
        <v>0</v>
      </c>
      <c r="I1086">
        <v>0</v>
      </c>
      <c r="J1086">
        <v>1</v>
      </c>
      <c r="K1086">
        <v>0</v>
      </c>
      <c r="L1086">
        <v>18</v>
      </c>
      <c r="M1086">
        <v>0</v>
      </c>
      <c r="N1086">
        <v>1</v>
      </c>
      <c r="O1086">
        <v>39664.74</v>
      </c>
    </row>
    <row r="1087" spans="1:15" x14ac:dyDescent="0.3">
      <c r="A1087">
        <v>90</v>
      </c>
      <c r="B1087" s="1" t="s">
        <v>18</v>
      </c>
      <c r="C1087">
        <v>39664.74</v>
      </c>
      <c r="D1087" s="1" t="s">
        <v>2178</v>
      </c>
      <c r="E1087">
        <v>39664.74</v>
      </c>
      <c r="F1087">
        <v>0</v>
      </c>
      <c r="G1087" s="1" t="s">
        <v>2179</v>
      </c>
      <c r="H1087">
        <v>0</v>
      </c>
      <c r="I1087">
        <v>39664.74</v>
      </c>
      <c r="J1087">
        <v>1</v>
      </c>
      <c r="K1087">
        <v>0</v>
      </c>
      <c r="L1087">
        <v>18</v>
      </c>
      <c r="M1087">
        <v>0</v>
      </c>
      <c r="N1087">
        <v>1</v>
      </c>
      <c r="O1087">
        <v>39664.74</v>
      </c>
    </row>
    <row r="1088" spans="1:15" x14ac:dyDescent="0.3">
      <c r="A1088">
        <v>90</v>
      </c>
      <c r="B1088" s="1" t="s">
        <v>15</v>
      </c>
      <c r="C1088">
        <v>249791.3</v>
      </c>
      <c r="D1088" s="1" t="s">
        <v>2180</v>
      </c>
      <c r="E1088">
        <v>249791.3</v>
      </c>
      <c r="F1088">
        <v>0</v>
      </c>
      <c r="G1088" s="1" t="s">
        <v>2181</v>
      </c>
      <c r="H1088">
        <v>0</v>
      </c>
      <c r="I1088">
        <v>0</v>
      </c>
      <c r="J1088">
        <v>1</v>
      </c>
      <c r="K1088">
        <v>0</v>
      </c>
      <c r="L1088">
        <v>18</v>
      </c>
      <c r="M1088">
        <v>0</v>
      </c>
      <c r="N1088">
        <v>1</v>
      </c>
      <c r="O1088">
        <v>249791.3</v>
      </c>
    </row>
    <row r="1089" spans="1:15" x14ac:dyDescent="0.3">
      <c r="A1089">
        <v>90</v>
      </c>
      <c r="B1089" s="1" t="s">
        <v>18</v>
      </c>
      <c r="C1089">
        <v>249791.3</v>
      </c>
      <c r="D1089" s="1" t="s">
        <v>2182</v>
      </c>
      <c r="E1089">
        <v>249791.3</v>
      </c>
      <c r="F1089">
        <v>0</v>
      </c>
      <c r="G1089" s="1" t="s">
        <v>2183</v>
      </c>
      <c r="H1089">
        <v>0</v>
      </c>
      <c r="I1089">
        <v>249791.3</v>
      </c>
      <c r="J1089">
        <v>1</v>
      </c>
      <c r="K1089">
        <v>0</v>
      </c>
      <c r="L1089">
        <v>18</v>
      </c>
      <c r="M1089">
        <v>0</v>
      </c>
      <c r="N1089">
        <v>1</v>
      </c>
      <c r="O1089">
        <v>249791.3</v>
      </c>
    </row>
    <row r="1090" spans="1:15" x14ac:dyDescent="0.3">
      <c r="A1090">
        <v>91</v>
      </c>
      <c r="B1090" s="1" t="s">
        <v>15</v>
      </c>
      <c r="C1090">
        <v>921668.95</v>
      </c>
      <c r="D1090" s="1" t="s">
        <v>2184</v>
      </c>
      <c r="E1090">
        <v>921668.95</v>
      </c>
      <c r="F1090">
        <v>0</v>
      </c>
      <c r="G1090" s="1" t="s">
        <v>2185</v>
      </c>
      <c r="H1090">
        <v>0</v>
      </c>
      <c r="I1090">
        <v>0</v>
      </c>
      <c r="J1090">
        <v>1</v>
      </c>
      <c r="K1090">
        <v>0</v>
      </c>
      <c r="L1090">
        <v>19</v>
      </c>
      <c r="M1090">
        <v>0</v>
      </c>
      <c r="N1090">
        <v>1</v>
      </c>
      <c r="O1090">
        <v>921668.95</v>
      </c>
    </row>
    <row r="1091" spans="1:15" x14ac:dyDescent="0.3">
      <c r="A1091">
        <v>91</v>
      </c>
      <c r="B1091" s="1" t="s">
        <v>18</v>
      </c>
      <c r="C1091">
        <v>921668.95</v>
      </c>
      <c r="D1091" s="1" t="s">
        <v>2186</v>
      </c>
      <c r="E1091">
        <v>921668.95</v>
      </c>
      <c r="F1091">
        <v>0</v>
      </c>
      <c r="G1091" s="1" t="s">
        <v>2187</v>
      </c>
      <c r="H1091">
        <v>96395.54</v>
      </c>
      <c r="I1091">
        <v>1018064.5</v>
      </c>
      <c r="J1091">
        <v>1</v>
      </c>
      <c r="K1091">
        <v>0</v>
      </c>
      <c r="L1091">
        <v>19</v>
      </c>
      <c r="M1091">
        <v>0</v>
      </c>
      <c r="N1091">
        <v>1</v>
      </c>
      <c r="O1091">
        <v>921668.95</v>
      </c>
    </row>
    <row r="1092" spans="1:15" x14ac:dyDescent="0.3">
      <c r="A1092">
        <v>91</v>
      </c>
      <c r="B1092" s="1" t="s">
        <v>15</v>
      </c>
      <c r="C1092">
        <v>737285.03</v>
      </c>
      <c r="D1092" s="1" t="s">
        <v>2188</v>
      </c>
      <c r="E1092">
        <v>737285.03</v>
      </c>
      <c r="F1092">
        <v>0</v>
      </c>
      <c r="G1092" s="1" t="s">
        <v>2189</v>
      </c>
      <c r="H1092">
        <v>0</v>
      </c>
      <c r="I1092">
        <v>0</v>
      </c>
      <c r="J1092">
        <v>1</v>
      </c>
      <c r="K1092">
        <v>0</v>
      </c>
      <c r="L1092">
        <v>19</v>
      </c>
      <c r="M1092">
        <v>0</v>
      </c>
      <c r="N1092">
        <v>1</v>
      </c>
      <c r="O1092">
        <v>737285.03</v>
      </c>
    </row>
    <row r="1093" spans="1:15" x14ac:dyDescent="0.3">
      <c r="A1093">
        <v>91</v>
      </c>
      <c r="B1093" s="1" t="s">
        <v>18</v>
      </c>
      <c r="C1093">
        <v>737285.03</v>
      </c>
      <c r="D1093" s="1" t="s">
        <v>2190</v>
      </c>
      <c r="E1093">
        <v>737285.03</v>
      </c>
      <c r="F1093">
        <v>0</v>
      </c>
      <c r="G1093" s="1" t="s">
        <v>2191</v>
      </c>
      <c r="H1093">
        <v>0</v>
      </c>
      <c r="I1093">
        <v>737285.03</v>
      </c>
      <c r="J1093">
        <v>1</v>
      </c>
      <c r="K1093">
        <v>0</v>
      </c>
      <c r="L1093">
        <v>19</v>
      </c>
      <c r="M1093">
        <v>0</v>
      </c>
      <c r="N1093">
        <v>1</v>
      </c>
      <c r="O1093">
        <v>737285.03</v>
      </c>
    </row>
    <row r="1094" spans="1:15" x14ac:dyDescent="0.3">
      <c r="A1094">
        <v>91</v>
      </c>
      <c r="B1094" s="1" t="s">
        <v>15</v>
      </c>
      <c r="C1094">
        <v>28308.97</v>
      </c>
      <c r="D1094" s="1" t="s">
        <v>2192</v>
      </c>
      <c r="E1094">
        <v>28308.97</v>
      </c>
      <c r="F1094">
        <v>0</v>
      </c>
      <c r="G1094" s="1" t="s">
        <v>2193</v>
      </c>
      <c r="H1094">
        <v>0</v>
      </c>
      <c r="I1094">
        <v>0</v>
      </c>
      <c r="J1094">
        <v>1</v>
      </c>
      <c r="K1094">
        <v>0</v>
      </c>
      <c r="L1094">
        <v>19</v>
      </c>
      <c r="M1094">
        <v>0</v>
      </c>
      <c r="N1094">
        <v>1</v>
      </c>
      <c r="O1094">
        <v>28308.97</v>
      </c>
    </row>
    <row r="1095" spans="1:15" x14ac:dyDescent="0.3">
      <c r="A1095">
        <v>91</v>
      </c>
      <c r="B1095" s="1" t="s">
        <v>18</v>
      </c>
      <c r="C1095">
        <v>28308.97</v>
      </c>
      <c r="D1095" s="1" t="s">
        <v>2194</v>
      </c>
      <c r="E1095">
        <v>28308.97</v>
      </c>
      <c r="F1095">
        <v>0</v>
      </c>
      <c r="G1095" s="1" t="s">
        <v>2195</v>
      </c>
      <c r="H1095">
        <v>0</v>
      </c>
      <c r="I1095">
        <v>28308.97</v>
      </c>
      <c r="J1095">
        <v>1</v>
      </c>
      <c r="K1095">
        <v>0</v>
      </c>
      <c r="L1095">
        <v>19</v>
      </c>
      <c r="M1095">
        <v>0</v>
      </c>
      <c r="N1095">
        <v>1</v>
      </c>
      <c r="O1095">
        <v>28308.97</v>
      </c>
    </row>
    <row r="1096" spans="1:15" x14ac:dyDescent="0.3">
      <c r="A1096">
        <v>91</v>
      </c>
      <c r="B1096" s="1" t="s">
        <v>15</v>
      </c>
      <c r="C1096">
        <v>482679.6</v>
      </c>
      <c r="D1096" s="1" t="s">
        <v>2196</v>
      </c>
      <c r="E1096">
        <v>482679.6</v>
      </c>
      <c r="F1096">
        <v>0</v>
      </c>
      <c r="G1096" s="1" t="s">
        <v>2197</v>
      </c>
      <c r="H1096">
        <v>0</v>
      </c>
      <c r="I1096">
        <v>0</v>
      </c>
      <c r="J1096">
        <v>1</v>
      </c>
      <c r="K1096">
        <v>0</v>
      </c>
      <c r="L1096">
        <v>19</v>
      </c>
      <c r="M1096">
        <v>0</v>
      </c>
      <c r="N1096">
        <v>1</v>
      </c>
      <c r="O1096">
        <v>482679.6</v>
      </c>
    </row>
    <row r="1097" spans="1:15" x14ac:dyDescent="0.3">
      <c r="A1097">
        <v>91</v>
      </c>
      <c r="B1097" s="1" t="s">
        <v>18</v>
      </c>
      <c r="C1097">
        <v>482679.6</v>
      </c>
      <c r="D1097" s="1" t="s">
        <v>2198</v>
      </c>
      <c r="E1097">
        <v>482679.6</v>
      </c>
      <c r="F1097">
        <v>0</v>
      </c>
      <c r="G1097" s="1" t="s">
        <v>2199</v>
      </c>
      <c r="H1097">
        <v>0</v>
      </c>
      <c r="I1097">
        <v>482679.6</v>
      </c>
      <c r="J1097">
        <v>1</v>
      </c>
      <c r="K1097">
        <v>0</v>
      </c>
      <c r="L1097">
        <v>19</v>
      </c>
      <c r="M1097">
        <v>0</v>
      </c>
      <c r="N1097">
        <v>1</v>
      </c>
      <c r="O1097">
        <v>482679.6</v>
      </c>
    </row>
    <row r="1098" spans="1:15" x14ac:dyDescent="0.3">
      <c r="A1098">
        <v>92</v>
      </c>
      <c r="B1098" s="1" t="s">
        <v>15</v>
      </c>
      <c r="C1098">
        <v>1461930.03</v>
      </c>
      <c r="D1098" s="1" t="s">
        <v>2200</v>
      </c>
      <c r="E1098">
        <v>1461930.03</v>
      </c>
      <c r="F1098">
        <v>0</v>
      </c>
      <c r="G1098" s="1" t="s">
        <v>2201</v>
      </c>
      <c r="H1098">
        <v>0</v>
      </c>
      <c r="I1098">
        <v>0</v>
      </c>
      <c r="J1098">
        <v>1</v>
      </c>
      <c r="K1098">
        <v>0</v>
      </c>
      <c r="L1098">
        <v>20</v>
      </c>
      <c r="M1098">
        <v>0</v>
      </c>
      <c r="N1098">
        <v>1</v>
      </c>
      <c r="O1098">
        <v>1461930.03</v>
      </c>
    </row>
    <row r="1099" spans="1:15" x14ac:dyDescent="0.3">
      <c r="A1099">
        <v>92</v>
      </c>
      <c r="B1099" s="1" t="s">
        <v>18</v>
      </c>
      <c r="C1099">
        <v>1461930.03</v>
      </c>
      <c r="D1099" s="1" t="s">
        <v>2202</v>
      </c>
      <c r="E1099">
        <v>1461930.03</v>
      </c>
      <c r="F1099">
        <v>0</v>
      </c>
      <c r="G1099" s="1" t="s">
        <v>2203</v>
      </c>
      <c r="H1099">
        <v>3762496.73</v>
      </c>
      <c r="I1099">
        <v>5224426.76</v>
      </c>
      <c r="J1099">
        <v>1</v>
      </c>
      <c r="K1099">
        <v>0</v>
      </c>
      <c r="L1099">
        <v>20</v>
      </c>
      <c r="M1099">
        <v>0</v>
      </c>
      <c r="N1099">
        <v>1</v>
      </c>
      <c r="O1099">
        <v>1461930.03</v>
      </c>
    </row>
    <row r="1100" spans="1:15" x14ac:dyDescent="0.3">
      <c r="A1100">
        <v>92</v>
      </c>
      <c r="B1100" s="1" t="s">
        <v>15</v>
      </c>
      <c r="C1100">
        <v>271908.40000000002</v>
      </c>
      <c r="D1100" s="1" t="s">
        <v>2204</v>
      </c>
      <c r="E1100">
        <v>271908.40000000002</v>
      </c>
      <c r="F1100">
        <v>0</v>
      </c>
      <c r="G1100" s="1" t="s">
        <v>2205</v>
      </c>
      <c r="H1100">
        <v>0</v>
      </c>
      <c r="I1100">
        <v>0</v>
      </c>
      <c r="J1100">
        <v>1</v>
      </c>
      <c r="K1100">
        <v>0</v>
      </c>
      <c r="L1100">
        <v>20</v>
      </c>
      <c r="M1100">
        <v>0</v>
      </c>
      <c r="N1100">
        <v>1</v>
      </c>
      <c r="O1100">
        <v>271908.40000000002</v>
      </c>
    </row>
    <row r="1101" spans="1:15" x14ac:dyDescent="0.3">
      <c r="A1101">
        <v>92</v>
      </c>
      <c r="B1101" s="1" t="s">
        <v>18</v>
      </c>
      <c r="C1101">
        <v>271908.40000000002</v>
      </c>
      <c r="D1101" s="1" t="s">
        <v>2206</v>
      </c>
      <c r="E1101">
        <v>271908.40000000002</v>
      </c>
      <c r="F1101">
        <v>0</v>
      </c>
      <c r="G1101" s="1" t="s">
        <v>2207</v>
      </c>
      <c r="H1101">
        <v>1488088.26</v>
      </c>
      <c r="I1101">
        <v>1759996.66</v>
      </c>
      <c r="J1101">
        <v>1</v>
      </c>
      <c r="K1101">
        <v>0</v>
      </c>
      <c r="L1101">
        <v>20</v>
      </c>
      <c r="M1101">
        <v>0</v>
      </c>
      <c r="N1101">
        <v>1</v>
      </c>
      <c r="O1101">
        <v>271908.40000000002</v>
      </c>
    </row>
    <row r="1102" spans="1:15" x14ac:dyDescent="0.3">
      <c r="A1102">
        <v>92</v>
      </c>
      <c r="B1102" s="1" t="s">
        <v>15</v>
      </c>
      <c r="C1102">
        <v>101903.69</v>
      </c>
      <c r="D1102" s="1" t="s">
        <v>2208</v>
      </c>
      <c r="E1102">
        <v>101903.69</v>
      </c>
      <c r="F1102">
        <v>0</v>
      </c>
      <c r="G1102" s="1" t="s">
        <v>2209</v>
      </c>
      <c r="H1102">
        <v>0</v>
      </c>
      <c r="I1102">
        <v>0</v>
      </c>
      <c r="J1102">
        <v>1</v>
      </c>
      <c r="K1102">
        <v>0</v>
      </c>
      <c r="L1102">
        <v>20</v>
      </c>
      <c r="M1102">
        <v>0</v>
      </c>
      <c r="N1102">
        <v>1</v>
      </c>
      <c r="O1102">
        <v>101903.69</v>
      </c>
    </row>
    <row r="1103" spans="1:15" x14ac:dyDescent="0.3">
      <c r="A1103">
        <v>92</v>
      </c>
      <c r="B1103" s="1" t="s">
        <v>18</v>
      </c>
      <c r="C1103">
        <v>101903.69</v>
      </c>
      <c r="D1103" s="1" t="s">
        <v>2210</v>
      </c>
      <c r="E1103">
        <v>101903.69</v>
      </c>
      <c r="F1103">
        <v>0</v>
      </c>
      <c r="G1103" s="1" t="s">
        <v>2211</v>
      </c>
      <c r="H1103">
        <v>280117.63</v>
      </c>
      <c r="I1103">
        <v>382021.32</v>
      </c>
      <c r="J1103">
        <v>1</v>
      </c>
      <c r="K1103">
        <v>0</v>
      </c>
      <c r="L1103">
        <v>20</v>
      </c>
      <c r="M1103">
        <v>0</v>
      </c>
      <c r="N1103">
        <v>1</v>
      </c>
      <c r="O1103">
        <v>101903.69</v>
      </c>
    </row>
    <row r="1104" spans="1:15" x14ac:dyDescent="0.3">
      <c r="A1104">
        <v>92</v>
      </c>
      <c r="B1104" s="1" t="s">
        <v>15</v>
      </c>
      <c r="C1104">
        <v>21574.55</v>
      </c>
      <c r="D1104" s="1" t="s">
        <v>2212</v>
      </c>
      <c r="E1104">
        <v>21574.55</v>
      </c>
      <c r="F1104">
        <v>0</v>
      </c>
      <c r="G1104" s="1" t="s">
        <v>2213</v>
      </c>
      <c r="H1104">
        <v>0</v>
      </c>
      <c r="I1104">
        <v>0</v>
      </c>
      <c r="J1104">
        <v>1</v>
      </c>
      <c r="K1104">
        <v>0</v>
      </c>
      <c r="L1104">
        <v>20</v>
      </c>
      <c r="M1104">
        <v>0</v>
      </c>
      <c r="N1104">
        <v>1</v>
      </c>
      <c r="O1104">
        <v>21574.55</v>
      </c>
    </row>
    <row r="1105" spans="1:15" x14ac:dyDescent="0.3">
      <c r="A1105">
        <v>92</v>
      </c>
      <c r="B1105" s="1" t="s">
        <v>18</v>
      </c>
      <c r="C1105">
        <v>21574.55</v>
      </c>
      <c r="D1105" s="1" t="s">
        <v>2214</v>
      </c>
      <c r="E1105">
        <v>21574.55</v>
      </c>
      <c r="F1105">
        <v>0</v>
      </c>
      <c r="G1105" s="1" t="s">
        <v>2215</v>
      </c>
      <c r="H1105">
        <v>0</v>
      </c>
      <c r="I1105">
        <v>21574.55</v>
      </c>
      <c r="J1105">
        <v>1</v>
      </c>
      <c r="K1105">
        <v>0</v>
      </c>
      <c r="L1105">
        <v>20</v>
      </c>
      <c r="M1105">
        <v>0</v>
      </c>
      <c r="N1105">
        <v>1</v>
      </c>
      <c r="O1105">
        <v>21574.55</v>
      </c>
    </row>
    <row r="1106" spans="1:15" x14ac:dyDescent="0.3">
      <c r="A1106">
        <v>92</v>
      </c>
      <c r="B1106" s="1" t="s">
        <v>15</v>
      </c>
      <c r="C1106">
        <v>19742.71</v>
      </c>
      <c r="D1106" s="1" t="s">
        <v>2216</v>
      </c>
      <c r="E1106">
        <v>19742.71</v>
      </c>
      <c r="F1106">
        <v>0</v>
      </c>
      <c r="G1106" s="1" t="s">
        <v>2217</v>
      </c>
      <c r="H1106">
        <v>0</v>
      </c>
      <c r="I1106">
        <v>0</v>
      </c>
      <c r="J1106">
        <v>1</v>
      </c>
      <c r="K1106">
        <v>0</v>
      </c>
      <c r="L1106">
        <v>20</v>
      </c>
      <c r="M1106">
        <v>0</v>
      </c>
      <c r="N1106">
        <v>1</v>
      </c>
      <c r="O1106">
        <v>19742.71</v>
      </c>
    </row>
    <row r="1107" spans="1:15" x14ac:dyDescent="0.3">
      <c r="A1107">
        <v>92</v>
      </c>
      <c r="B1107" s="1" t="s">
        <v>18</v>
      </c>
      <c r="C1107">
        <v>19742.71</v>
      </c>
      <c r="D1107" s="1" t="s">
        <v>2218</v>
      </c>
      <c r="E1107">
        <v>19742.71</v>
      </c>
      <c r="F1107">
        <v>0</v>
      </c>
      <c r="G1107" s="1" t="s">
        <v>2219</v>
      </c>
      <c r="H1107">
        <v>2098671.6800000002</v>
      </c>
      <c r="I1107">
        <v>2118414.39</v>
      </c>
      <c r="J1107">
        <v>1</v>
      </c>
      <c r="K1107">
        <v>0</v>
      </c>
      <c r="L1107">
        <v>20</v>
      </c>
      <c r="M1107">
        <v>0</v>
      </c>
      <c r="N1107">
        <v>1</v>
      </c>
      <c r="O1107">
        <v>19742.71</v>
      </c>
    </row>
    <row r="1108" spans="1:15" x14ac:dyDescent="0.3">
      <c r="A1108">
        <v>93</v>
      </c>
      <c r="B1108" s="1" t="s">
        <v>15</v>
      </c>
      <c r="C1108">
        <v>38150.22</v>
      </c>
      <c r="D1108" s="1" t="s">
        <v>2220</v>
      </c>
      <c r="E1108">
        <v>38150.22</v>
      </c>
      <c r="F1108">
        <v>0</v>
      </c>
      <c r="G1108" s="1" t="s">
        <v>2221</v>
      </c>
      <c r="H1108">
        <v>0</v>
      </c>
      <c r="I1108">
        <v>0</v>
      </c>
      <c r="J1108">
        <v>1</v>
      </c>
      <c r="K1108">
        <v>0</v>
      </c>
      <c r="L1108">
        <v>21</v>
      </c>
      <c r="M1108">
        <v>0</v>
      </c>
      <c r="N1108">
        <v>1</v>
      </c>
      <c r="O1108">
        <v>38150.22</v>
      </c>
    </row>
    <row r="1109" spans="1:15" x14ac:dyDescent="0.3">
      <c r="A1109">
        <v>93</v>
      </c>
      <c r="B1109" s="1" t="s">
        <v>18</v>
      </c>
      <c r="C1109">
        <v>38150.22</v>
      </c>
      <c r="D1109" s="1" t="s">
        <v>2222</v>
      </c>
      <c r="E1109">
        <v>38150.22</v>
      </c>
      <c r="F1109">
        <v>0</v>
      </c>
      <c r="G1109" s="1" t="s">
        <v>2223</v>
      </c>
      <c r="H1109">
        <v>30220.14</v>
      </c>
      <c r="I1109">
        <v>68370.36</v>
      </c>
      <c r="J1109">
        <v>1</v>
      </c>
      <c r="K1109">
        <v>0</v>
      </c>
      <c r="L1109">
        <v>21</v>
      </c>
      <c r="M1109">
        <v>0</v>
      </c>
      <c r="N1109">
        <v>1</v>
      </c>
      <c r="O1109">
        <v>38150.22</v>
      </c>
    </row>
    <row r="1110" spans="1:15" x14ac:dyDescent="0.3">
      <c r="A1110">
        <v>93</v>
      </c>
      <c r="B1110" s="1" t="s">
        <v>15</v>
      </c>
      <c r="C1110">
        <v>886588.02</v>
      </c>
      <c r="D1110" s="1" t="s">
        <v>2224</v>
      </c>
      <c r="E1110">
        <v>886588.02</v>
      </c>
      <c r="F1110">
        <v>0</v>
      </c>
      <c r="G1110" s="1" t="s">
        <v>2225</v>
      </c>
      <c r="H1110">
        <v>0</v>
      </c>
      <c r="I1110">
        <v>0</v>
      </c>
      <c r="J1110">
        <v>1</v>
      </c>
      <c r="K1110">
        <v>0</v>
      </c>
      <c r="L1110">
        <v>21</v>
      </c>
      <c r="M1110">
        <v>0</v>
      </c>
      <c r="N1110">
        <v>1</v>
      </c>
      <c r="O1110">
        <v>886588.02</v>
      </c>
    </row>
    <row r="1111" spans="1:15" x14ac:dyDescent="0.3">
      <c r="A1111">
        <v>93</v>
      </c>
      <c r="B1111" s="1" t="s">
        <v>18</v>
      </c>
      <c r="C1111">
        <v>886588.02</v>
      </c>
      <c r="D1111" s="1" t="s">
        <v>2226</v>
      </c>
      <c r="E1111">
        <v>886588.02</v>
      </c>
      <c r="F1111">
        <v>0</v>
      </c>
      <c r="G1111" s="1" t="s">
        <v>2227</v>
      </c>
      <c r="H1111">
        <v>0</v>
      </c>
      <c r="I1111">
        <v>886588.02</v>
      </c>
      <c r="J1111">
        <v>1</v>
      </c>
      <c r="K1111">
        <v>0</v>
      </c>
      <c r="L1111">
        <v>21</v>
      </c>
      <c r="M1111">
        <v>0</v>
      </c>
      <c r="N1111">
        <v>1</v>
      </c>
      <c r="O1111">
        <v>886588.02</v>
      </c>
    </row>
    <row r="1112" spans="1:15" x14ac:dyDescent="0.3">
      <c r="A1112">
        <v>93</v>
      </c>
      <c r="B1112" s="1" t="s">
        <v>15</v>
      </c>
      <c r="C1112">
        <v>4120.1400000000003</v>
      </c>
      <c r="D1112" s="1" t="s">
        <v>2228</v>
      </c>
      <c r="E1112">
        <v>4120.1400000000003</v>
      </c>
      <c r="F1112">
        <v>0</v>
      </c>
      <c r="G1112" s="1" t="s">
        <v>2229</v>
      </c>
      <c r="H1112">
        <v>0</v>
      </c>
      <c r="I1112">
        <v>0</v>
      </c>
      <c r="J1112">
        <v>1</v>
      </c>
      <c r="K1112">
        <v>0</v>
      </c>
      <c r="L1112">
        <v>21</v>
      </c>
      <c r="M1112">
        <v>0</v>
      </c>
      <c r="N1112">
        <v>1</v>
      </c>
      <c r="O1112">
        <v>4120.1400000000003</v>
      </c>
    </row>
    <row r="1113" spans="1:15" x14ac:dyDescent="0.3">
      <c r="A1113">
        <v>93</v>
      </c>
      <c r="B1113" s="1" t="s">
        <v>18</v>
      </c>
      <c r="C1113">
        <v>4120.1400000000003</v>
      </c>
      <c r="D1113" s="1" t="s">
        <v>2230</v>
      </c>
      <c r="E1113">
        <v>4120.1400000000003</v>
      </c>
      <c r="F1113">
        <v>0</v>
      </c>
      <c r="G1113" s="1" t="s">
        <v>2231</v>
      </c>
      <c r="H1113">
        <v>0</v>
      </c>
      <c r="I1113">
        <v>4120.1400000000003</v>
      </c>
      <c r="J1113">
        <v>1</v>
      </c>
      <c r="K1113">
        <v>0</v>
      </c>
      <c r="L1113">
        <v>21</v>
      </c>
      <c r="M1113">
        <v>0</v>
      </c>
      <c r="N1113">
        <v>1</v>
      </c>
      <c r="O1113">
        <v>4120.1400000000003</v>
      </c>
    </row>
    <row r="1114" spans="1:15" x14ac:dyDescent="0.3">
      <c r="A1114">
        <v>93</v>
      </c>
      <c r="B1114" s="1" t="s">
        <v>15</v>
      </c>
      <c r="C1114">
        <v>3206623.39</v>
      </c>
      <c r="D1114" s="1" t="s">
        <v>2232</v>
      </c>
      <c r="E1114">
        <v>3206623.39</v>
      </c>
      <c r="F1114">
        <v>0</v>
      </c>
      <c r="G1114" s="1" t="s">
        <v>2233</v>
      </c>
      <c r="H1114">
        <v>0</v>
      </c>
      <c r="I1114">
        <v>0</v>
      </c>
      <c r="J1114">
        <v>1</v>
      </c>
      <c r="K1114">
        <v>0</v>
      </c>
      <c r="L1114">
        <v>21</v>
      </c>
      <c r="M1114">
        <v>0</v>
      </c>
      <c r="N1114">
        <v>1</v>
      </c>
      <c r="O1114">
        <v>3206623.39</v>
      </c>
    </row>
    <row r="1115" spans="1:15" x14ac:dyDescent="0.3">
      <c r="A1115">
        <v>93</v>
      </c>
      <c r="B1115" s="1" t="s">
        <v>18</v>
      </c>
      <c r="C1115">
        <v>3206623.39</v>
      </c>
      <c r="D1115" s="1" t="s">
        <v>2234</v>
      </c>
      <c r="E1115">
        <v>3206623.39</v>
      </c>
      <c r="F1115">
        <v>0</v>
      </c>
      <c r="G1115" s="1" t="s">
        <v>2235</v>
      </c>
      <c r="H1115">
        <v>3449811.9</v>
      </c>
      <c r="I1115">
        <v>6965506.6699999999</v>
      </c>
      <c r="J1115">
        <v>1</v>
      </c>
      <c r="K1115">
        <v>0</v>
      </c>
      <c r="L1115">
        <v>21</v>
      </c>
      <c r="M1115">
        <v>0</v>
      </c>
      <c r="N1115">
        <v>1</v>
      </c>
      <c r="O1115">
        <v>3206623.39</v>
      </c>
    </row>
    <row r="1116" spans="1:15" x14ac:dyDescent="0.3">
      <c r="A1116">
        <v>93</v>
      </c>
      <c r="B1116" s="1" t="s">
        <v>15</v>
      </c>
      <c r="C1116">
        <v>315654.19</v>
      </c>
      <c r="D1116" s="1" t="s">
        <v>2236</v>
      </c>
      <c r="E1116">
        <v>315654.19</v>
      </c>
      <c r="F1116">
        <v>0</v>
      </c>
      <c r="G1116" s="1" t="s">
        <v>2237</v>
      </c>
      <c r="H1116">
        <v>0</v>
      </c>
      <c r="I1116">
        <v>0</v>
      </c>
      <c r="J1116">
        <v>1</v>
      </c>
      <c r="K1116">
        <v>0</v>
      </c>
      <c r="L1116">
        <v>21</v>
      </c>
      <c r="M1116">
        <v>0</v>
      </c>
      <c r="N1116">
        <v>1</v>
      </c>
      <c r="O1116">
        <v>315654.19</v>
      </c>
    </row>
    <row r="1117" spans="1:15" x14ac:dyDescent="0.3">
      <c r="A1117">
        <v>93</v>
      </c>
      <c r="B1117" s="1" t="s">
        <v>18</v>
      </c>
      <c r="C1117">
        <v>315654.19</v>
      </c>
      <c r="D1117" s="1" t="s">
        <v>2238</v>
      </c>
      <c r="E1117">
        <v>315654.19</v>
      </c>
      <c r="F1117">
        <v>0</v>
      </c>
      <c r="G1117" s="1" t="s">
        <v>2239</v>
      </c>
      <c r="H1117">
        <v>0</v>
      </c>
      <c r="I1117">
        <v>315654.19</v>
      </c>
      <c r="J1117">
        <v>1</v>
      </c>
      <c r="K1117">
        <v>0</v>
      </c>
      <c r="L1117">
        <v>21</v>
      </c>
      <c r="M1117">
        <v>0</v>
      </c>
      <c r="N1117">
        <v>1</v>
      </c>
      <c r="O1117">
        <v>315654.19</v>
      </c>
    </row>
    <row r="1118" spans="1:15" x14ac:dyDescent="0.3">
      <c r="A1118">
        <v>93</v>
      </c>
      <c r="B1118" s="1" t="s">
        <v>15</v>
      </c>
      <c r="C1118">
        <v>175313.96</v>
      </c>
      <c r="D1118" s="1" t="s">
        <v>2240</v>
      </c>
      <c r="E1118">
        <v>175313.96</v>
      </c>
      <c r="F1118">
        <v>0</v>
      </c>
      <c r="G1118" s="1" t="s">
        <v>2241</v>
      </c>
      <c r="H1118">
        <v>0</v>
      </c>
      <c r="I1118">
        <v>0</v>
      </c>
      <c r="J1118">
        <v>1</v>
      </c>
      <c r="K1118">
        <v>0</v>
      </c>
      <c r="L1118">
        <v>21</v>
      </c>
      <c r="M1118">
        <v>0</v>
      </c>
      <c r="N1118">
        <v>1</v>
      </c>
      <c r="O1118">
        <v>175313.96</v>
      </c>
    </row>
    <row r="1119" spans="1:15" x14ac:dyDescent="0.3">
      <c r="A1119">
        <v>93</v>
      </c>
      <c r="B1119" s="1" t="s">
        <v>18</v>
      </c>
      <c r="C1119">
        <v>175313.96</v>
      </c>
      <c r="D1119" s="1" t="s">
        <v>2242</v>
      </c>
      <c r="E1119">
        <v>175313.96</v>
      </c>
      <c r="F1119">
        <v>0</v>
      </c>
      <c r="G1119" s="1" t="s">
        <v>2243</v>
      </c>
      <c r="H1119">
        <v>2911229.9</v>
      </c>
      <c r="I1119">
        <v>3086543.86</v>
      </c>
      <c r="J1119">
        <v>1</v>
      </c>
      <c r="K1119">
        <v>0</v>
      </c>
      <c r="L1119">
        <v>21</v>
      </c>
      <c r="M1119">
        <v>0</v>
      </c>
      <c r="N1119">
        <v>1</v>
      </c>
      <c r="O1119">
        <v>175313.96</v>
      </c>
    </row>
    <row r="1120" spans="1:15" x14ac:dyDescent="0.3">
      <c r="A1120">
        <v>93</v>
      </c>
      <c r="B1120" s="1" t="s">
        <v>15</v>
      </c>
      <c r="C1120">
        <v>3723738.06</v>
      </c>
      <c r="D1120" s="1" t="s">
        <v>2244</v>
      </c>
      <c r="E1120">
        <v>3723738.06</v>
      </c>
      <c r="F1120">
        <v>0</v>
      </c>
      <c r="G1120" s="1" t="s">
        <v>2245</v>
      </c>
      <c r="H1120">
        <v>0</v>
      </c>
      <c r="I1120">
        <v>0</v>
      </c>
      <c r="J1120">
        <v>1</v>
      </c>
      <c r="K1120">
        <v>0</v>
      </c>
      <c r="L1120">
        <v>21</v>
      </c>
      <c r="M1120">
        <v>0</v>
      </c>
      <c r="N1120">
        <v>1</v>
      </c>
      <c r="O1120">
        <v>3723738.06</v>
      </c>
    </row>
    <row r="1121" spans="1:15" x14ac:dyDescent="0.3">
      <c r="A1121">
        <v>93</v>
      </c>
      <c r="B1121" s="1" t="s">
        <v>18</v>
      </c>
      <c r="C1121">
        <v>3723738.06</v>
      </c>
      <c r="D1121" s="1" t="s">
        <v>2246</v>
      </c>
      <c r="E1121">
        <v>3723738.06</v>
      </c>
      <c r="F1121">
        <v>0</v>
      </c>
      <c r="G1121" s="1" t="s">
        <v>2247</v>
      </c>
      <c r="H1121">
        <v>3216391.21</v>
      </c>
      <c r="I1121">
        <v>6940129.2699999996</v>
      </c>
      <c r="J1121">
        <v>1</v>
      </c>
      <c r="K1121">
        <v>0</v>
      </c>
      <c r="L1121">
        <v>21</v>
      </c>
      <c r="M1121">
        <v>0</v>
      </c>
      <c r="N1121">
        <v>1</v>
      </c>
      <c r="O1121">
        <v>3723738.06</v>
      </c>
    </row>
    <row r="1122" spans="1:15" x14ac:dyDescent="0.3">
      <c r="A1122">
        <v>93</v>
      </c>
      <c r="B1122" s="1" t="s">
        <v>15</v>
      </c>
      <c r="C1122">
        <v>269545.63</v>
      </c>
      <c r="D1122" s="1" t="s">
        <v>2248</v>
      </c>
      <c r="E1122">
        <v>269545.63</v>
      </c>
      <c r="F1122">
        <v>0</v>
      </c>
      <c r="G1122" s="1" t="s">
        <v>2249</v>
      </c>
      <c r="H1122">
        <v>0</v>
      </c>
      <c r="I1122">
        <v>0</v>
      </c>
      <c r="J1122">
        <v>1</v>
      </c>
      <c r="K1122">
        <v>0</v>
      </c>
      <c r="L1122">
        <v>21</v>
      </c>
      <c r="M1122">
        <v>0</v>
      </c>
      <c r="N1122">
        <v>1</v>
      </c>
      <c r="O1122">
        <v>269545.63</v>
      </c>
    </row>
    <row r="1123" spans="1:15" x14ac:dyDescent="0.3">
      <c r="A1123">
        <v>93</v>
      </c>
      <c r="B1123" s="1" t="s">
        <v>18</v>
      </c>
      <c r="C1123">
        <v>269545.63</v>
      </c>
      <c r="D1123" s="1" t="s">
        <v>2250</v>
      </c>
      <c r="E1123">
        <v>269545.63</v>
      </c>
      <c r="F1123">
        <v>0</v>
      </c>
      <c r="G1123" s="1" t="s">
        <v>2251</v>
      </c>
      <c r="H1123">
        <v>905690.55</v>
      </c>
      <c r="I1123">
        <v>1175236.17</v>
      </c>
      <c r="J1123">
        <v>1</v>
      </c>
      <c r="K1123">
        <v>0</v>
      </c>
      <c r="L1123">
        <v>21</v>
      </c>
      <c r="M1123">
        <v>0</v>
      </c>
      <c r="N1123">
        <v>1</v>
      </c>
      <c r="O1123">
        <v>269545.63</v>
      </c>
    </row>
    <row r="1124" spans="1:15" x14ac:dyDescent="0.3">
      <c r="A1124">
        <v>94</v>
      </c>
      <c r="B1124" s="1" t="s">
        <v>15</v>
      </c>
      <c r="C1124">
        <v>2169679.91</v>
      </c>
      <c r="D1124" s="1" t="s">
        <v>2252</v>
      </c>
      <c r="E1124">
        <v>2169679.91</v>
      </c>
      <c r="F1124">
        <v>0</v>
      </c>
      <c r="G1124" s="1" t="s">
        <v>2253</v>
      </c>
      <c r="H1124">
        <v>0</v>
      </c>
      <c r="I1124">
        <v>0</v>
      </c>
      <c r="J1124">
        <v>1</v>
      </c>
      <c r="K1124">
        <v>0</v>
      </c>
      <c r="L1124">
        <v>22</v>
      </c>
      <c r="M1124">
        <v>0</v>
      </c>
      <c r="N1124">
        <v>1</v>
      </c>
      <c r="O1124">
        <v>2169679.91</v>
      </c>
    </row>
    <row r="1125" spans="1:15" x14ac:dyDescent="0.3">
      <c r="A1125">
        <v>94</v>
      </c>
      <c r="B1125" s="1" t="s">
        <v>18</v>
      </c>
      <c r="C1125">
        <v>2169679.91</v>
      </c>
      <c r="D1125" s="1" t="s">
        <v>2254</v>
      </c>
      <c r="E1125">
        <v>2169679.91</v>
      </c>
      <c r="F1125">
        <v>0</v>
      </c>
      <c r="G1125" s="1" t="s">
        <v>2255</v>
      </c>
      <c r="H1125">
        <v>0</v>
      </c>
      <c r="I1125">
        <v>2169679.91</v>
      </c>
      <c r="J1125">
        <v>1</v>
      </c>
      <c r="K1125">
        <v>0</v>
      </c>
      <c r="L1125">
        <v>22</v>
      </c>
      <c r="M1125">
        <v>0</v>
      </c>
      <c r="N1125">
        <v>1</v>
      </c>
      <c r="O1125">
        <v>2169679.91</v>
      </c>
    </row>
    <row r="1126" spans="1:15" x14ac:dyDescent="0.3">
      <c r="A1126">
        <v>94</v>
      </c>
      <c r="B1126" s="1" t="s">
        <v>15</v>
      </c>
      <c r="C1126">
        <v>1454592.61</v>
      </c>
      <c r="D1126" s="1" t="s">
        <v>2256</v>
      </c>
      <c r="E1126">
        <v>1454592.61</v>
      </c>
      <c r="F1126">
        <v>0</v>
      </c>
      <c r="G1126" s="1" t="s">
        <v>2257</v>
      </c>
      <c r="H1126">
        <v>0</v>
      </c>
      <c r="I1126">
        <v>0</v>
      </c>
      <c r="J1126">
        <v>1</v>
      </c>
      <c r="K1126">
        <v>0</v>
      </c>
      <c r="L1126">
        <v>22</v>
      </c>
      <c r="M1126">
        <v>0</v>
      </c>
      <c r="N1126">
        <v>1</v>
      </c>
      <c r="O1126">
        <v>1454592.61</v>
      </c>
    </row>
    <row r="1127" spans="1:15" x14ac:dyDescent="0.3">
      <c r="A1127">
        <v>94</v>
      </c>
      <c r="B1127" s="1" t="s">
        <v>18</v>
      </c>
      <c r="C1127">
        <v>1454592.61</v>
      </c>
      <c r="D1127" s="1" t="s">
        <v>2258</v>
      </c>
      <c r="E1127">
        <v>1454592.61</v>
      </c>
      <c r="F1127">
        <v>0</v>
      </c>
      <c r="G1127" s="1" t="s">
        <v>2259</v>
      </c>
      <c r="H1127">
        <v>264042.92</v>
      </c>
      <c r="I1127">
        <v>1718635.53</v>
      </c>
      <c r="J1127">
        <v>1</v>
      </c>
      <c r="K1127">
        <v>0</v>
      </c>
      <c r="L1127">
        <v>22</v>
      </c>
      <c r="M1127">
        <v>0</v>
      </c>
      <c r="N1127">
        <v>1</v>
      </c>
      <c r="O1127">
        <v>1454592.61</v>
      </c>
    </row>
    <row r="1128" spans="1:15" x14ac:dyDescent="0.3">
      <c r="A1128">
        <v>94</v>
      </c>
      <c r="B1128" s="1" t="s">
        <v>15</v>
      </c>
      <c r="C1128">
        <v>460635.82</v>
      </c>
      <c r="D1128" s="1" t="s">
        <v>2260</v>
      </c>
      <c r="E1128">
        <v>460635.82</v>
      </c>
      <c r="F1128">
        <v>0</v>
      </c>
      <c r="G1128" s="1" t="s">
        <v>2261</v>
      </c>
      <c r="H1128">
        <v>0</v>
      </c>
      <c r="I1128">
        <v>0</v>
      </c>
      <c r="J1128">
        <v>1</v>
      </c>
      <c r="K1128">
        <v>0</v>
      </c>
      <c r="L1128">
        <v>22</v>
      </c>
      <c r="M1128">
        <v>0</v>
      </c>
      <c r="N1128">
        <v>1</v>
      </c>
      <c r="O1128">
        <v>460635.82</v>
      </c>
    </row>
    <row r="1129" spans="1:15" x14ac:dyDescent="0.3">
      <c r="A1129">
        <v>94</v>
      </c>
      <c r="B1129" s="1" t="s">
        <v>18</v>
      </c>
      <c r="C1129">
        <v>460635.82</v>
      </c>
      <c r="D1129" s="1" t="s">
        <v>2262</v>
      </c>
      <c r="E1129">
        <v>460635.82</v>
      </c>
      <c r="F1129">
        <v>0</v>
      </c>
      <c r="G1129" s="1" t="s">
        <v>2263</v>
      </c>
      <c r="H1129">
        <v>544728.68999999994</v>
      </c>
      <c r="I1129">
        <v>1005364.51</v>
      </c>
      <c r="J1129">
        <v>1</v>
      </c>
      <c r="K1129">
        <v>0</v>
      </c>
      <c r="L1129">
        <v>22</v>
      </c>
      <c r="M1129">
        <v>0</v>
      </c>
      <c r="N1129">
        <v>1</v>
      </c>
      <c r="O1129">
        <v>460635.82</v>
      </c>
    </row>
    <row r="1130" spans="1:15" x14ac:dyDescent="0.3">
      <c r="A1130">
        <v>94</v>
      </c>
      <c r="B1130" s="1" t="s">
        <v>15</v>
      </c>
      <c r="C1130">
        <v>2393539.65</v>
      </c>
      <c r="D1130" s="1" t="s">
        <v>2264</v>
      </c>
      <c r="E1130">
        <v>2393539.65</v>
      </c>
      <c r="F1130">
        <v>0</v>
      </c>
      <c r="G1130" s="1" t="s">
        <v>2265</v>
      </c>
      <c r="H1130">
        <v>0</v>
      </c>
      <c r="I1130">
        <v>0</v>
      </c>
      <c r="J1130">
        <v>1</v>
      </c>
      <c r="K1130">
        <v>0</v>
      </c>
      <c r="L1130">
        <v>22</v>
      </c>
      <c r="M1130">
        <v>0</v>
      </c>
      <c r="N1130">
        <v>1</v>
      </c>
      <c r="O1130">
        <v>2393539.65</v>
      </c>
    </row>
    <row r="1131" spans="1:15" x14ac:dyDescent="0.3">
      <c r="A1131">
        <v>94</v>
      </c>
      <c r="B1131" s="1" t="s">
        <v>18</v>
      </c>
      <c r="C1131">
        <v>2393539.65</v>
      </c>
      <c r="D1131" s="1" t="s">
        <v>2266</v>
      </c>
      <c r="E1131">
        <v>2393539.65</v>
      </c>
      <c r="F1131">
        <v>0</v>
      </c>
      <c r="G1131" s="1" t="s">
        <v>2267</v>
      </c>
      <c r="H1131">
        <v>5157128.07</v>
      </c>
      <c r="I1131">
        <v>7550667.7300000004</v>
      </c>
      <c r="J1131">
        <v>1</v>
      </c>
      <c r="K1131">
        <v>0</v>
      </c>
      <c r="L1131">
        <v>22</v>
      </c>
      <c r="M1131">
        <v>0</v>
      </c>
      <c r="N1131">
        <v>1</v>
      </c>
      <c r="O1131">
        <v>2393539.65</v>
      </c>
    </row>
    <row r="1132" spans="1:15" x14ac:dyDescent="0.3">
      <c r="A1132">
        <v>94</v>
      </c>
      <c r="B1132" s="1" t="s">
        <v>15</v>
      </c>
      <c r="C1132">
        <v>445257.43</v>
      </c>
      <c r="D1132" s="1" t="s">
        <v>2268</v>
      </c>
      <c r="E1132">
        <v>445257.43</v>
      </c>
      <c r="F1132">
        <v>0</v>
      </c>
      <c r="G1132" s="1" t="s">
        <v>2269</v>
      </c>
      <c r="H1132">
        <v>0</v>
      </c>
      <c r="I1132">
        <v>0</v>
      </c>
      <c r="J1132">
        <v>1</v>
      </c>
      <c r="K1132">
        <v>0</v>
      </c>
      <c r="L1132">
        <v>22</v>
      </c>
      <c r="M1132">
        <v>0</v>
      </c>
      <c r="N1132">
        <v>1</v>
      </c>
      <c r="O1132">
        <v>445257.43</v>
      </c>
    </row>
    <row r="1133" spans="1:15" x14ac:dyDescent="0.3">
      <c r="A1133">
        <v>94</v>
      </c>
      <c r="B1133" s="1" t="s">
        <v>18</v>
      </c>
      <c r="C1133">
        <v>445257.43</v>
      </c>
      <c r="D1133" s="1" t="s">
        <v>2270</v>
      </c>
      <c r="E1133">
        <v>445257.43</v>
      </c>
      <c r="F1133">
        <v>0</v>
      </c>
      <c r="G1133" s="1" t="s">
        <v>2271</v>
      </c>
      <c r="H1133">
        <v>0</v>
      </c>
      <c r="I1133">
        <v>445257.43</v>
      </c>
      <c r="J1133">
        <v>1</v>
      </c>
      <c r="K1133">
        <v>0</v>
      </c>
      <c r="L1133">
        <v>22</v>
      </c>
      <c r="M1133">
        <v>0</v>
      </c>
      <c r="N1133">
        <v>1</v>
      </c>
      <c r="O1133">
        <v>445257.43</v>
      </c>
    </row>
    <row r="1134" spans="1:15" x14ac:dyDescent="0.3">
      <c r="A1134">
        <v>94</v>
      </c>
      <c r="B1134" s="1" t="s">
        <v>15</v>
      </c>
      <c r="C1134">
        <v>363378.75</v>
      </c>
      <c r="D1134" s="1" t="s">
        <v>2272</v>
      </c>
      <c r="E1134">
        <v>363378.75</v>
      </c>
      <c r="F1134">
        <v>0</v>
      </c>
      <c r="G1134" s="1" t="s">
        <v>2273</v>
      </c>
      <c r="H1134">
        <v>0</v>
      </c>
      <c r="I1134">
        <v>0</v>
      </c>
      <c r="J1134">
        <v>1</v>
      </c>
      <c r="K1134">
        <v>0</v>
      </c>
      <c r="L1134">
        <v>22</v>
      </c>
      <c r="M1134">
        <v>0</v>
      </c>
      <c r="N1134">
        <v>1</v>
      </c>
      <c r="O1134">
        <v>363378.75</v>
      </c>
    </row>
    <row r="1135" spans="1:15" x14ac:dyDescent="0.3">
      <c r="A1135">
        <v>94</v>
      </c>
      <c r="B1135" s="1" t="s">
        <v>18</v>
      </c>
      <c r="C1135">
        <v>363378.75</v>
      </c>
      <c r="D1135" s="1" t="s">
        <v>2274</v>
      </c>
      <c r="E1135">
        <v>363378.75</v>
      </c>
      <c r="F1135">
        <v>0</v>
      </c>
      <c r="G1135" s="1" t="s">
        <v>2275</v>
      </c>
      <c r="H1135">
        <v>3609871.44</v>
      </c>
      <c r="I1135">
        <v>3973250.18</v>
      </c>
      <c r="J1135">
        <v>1</v>
      </c>
      <c r="K1135">
        <v>0</v>
      </c>
      <c r="L1135">
        <v>22</v>
      </c>
      <c r="M1135">
        <v>0</v>
      </c>
      <c r="N1135">
        <v>1</v>
      </c>
      <c r="O1135">
        <v>363378.75</v>
      </c>
    </row>
    <row r="1136" spans="1:15" x14ac:dyDescent="0.3">
      <c r="A1136">
        <v>95</v>
      </c>
      <c r="B1136" s="1" t="s">
        <v>15</v>
      </c>
      <c r="C1136">
        <v>655676.97</v>
      </c>
      <c r="D1136" s="1" t="s">
        <v>2276</v>
      </c>
      <c r="E1136">
        <v>655676.97</v>
      </c>
      <c r="F1136">
        <v>0</v>
      </c>
      <c r="G1136" s="1" t="s">
        <v>2277</v>
      </c>
      <c r="H1136">
        <v>0</v>
      </c>
      <c r="I1136">
        <v>0</v>
      </c>
      <c r="J1136">
        <v>1</v>
      </c>
      <c r="K1136">
        <v>0</v>
      </c>
      <c r="L1136">
        <v>23</v>
      </c>
      <c r="M1136">
        <v>0</v>
      </c>
      <c r="N1136">
        <v>1</v>
      </c>
      <c r="O1136">
        <v>655676.97</v>
      </c>
    </row>
    <row r="1137" spans="1:15" x14ac:dyDescent="0.3">
      <c r="A1137">
        <v>95</v>
      </c>
      <c r="B1137" s="1" t="s">
        <v>18</v>
      </c>
      <c r="C1137">
        <v>655676.97</v>
      </c>
      <c r="D1137" s="1" t="s">
        <v>2278</v>
      </c>
      <c r="E1137">
        <v>655676.97</v>
      </c>
      <c r="F1137">
        <v>0</v>
      </c>
      <c r="G1137" s="1" t="s">
        <v>2279</v>
      </c>
      <c r="H1137">
        <v>53614.28</v>
      </c>
      <c r="I1137">
        <v>709291.25</v>
      </c>
      <c r="J1137">
        <v>1</v>
      </c>
      <c r="K1137">
        <v>0</v>
      </c>
      <c r="L1137">
        <v>23</v>
      </c>
      <c r="M1137">
        <v>0</v>
      </c>
      <c r="N1137">
        <v>1</v>
      </c>
      <c r="O1137">
        <v>655676.97</v>
      </c>
    </row>
    <row r="1138" spans="1:15" x14ac:dyDescent="0.3">
      <c r="A1138">
        <v>95</v>
      </c>
      <c r="B1138" s="1" t="s">
        <v>15</v>
      </c>
      <c r="C1138">
        <v>56745.14</v>
      </c>
      <c r="D1138" s="1" t="s">
        <v>2280</v>
      </c>
      <c r="E1138">
        <v>56745.14</v>
      </c>
      <c r="F1138">
        <v>0</v>
      </c>
      <c r="G1138" s="1" t="s">
        <v>2281</v>
      </c>
      <c r="H1138">
        <v>0</v>
      </c>
      <c r="I1138">
        <v>0</v>
      </c>
      <c r="J1138">
        <v>1</v>
      </c>
      <c r="K1138">
        <v>0</v>
      </c>
      <c r="L1138">
        <v>23</v>
      </c>
      <c r="M1138">
        <v>0</v>
      </c>
      <c r="N1138">
        <v>1</v>
      </c>
      <c r="O1138">
        <v>56745.14</v>
      </c>
    </row>
    <row r="1139" spans="1:15" x14ac:dyDescent="0.3">
      <c r="A1139">
        <v>95</v>
      </c>
      <c r="B1139" s="1" t="s">
        <v>18</v>
      </c>
      <c r="C1139">
        <v>56745.14</v>
      </c>
      <c r="D1139" s="1" t="s">
        <v>2282</v>
      </c>
      <c r="E1139">
        <v>56745.14</v>
      </c>
      <c r="F1139">
        <v>0</v>
      </c>
      <c r="G1139" s="1" t="s">
        <v>2283</v>
      </c>
      <c r="H1139">
        <v>51433.88</v>
      </c>
      <c r="I1139">
        <v>108179.02</v>
      </c>
      <c r="J1139">
        <v>1</v>
      </c>
      <c r="K1139">
        <v>0</v>
      </c>
      <c r="L1139">
        <v>23</v>
      </c>
      <c r="M1139">
        <v>0</v>
      </c>
      <c r="N1139">
        <v>1</v>
      </c>
      <c r="O1139">
        <v>56745.14</v>
      </c>
    </row>
    <row r="1140" spans="1:15" x14ac:dyDescent="0.3">
      <c r="A1140">
        <v>95</v>
      </c>
      <c r="B1140" s="1" t="s">
        <v>15</v>
      </c>
      <c r="C1140">
        <v>33676.589999999997</v>
      </c>
      <c r="D1140" s="1" t="s">
        <v>2284</v>
      </c>
      <c r="E1140">
        <v>33676.589999999997</v>
      </c>
      <c r="F1140">
        <v>0</v>
      </c>
      <c r="G1140" s="1" t="s">
        <v>2285</v>
      </c>
      <c r="H1140">
        <v>0</v>
      </c>
      <c r="I1140">
        <v>0</v>
      </c>
      <c r="J1140">
        <v>1</v>
      </c>
      <c r="K1140">
        <v>0</v>
      </c>
      <c r="L1140">
        <v>23</v>
      </c>
      <c r="M1140">
        <v>0</v>
      </c>
      <c r="N1140">
        <v>1</v>
      </c>
      <c r="O1140">
        <v>33676.589999999997</v>
      </c>
    </row>
    <row r="1141" spans="1:15" x14ac:dyDescent="0.3">
      <c r="A1141">
        <v>95</v>
      </c>
      <c r="B1141" s="1" t="s">
        <v>18</v>
      </c>
      <c r="C1141">
        <v>33676.589999999997</v>
      </c>
      <c r="D1141" s="1" t="s">
        <v>2286</v>
      </c>
      <c r="E1141">
        <v>33676.589999999997</v>
      </c>
      <c r="F1141">
        <v>0</v>
      </c>
      <c r="G1141" s="1" t="s">
        <v>2287</v>
      </c>
      <c r="H1141">
        <v>0</v>
      </c>
      <c r="I1141">
        <v>33676.589999999997</v>
      </c>
      <c r="J1141">
        <v>1</v>
      </c>
      <c r="K1141">
        <v>0</v>
      </c>
      <c r="L1141">
        <v>23</v>
      </c>
      <c r="M1141">
        <v>0</v>
      </c>
      <c r="N1141">
        <v>1</v>
      </c>
      <c r="O1141">
        <v>33676.589999999997</v>
      </c>
    </row>
    <row r="1142" spans="1:15" x14ac:dyDescent="0.3">
      <c r="A1142">
        <v>95</v>
      </c>
      <c r="B1142" s="1" t="s">
        <v>15</v>
      </c>
      <c r="C1142">
        <v>87999.25</v>
      </c>
      <c r="D1142" s="1" t="s">
        <v>2288</v>
      </c>
      <c r="E1142">
        <v>87999.25</v>
      </c>
      <c r="F1142">
        <v>0</v>
      </c>
      <c r="G1142" s="1" t="s">
        <v>2289</v>
      </c>
      <c r="H1142">
        <v>0</v>
      </c>
      <c r="I1142">
        <v>0</v>
      </c>
      <c r="J1142">
        <v>1</v>
      </c>
      <c r="K1142">
        <v>0</v>
      </c>
      <c r="L1142">
        <v>23</v>
      </c>
      <c r="M1142">
        <v>0</v>
      </c>
      <c r="N1142">
        <v>1</v>
      </c>
      <c r="O1142">
        <v>87999.25</v>
      </c>
    </row>
    <row r="1143" spans="1:15" x14ac:dyDescent="0.3">
      <c r="A1143">
        <v>95</v>
      </c>
      <c r="B1143" s="1" t="s">
        <v>18</v>
      </c>
      <c r="C1143">
        <v>87999.25</v>
      </c>
      <c r="D1143" s="1" t="s">
        <v>2290</v>
      </c>
      <c r="E1143">
        <v>87999.25</v>
      </c>
      <c r="F1143">
        <v>0</v>
      </c>
      <c r="G1143" s="1" t="s">
        <v>827</v>
      </c>
      <c r="H1143">
        <v>0</v>
      </c>
      <c r="I1143">
        <v>87999.25</v>
      </c>
      <c r="J1143">
        <v>1</v>
      </c>
      <c r="K1143">
        <v>0</v>
      </c>
      <c r="L1143">
        <v>23</v>
      </c>
      <c r="M1143">
        <v>0</v>
      </c>
      <c r="N1143">
        <v>1</v>
      </c>
      <c r="O1143">
        <v>87999.25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47902-595D-4B13-BBC5-B45FE3DBDDE6}">
  <dimension ref="A1:E6"/>
  <sheetViews>
    <sheetView workbookViewId="0"/>
  </sheetViews>
  <sheetFormatPr defaultRowHeight="14.4" x14ac:dyDescent="0.3"/>
  <cols>
    <col min="1" max="1" width="10" bestFit="1" customWidth="1"/>
    <col min="2" max="2" width="13" bestFit="1" customWidth="1"/>
    <col min="3" max="3" width="13.6640625" bestFit="1" customWidth="1"/>
    <col min="4" max="4" width="15.88671875" bestFit="1" customWidth="1"/>
    <col min="5" max="5" width="13.88671875" bestFit="1" customWidth="1"/>
  </cols>
  <sheetData>
    <row r="1" spans="1:5" x14ac:dyDescent="0.3">
      <c r="A1" t="s">
        <v>1</v>
      </c>
      <c r="B1" t="s">
        <v>2291</v>
      </c>
      <c r="C1" t="s">
        <v>2292</v>
      </c>
      <c r="D1" t="s">
        <v>2293</v>
      </c>
      <c r="E1" t="s">
        <v>2294</v>
      </c>
    </row>
    <row r="2" spans="1:5" x14ac:dyDescent="0.3">
      <c r="A2" s="1" t="s">
        <v>18</v>
      </c>
      <c r="B2">
        <v>373641</v>
      </c>
      <c r="C2">
        <v>578</v>
      </c>
      <c r="D2">
        <v>0.1547</v>
      </c>
      <c r="E2">
        <v>184039.59</v>
      </c>
    </row>
    <row r="3" spans="1:5" x14ac:dyDescent="0.3">
      <c r="A3" s="1" t="s">
        <v>15</v>
      </c>
      <c r="B3">
        <v>86753</v>
      </c>
      <c r="C3">
        <v>564</v>
      </c>
      <c r="D3">
        <v>0.65010000000000001</v>
      </c>
      <c r="E3">
        <v>634403.82999999996</v>
      </c>
    </row>
    <row r="4" spans="1:5" x14ac:dyDescent="0.3">
      <c r="A4" s="1" t="s">
        <v>2295</v>
      </c>
      <c r="B4">
        <v>353873</v>
      </c>
      <c r="C4">
        <v>0</v>
      </c>
      <c r="D4">
        <v>0</v>
      </c>
      <c r="E4">
        <v>11122.91</v>
      </c>
    </row>
    <row r="5" spans="1:5" x14ac:dyDescent="0.3">
      <c r="A5" s="1" t="s">
        <v>2296</v>
      </c>
      <c r="B5">
        <v>7178</v>
      </c>
      <c r="C5">
        <v>0</v>
      </c>
      <c r="D5">
        <v>0</v>
      </c>
      <c r="E5">
        <v>5878.52</v>
      </c>
    </row>
    <row r="6" spans="1:5" x14ac:dyDescent="0.3">
      <c r="A6" s="1" t="s">
        <v>2297</v>
      </c>
      <c r="B6">
        <v>227130</v>
      </c>
      <c r="C6">
        <v>0</v>
      </c>
      <c r="D6">
        <v>0</v>
      </c>
      <c r="E6">
        <v>169923.65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FB08D-008F-4518-9951-CC00D284FE30}">
  <dimension ref="A1:E25"/>
  <sheetViews>
    <sheetView workbookViewId="0"/>
  </sheetViews>
  <sheetFormatPr defaultRowHeight="14.4" x14ac:dyDescent="0.3"/>
  <cols>
    <col min="1" max="1" width="14.109375" bestFit="1" customWidth="1"/>
    <col min="2" max="2" width="18.44140625" bestFit="1" customWidth="1"/>
    <col min="3" max="3" width="13.6640625" bestFit="1" customWidth="1"/>
    <col min="4" max="4" width="15.88671875" bestFit="1" customWidth="1"/>
    <col min="5" max="5" width="20.44140625" bestFit="1" customWidth="1"/>
  </cols>
  <sheetData>
    <row r="1" spans="1:5" x14ac:dyDescent="0.3">
      <c r="A1" t="s">
        <v>11</v>
      </c>
      <c r="B1" t="s">
        <v>2298</v>
      </c>
      <c r="C1" t="s">
        <v>2292</v>
      </c>
      <c r="D1" t="s">
        <v>2293</v>
      </c>
      <c r="E1" t="s">
        <v>2299</v>
      </c>
    </row>
    <row r="2" spans="1:5" x14ac:dyDescent="0.3">
      <c r="A2">
        <v>0</v>
      </c>
      <c r="B2">
        <v>8923</v>
      </c>
      <c r="C2">
        <v>30</v>
      </c>
      <c r="D2">
        <v>0.3362</v>
      </c>
      <c r="E2">
        <v>30</v>
      </c>
    </row>
    <row r="3" spans="1:5" x14ac:dyDescent="0.3">
      <c r="A3">
        <v>1</v>
      </c>
      <c r="B3">
        <v>5078</v>
      </c>
      <c r="C3">
        <v>46</v>
      </c>
      <c r="D3">
        <v>0.90590000000000004</v>
      </c>
      <c r="E3">
        <v>76</v>
      </c>
    </row>
    <row r="4" spans="1:5" x14ac:dyDescent="0.3">
      <c r="A4">
        <v>2</v>
      </c>
      <c r="B4">
        <v>1482</v>
      </c>
      <c r="C4">
        <v>48</v>
      </c>
      <c r="D4">
        <v>3.2389000000000001</v>
      </c>
      <c r="E4">
        <v>124</v>
      </c>
    </row>
    <row r="5" spans="1:5" x14ac:dyDescent="0.3">
      <c r="A5">
        <v>3</v>
      </c>
      <c r="B5">
        <v>615</v>
      </c>
      <c r="C5">
        <v>34</v>
      </c>
      <c r="D5">
        <v>5.5285000000000002</v>
      </c>
      <c r="E5">
        <v>158</v>
      </c>
    </row>
    <row r="6" spans="1:5" x14ac:dyDescent="0.3">
      <c r="A6">
        <v>4</v>
      </c>
      <c r="B6">
        <v>581</v>
      </c>
      <c r="C6">
        <v>26</v>
      </c>
      <c r="D6">
        <v>4.4749999999999996</v>
      </c>
      <c r="E6">
        <v>184</v>
      </c>
    </row>
    <row r="7" spans="1:5" x14ac:dyDescent="0.3">
      <c r="A7">
        <v>5</v>
      </c>
      <c r="B7">
        <v>689</v>
      </c>
      <c r="C7">
        <v>30</v>
      </c>
      <c r="D7">
        <v>4.3540999999999999</v>
      </c>
      <c r="E7">
        <v>214</v>
      </c>
    </row>
    <row r="8" spans="1:5" x14ac:dyDescent="0.3">
      <c r="A8">
        <v>6</v>
      </c>
      <c r="B8">
        <v>1682</v>
      </c>
      <c r="C8">
        <v>44</v>
      </c>
      <c r="D8">
        <v>2.6158999999999999</v>
      </c>
      <c r="E8">
        <v>258</v>
      </c>
    </row>
    <row r="9" spans="1:5" x14ac:dyDescent="0.3">
      <c r="A9">
        <v>7</v>
      </c>
      <c r="B9">
        <v>6871</v>
      </c>
      <c r="C9">
        <v>46</v>
      </c>
      <c r="D9">
        <v>0.66949999999999998</v>
      </c>
      <c r="E9">
        <v>304</v>
      </c>
    </row>
    <row r="10" spans="1:5" x14ac:dyDescent="0.3">
      <c r="A10">
        <v>8</v>
      </c>
      <c r="B10">
        <v>21137</v>
      </c>
      <c r="C10">
        <v>52</v>
      </c>
      <c r="D10">
        <v>0.246</v>
      </c>
      <c r="E10">
        <v>356</v>
      </c>
    </row>
    <row r="11" spans="1:5" x14ac:dyDescent="0.3">
      <c r="A11">
        <v>9</v>
      </c>
      <c r="B11">
        <v>61260</v>
      </c>
      <c r="C11">
        <v>47</v>
      </c>
      <c r="D11">
        <v>7.6700000000000004E-2</v>
      </c>
      <c r="E11">
        <v>403</v>
      </c>
    </row>
    <row r="12" spans="1:5" x14ac:dyDescent="0.3">
      <c r="A12">
        <v>10</v>
      </c>
      <c r="B12">
        <v>66925</v>
      </c>
      <c r="C12">
        <v>63</v>
      </c>
      <c r="D12">
        <v>9.4100000000000003E-2</v>
      </c>
      <c r="E12">
        <v>466</v>
      </c>
    </row>
    <row r="13" spans="1:5" x14ac:dyDescent="0.3">
      <c r="A13">
        <v>11</v>
      </c>
      <c r="B13">
        <v>66430</v>
      </c>
      <c r="C13">
        <v>54</v>
      </c>
      <c r="D13">
        <v>8.1299999999999997E-2</v>
      </c>
      <c r="E13">
        <v>520</v>
      </c>
    </row>
    <row r="14" spans="1:5" x14ac:dyDescent="0.3">
      <c r="A14">
        <v>12</v>
      </c>
      <c r="B14">
        <v>75955</v>
      </c>
      <c r="C14">
        <v>61</v>
      </c>
      <c r="D14">
        <v>8.0299999999999996E-2</v>
      </c>
      <c r="E14">
        <v>581</v>
      </c>
    </row>
    <row r="15" spans="1:5" x14ac:dyDescent="0.3">
      <c r="A15">
        <v>13</v>
      </c>
      <c r="B15">
        <v>71543</v>
      </c>
      <c r="C15">
        <v>55</v>
      </c>
      <c r="D15">
        <v>7.6899999999999996E-2</v>
      </c>
      <c r="E15">
        <v>636</v>
      </c>
    </row>
    <row r="16" spans="1:5" x14ac:dyDescent="0.3">
      <c r="A16">
        <v>14</v>
      </c>
      <c r="B16">
        <v>72964</v>
      </c>
      <c r="C16">
        <v>54</v>
      </c>
      <c r="D16">
        <v>7.3999999999999996E-2</v>
      </c>
      <c r="E16">
        <v>690</v>
      </c>
    </row>
    <row r="17" spans="1:5" x14ac:dyDescent="0.3">
      <c r="A17">
        <v>15</v>
      </c>
      <c r="B17">
        <v>68014</v>
      </c>
      <c r="C17">
        <v>46</v>
      </c>
      <c r="D17">
        <v>6.7599999999999993E-2</v>
      </c>
      <c r="E17">
        <v>736</v>
      </c>
    </row>
    <row r="18" spans="1:5" x14ac:dyDescent="0.3">
      <c r="A18">
        <v>16</v>
      </c>
      <c r="B18">
        <v>76767</v>
      </c>
      <c r="C18">
        <v>50</v>
      </c>
      <c r="D18">
        <v>6.5100000000000005E-2</v>
      </c>
      <c r="E18">
        <v>786</v>
      </c>
    </row>
    <row r="19" spans="1:5" x14ac:dyDescent="0.3">
      <c r="A19">
        <v>17</v>
      </c>
      <c r="B19">
        <v>79735</v>
      </c>
      <c r="C19">
        <v>45</v>
      </c>
      <c r="D19">
        <v>5.6399999999999999E-2</v>
      </c>
      <c r="E19">
        <v>831</v>
      </c>
    </row>
    <row r="20" spans="1:5" x14ac:dyDescent="0.3">
      <c r="A20">
        <v>18</v>
      </c>
      <c r="B20">
        <v>90923</v>
      </c>
      <c r="C20">
        <v>70</v>
      </c>
      <c r="D20">
        <v>7.6999999999999999E-2</v>
      </c>
      <c r="E20">
        <v>901</v>
      </c>
    </row>
    <row r="21" spans="1:5" x14ac:dyDescent="0.3">
      <c r="A21">
        <v>19</v>
      </c>
      <c r="B21">
        <v>96426</v>
      </c>
      <c r="C21">
        <v>38</v>
      </c>
      <c r="D21">
        <v>3.9399999999999998E-2</v>
      </c>
      <c r="E21">
        <v>939</v>
      </c>
    </row>
    <row r="22" spans="1:5" x14ac:dyDescent="0.3">
      <c r="A22">
        <v>20</v>
      </c>
      <c r="B22">
        <v>79176</v>
      </c>
      <c r="C22">
        <v>40</v>
      </c>
      <c r="D22">
        <v>5.0500000000000003E-2</v>
      </c>
      <c r="E22">
        <v>979</v>
      </c>
    </row>
    <row r="23" spans="1:5" x14ac:dyDescent="0.3">
      <c r="A23">
        <v>21</v>
      </c>
      <c r="B23">
        <v>42116</v>
      </c>
      <c r="C23">
        <v>57</v>
      </c>
      <c r="D23">
        <v>0.1353</v>
      </c>
      <c r="E23">
        <v>1036</v>
      </c>
    </row>
    <row r="24" spans="1:5" x14ac:dyDescent="0.3">
      <c r="A24">
        <v>22</v>
      </c>
      <c r="B24">
        <v>35458</v>
      </c>
      <c r="C24">
        <v>55</v>
      </c>
      <c r="D24">
        <v>0.15509999999999999</v>
      </c>
      <c r="E24">
        <v>1091</v>
      </c>
    </row>
    <row r="25" spans="1:5" x14ac:dyDescent="0.3">
      <c r="A25">
        <v>23</v>
      </c>
      <c r="B25">
        <v>17825</v>
      </c>
      <c r="C25">
        <v>51</v>
      </c>
      <c r="D25">
        <v>0.28610000000000002</v>
      </c>
      <c r="E25">
        <v>1142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8D7BB-32FE-4DB0-863F-0D536A1DD753}">
  <dimension ref="A1:U1143"/>
  <sheetViews>
    <sheetView topLeftCell="I1113" workbookViewId="0">
      <selection sqref="A1:U1143"/>
    </sheetView>
  </sheetViews>
  <sheetFormatPr defaultRowHeight="14.4" x14ac:dyDescent="0.3"/>
  <cols>
    <col min="1" max="1" width="11.5546875" bestFit="1" customWidth="1"/>
    <col min="6" max="6" width="12.77734375" bestFit="1" customWidth="1"/>
    <col min="7" max="7" width="8.5546875" bestFit="1" customWidth="1"/>
    <col min="8" max="8" width="13.109375" bestFit="1" customWidth="1"/>
    <col min="9" max="9" width="12.33203125" customWidth="1"/>
    <col min="10" max="10" width="10.33203125" customWidth="1"/>
    <col min="13" max="13" width="15.33203125" bestFit="1" customWidth="1"/>
    <col min="14" max="14" width="12.44140625" bestFit="1" customWidth="1"/>
    <col min="15" max="15" width="18.44140625" bestFit="1" customWidth="1"/>
    <col min="16" max="16" width="13.109375" bestFit="1" customWidth="1"/>
    <col min="17" max="17" width="10.44140625" bestFit="1" customWidth="1"/>
    <col min="18" max="18" width="9.441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2300</v>
      </c>
      <c r="Q1" t="s">
        <v>2302</v>
      </c>
      <c r="R1" t="s">
        <v>2301</v>
      </c>
      <c r="S1" t="s">
        <v>2303</v>
      </c>
    </row>
    <row r="2" spans="1:21" x14ac:dyDescent="0.3">
      <c r="A2">
        <v>1</v>
      </c>
      <c r="B2" t="s">
        <v>15</v>
      </c>
      <c r="C2">
        <v>181</v>
      </c>
      <c r="D2" t="s">
        <v>16</v>
      </c>
      <c r="E2">
        <v>181</v>
      </c>
      <c r="F2">
        <v>0</v>
      </c>
      <c r="G2" t="s">
        <v>17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181</v>
      </c>
      <c r="P2">
        <f>IF(C2&gt;=200000,5,IF(C2&gt;=100000,4,IF(C2&gt;=50000,3,IF(C2&gt;=10000,2,1))))</f>
        <v>1</v>
      </c>
      <c r="Q2">
        <f>IF(B2="TRANSFER",5,IF(B2="CASH_OUT",4,IF(B2="DEBIT",2,1)))</f>
        <v>5</v>
      </c>
      <c r="R2">
        <f>(P2*0.5)+(Q2*0.3)+(N2*0.1)+(M2*0.1)</f>
        <v>2.1</v>
      </c>
      <c r="S2" t="str">
        <f>IF(R2&gt;=3,"HIGH",IF(R2&gt;=2,"MEDIUM","LOW"))</f>
        <v>MEDIUM</v>
      </c>
      <c r="T2" t="s">
        <v>2304</v>
      </c>
      <c r="U2">
        <f>COUNTIF(S:S,"HIGH")</f>
        <v>875</v>
      </c>
    </row>
    <row r="3" spans="1:21" x14ac:dyDescent="0.3">
      <c r="A3">
        <v>1</v>
      </c>
      <c r="B3" t="s">
        <v>18</v>
      </c>
      <c r="C3">
        <v>181</v>
      </c>
      <c r="D3" t="s">
        <v>19</v>
      </c>
      <c r="E3">
        <v>181</v>
      </c>
      <c r="F3">
        <v>0</v>
      </c>
      <c r="G3" t="s">
        <v>20</v>
      </c>
      <c r="H3">
        <v>21182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181</v>
      </c>
      <c r="P3">
        <f>IF(C3&gt;=200000,5,IF(C3&gt;=100000,4,IF(C3&gt;=50000,3,IF(C3&gt;=10000,2,1))))</f>
        <v>1</v>
      </c>
      <c r="Q3">
        <f>IF(B3="TRANSFER",5,IF(B3="CASH_OUT",4,IF(B3="DEBIT",2,1)))</f>
        <v>4</v>
      </c>
      <c r="R3">
        <f>(P3*0.5)+(Q3*0.3)+(N3*0.1)+(M3*0.1)</f>
        <v>1.8</v>
      </c>
      <c r="S3" t="str">
        <f t="shared" ref="S3:S66" si="0">IF(R3&gt;=3,"HIGH",IF(R3&gt;=2,"MEDIUM","LOW"))</f>
        <v>LOW</v>
      </c>
      <c r="T3" t="s">
        <v>2305</v>
      </c>
      <c r="U3">
        <f>COUNTIF(S:S,"MEDIUM")</f>
        <v>239</v>
      </c>
    </row>
    <row r="4" spans="1:21" x14ac:dyDescent="0.3">
      <c r="A4">
        <v>1</v>
      </c>
      <c r="B4" t="s">
        <v>15</v>
      </c>
      <c r="C4">
        <v>2806</v>
      </c>
      <c r="D4" t="s">
        <v>21</v>
      </c>
      <c r="E4">
        <v>2806</v>
      </c>
      <c r="F4">
        <v>0</v>
      </c>
      <c r="G4" t="s">
        <v>22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2806</v>
      </c>
      <c r="P4">
        <f>IF(C4&gt;=200000,5,IF(C4&gt;=100000,4,IF(C4&gt;=50000,3,IF(C4&gt;=10000,2,1))))</f>
        <v>1</v>
      </c>
      <c r="Q4">
        <f>IF(B4="TRANSFER",5,IF(B4="CASH_OUT",4,IF(B4="DEBIT",2,1)))</f>
        <v>5</v>
      </c>
      <c r="R4">
        <f>(P4*0.5)+(Q4*0.3)+(N4*0.1)+(M4*0.1)</f>
        <v>2.1</v>
      </c>
      <c r="S4" t="str">
        <f t="shared" si="0"/>
        <v>MEDIUM</v>
      </c>
      <c r="T4" t="s">
        <v>2306</v>
      </c>
      <c r="U4">
        <f>COUNTIF(S:S,"LOW")</f>
        <v>28</v>
      </c>
    </row>
    <row r="5" spans="1:21" x14ac:dyDescent="0.3">
      <c r="A5">
        <v>1</v>
      </c>
      <c r="B5" t="s">
        <v>18</v>
      </c>
      <c r="C5">
        <v>2806</v>
      </c>
      <c r="D5" t="s">
        <v>23</v>
      </c>
      <c r="E5">
        <v>2806</v>
      </c>
      <c r="F5">
        <v>0</v>
      </c>
      <c r="G5" t="s">
        <v>24</v>
      </c>
      <c r="H5">
        <v>26202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2806</v>
      </c>
      <c r="P5">
        <f>IF(C5&gt;=200000,5,IF(C5&gt;=100000,4,IF(C5&gt;=50000,3,IF(C5&gt;=10000,2,1))))</f>
        <v>1</v>
      </c>
      <c r="Q5">
        <f>IF(B5="TRANSFER",5,IF(B5="CASH_OUT",4,IF(B5="DEBIT",2,1)))</f>
        <v>4</v>
      </c>
      <c r="R5">
        <f>(P5*0.5)+(Q5*0.3)+(N5*0.1)+(M5*0.1)</f>
        <v>1.8</v>
      </c>
      <c r="S5" t="str">
        <f t="shared" si="0"/>
        <v>LOW</v>
      </c>
    </row>
    <row r="6" spans="1:21" x14ac:dyDescent="0.3">
      <c r="A6">
        <v>1</v>
      </c>
      <c r="B6" t="s">
        <v>15</v>
      </c>
      <c r="C6">
        <v>20128</v>
      </c>
      <c r="D6" t="s">
        <v>25</v>
      </c>
      <c r="E6">
        <v>20128</v>
      </c>
      <c r="F6">
        <v>0</v>
      </c>
      <c r="G6" t="s">
        <v>26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20128</v>
      </c>
      <c r="P6">
        <f>IF(C6&gt;=200000,5,IF(C6&gt;=100000,4,IF(C6&gt;=50000,3,IF(C6&gt;=10000,2,1))))</f>
        <v>2</v>
      </c>
      <c r="Q6">
        <f>IF(B6="TRANSFER",5,IF(B6="CASH_OUT",4,IF(B6="DEBIT",2,1)))</f>
        <v>5</v>
      </c>
      <c r="R6">
        <f>(P6*0.5)+(Q6*0.3)+(N6*0.1)+(M6*0.1)</f>
        <v>2.6</v>
      </c>
      <c r="S6" t="str">
        <f t="shared" si="0"/>
        <v>MEDIUM</v>
      </c>
    </row>
    <row r="7" spans="1:21" x14ac:dyDescent="0.3">
      <c r="A7">
        <v>1</v>
      </c>
      <c r="B7" t="s">
        <v>18</v>
      </c>
      <c r="C7">
        <v>20128</v>
      </c>
      <c r="D7" t="s">
        <v>27</v>
      </c>
      <c r="E7">
        <v>20128</v>
      </c>
      <c r="F7">
        <v>0</v>
      </c>
      <c r="G7" t="s">
        <v>28</v>
      </c>
      <c r="H7">
        <v>6268</v>
      </c>
      <c r="I7">
        <v>12145.85</v>
      </c>
      <c r="J7">
        <v>1</v>
      </c>
      <c r="K7">
        <v>0</v>
      </c>
      <c r="L7">
        <v>1</v>
      </c>
      <c r="M7">
        <v>0</v>
      </c>
      <c r="N7">
        <v>1</v>
      </c>
      <c r="O7">
        <v>20128</v>
      </c>
      <c r="P7">
        <f>IF(C7&gt;=200000,5,IF(C7&gt;=100000,4,IF(C7&gt;=50000,3,IF(C7&gt;=10000,2,1))))</f>
        <v>2</v>
      </c>
      <c r="Q7">
        <f>IF(B7="TRANSFER",5,IF(B7="CASH_OUT",4,IF(B7="DEBIT",2,1)))</f>
        <v>4</v>
      </c>
      <c r="R7">
        <f>(P7*0.5)+(Q7*0.3)+(N7*0.1)+(M7*0.1)</f>
        <v>2.3000000000000003</v>
      </c>
      <c r="S7" t="str">
        <f t="shared" si="0"/>
        <v>MEDIUM</v>
      </c>
    </row>
    <row r="8" spans="1:21" x14ac:dyDescent="0.3">
      <c r="A8">
        <v>1</v>
      </c>
      <c r="B8" t="s">
        <v>18</v>
      </c>
      <c r="C8">
        <v>416001.33</v>
      </c>
      <c r="D8" t="s">
        <v>29</v>
      </c>
      <c r="E8">
        <v>0</v>
      </c>
      <c r="F8">
        <v>0</v>
      </c>
      <c r="G8" t="s">
        <v>30</v>
      </c>
      <c r="H8">
        <v>102</v>
      </c>
      <c r="I8">
        <v>9291619.6199999992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f>IF(C8&gt;=200000,5,IF(C8&gt;=100000,4,IF(C8&gt;=50000,3,IF(C8&gt;=10000,2,1))))</f>
        <v>5</v>
      </c>
      <c r="Q8">
        <f>IF(B8="TRANSFER",5,IF(B8="CASH_OUT",4,IF(B8="DEBIT",2,1)))</f>
        <v>4</v>
      </c>
      <c r="R8">
        <f>(P8*0.5)+(Q8*0.3)+(N8*0.1)+(M8*0.1)</f>
        <v>3.7</v>
      </c>
      <c r="S8" t="str">
        <f t="shared" si="0"/>
        <v>HIGH</v>
      </c>
    </row>
    <row r="9" spans="1:21" x14ac:dyDescent="0.3">
      <c r="A9">
        <v>1</v>
      </c>
      <c r="B9" t="s">
        <v>15</v>
      </c>
      <c r="C9">
        <v>1277212.77</v>
      </c>
      <c r="D9" t="s">
        <v>31</v>
      </c>
      <c r="E9">
        <v>1277212.77</v>
      </c>
      <c r="F9">
        <v>0</v>
      </c>
      <c r="G9" t="s">
        <v>32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1277212.77</v>
      </c>
      <c r="P9">
        <f>IF(C9&gt;=200000,5,IF(C9&gt;=100000,4,IF(C9&gt;=50000,3,IF(C9&gt;=10000,2,1))))</f>
        <v>5</v>
      </c>
      <c r="Q9">
        <f>IF(B9="TRANSFER",5,IF(B9="CASH_OUT",4,IF(B9="DEBIT",2,1)))</f>
        <v>5</v>
      </c>
      <c r="R9">
        <f>(P9*0.5)+(Q9*0.3)+(N9*0.1)+(M9*0.1)</f>
        <v>4.0999999999999996</v>
      </c>
      <c r="S9" t="str">
        <f t="shared" si="0"/>
        <v>HIGH</v>
      </c>
    </row>
    <row r="10" spans="1:21" x14ac:dyDescent="0.3">
      <c r="A10">
        <v>1</v>
      </c>
      <c r="B10" t="s">
        <v>18</v>
      </c>
      <c r="C10">
        <v>1277212.77</v>
      </c>
      <c r="D10" t="s">
        <v>33</v>
      </c>
      <c r="E10">
        <v>1277212.77</v>
      </c>
      <c r="F10">
        <v>0</v>
      </c>
      <c r="G10" t="s">
        <v>34</v>
      </c>
      <c r="H10">
        <v>0</v>
      </c>
      <c r="I10">
        <v>2444985.19</v>
      </c>
      <c r="J10">
        <v>1</v>
      </c>
      <c r="K10">
        <v>0</v>
      </c>
      <c r="L10">
        <v>1</v>
      </c>
      <c r="M10">
        <v>0</v>
      </c>
      <c r="N10">
        <v>1</v>
      </c>
      <c r="O10">
        <v>1277212.77</v>
      </c>
      <c r="P10">
        <f>IF(C10&gt;=200000,5,IF(C10&gt;=100000,4,IF(C10&gt;=50000,3,IF(C10&gt;=10000,2,1))))</f>
        <v>5</v>
      </c>
      <c r="Q10">
        <f>IF(B10="TRANSFER",5,IF(B10="CASH_OUT",4,IF(B10="DEBIT",2,1)))</f>
        <v>4</v>
      </c>
      <c r="R10">
        <f>(P10*0.5)+(Q10*0.3)+(N10*0.1)+(M10*0.1)</f>
        <v>3.8000000000000003</v>
      </c>
      <c r="S10" t="str">
        <f t="shared" si="0"/>
        <v>HIGH</v>
      </c>
    </row>
    <row r="11" spans="1:21" x14ac:dyDescent="0.3">
      <c r="A11">
        <v>1</v>
      </c>
      <c r="B11" t="s">
        <v>15</v>
      </c>
      <c r="C11">
        <v>35063.629999999997</v>
      </c>
      <c r="D11" t="s">
        <v>35</v>
      </c>
      <c r="E11">
        <v>35063.629999999997</v>
      </c>
      <c r="F11">
        <v>0</v>
      </c>
      <c r="G11" t="s">
        <v>36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35063.629999999997</v>
      </c>
      <c r="P11">
        <f>IF(C11&gt;=200000,5,IF(C11&gt;=100000,4,IF(C11&gt;=50000,3,IF(C11&gt;=10000,2,1))))</f>
        <v>2</v>
      </c>
      <c r="Q11">
        <f>IF(B11="TRANSFER",5,IF(B11="CASH_OUT",4,IF(B11="DEBIT",2,1)))</f>
        <v>5</v>
      </c>
      <c r="R11">
        <f>(P11*0.5)+(Q11*0.3)+(N11*0.1)+(M11*0.1)</f>
        <v>2.6</v>
      </c>
      <c r="S11" t="str">
        <f t="shared" si="0"/>
        <v>MEDIUM</v>
      </c>
    </row>
    <row r="12" spans="1:21" x14ac:dyDescent="0.3">
      <c r="A12">
        <v>1</v>
      </c>
      <c r="B12" t="s">
        <v>18</v>
      </c>
      <c r="C12">
        <v>35063.629999999997</v>
      </c>
      <c r="D12" t="s">
        <v>37</v>
      </c>
      <c r="E12">
        <v>35063.629999999997</v>
      </c>
      <c r="F12">
        <v>0</v>
      </c>
      <c r="G12" t="s">
        <v>38</v>
      </c>
      <c r="H12">
        <v>31140</v>
      </c>
      <c r="I12">
        <v>7550.03</v>
      </c>
      <c r="J12">
        <v>1</v>
      </c>
      <c r="K12">
        <v>0</v>
      </c>
      <c r="L12">
        <v>1</v>
      </c>
      <c r="M12">
        <v>0</v>
      </c>
      <c r="N12">
        <v>1</v>
      </c>
      <c r="O12">
        <v>35063.629999999997</v>
      </c>
      <c r="P12">
        <f>IF(C12&gt;=200000,5,IF(C12&gt;=100000,4,IF(C12&gt;=50000,3,IF(C12&gt;=10000,2,1))))</f>
        <v>2</v>
      </c>
      <c r="Q12">
        <f>IF(B12="TRANSFER",5,IF(B12="CASH_OUT",4,IF(B12="DEBIT",2,1)))</f>
        <v>4</v>
      </c>
      <c r="R12">
        <f>(P12*0.5)+(Q12*0.3)+(N12*0.1)+(M12*0.1)</f>
        <v>2.3000000000000003</v>
      </c>
      <c r="S12" t="str">
        <f t="shared" si="0"/>
        <v>MEDIUM</v>
      </c>
    </row>
    <row r="13" spans="1:21" x14ac:dyDescent="0.3">
      <c r="A13">
        <v>1</v>
      </c>
      <c r="B13" t="s">
        <v>15</v>
      </c>
      <c r="C13">
        <v>25071.46</v>
      </c>
      <c r="D13" t="s">
        <v>39</v>
      </c>
      <c r="E13">
        <v>25071.46</v>
      </c>
      <c r="F13">
        <v>0</v>
      </c>
      <c r="G13" t="s">
        <v>40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25071.46</v>
      </c>
      <c r="P13">
        <f>IF(C13&gt;=200000,5,IF(C13&gt;=100000,4,IF(C13&gt;=50000,3,IF(C13&gt;=10000,2,1))))</f>
        <v>2</v>
      </c>
      <c r="Q13">
        <f>IF(B13="TRANSFER",5,IF(B13="CASH_OUT",4,IF(B13="DEBIT",2,1)))</f>
        <v>5</v>
      </c>
      <c r="R13">
        <f>(P13*0.5)+(Q13*0.3)+(N13*0.1)+(M13*0.1)</f>
        <v>2.6</v>
      </c>
      <c r="S13" t="str">
        <f t="shared" si="0"/>
        <v>MEDIUM</v>
      </c>
    </row>
    <row r="14" spans="1:21" x14ac:dyDescent="0.3">
      <c r="A14">
        <v>1</v>
      </c>
      <c r="B14" t="s">
        <v>18</v>
      </c>
      <c r="C14">
        <v>25071.46</v>
      </c>
      <c r="D14" t="s">
        <v>41</v>
      </c>
      <c r="E14">
        <v>25071.46</v>
      </c>
      <c r="F14">
        <v>0</v>
      </c>
      <c r="G14" t="s">
        <v>42</v>
      </c>
      <c r="H14">
        <v>9083.76</v>
      </c>
      <c r="I14">
        <v>34155.22</v>
      </c>
      <c r="J14">
        <v>1</v>
      </c>
      <c r="K14">
        <v>0</v>
      </c>
      <c r="L14">
        <v>1</v>
      </c>
      <c r="M14">
        <v>0</v>
      </c>
      <c r="N14">
        <v>1</v>
      </c>
      <c r="O14">
        <v>25071.46</v>
      </c>
      <c r="P14">
        <f>IF(C14&gt;=200000,5,IF(C14&gt;=100000,4,IF(C14&gt;=50000,3,IF(C14&gt;=10000,2,1))))</f>
        <v>2</v>
      </c>
      <c r="Q14">
        <f>IF(B14="TRANSFER",5,IF(B14="CASH_OUT",4,IF(B14="DEBIT",2,1)))</f>
        <v>4</v>
      </c>
      <c r="R14">
        <f>(P14*0.5)+(Q14*0.3)+(N14*0.1)+(M14*0.1)</f>
        <v>2.3000000000000003</v>
      </c>
      <c r="S14" t="str">
        <f t="shared" si="0"/>
        <v>MEDIUM</v>
      </c>
    </row>
    <row r="15" spans="1:21" x14ac:dyDescent="0.3">
      <c r="A15">
        <v>1</v>
      </c>
      <c r="B15" t="s">
        <v>18</v>
      </c>
      <c r="C15">
        <v>132842.64000000001</v>
      </c>
      <c r="D15" t="s">
        <v>43</v>
      </c>
      <c r="E15">
        <v>4499.08</v>
      </c>
      <c r="F15">
        <v>0</v>
      </c>
      <c r="G15" t="s">
        <v>44</v>
      </c>
      <c r="H15">
        <v>0</v>
      </c>
      <c r="I15">
        <v>132842.64000000001</v>
      </c>
      <c r="J15">
        <v>1</v>
      </c>
      <c r="K15">
        <v>0</v>
      </c>
      <c r="L15">
        <v>1</v>
      </c>
      <c r="M15">
        <v>0</v>
      </c>
      <c r="N15">
        <v>1</v>
      </c>
      <c r="O15">
        <v>4499.08</v>
      </c>
      <c r="P15">
        <f>IF(C15&gt;=200000,5,IF(C15&gt;=100000,4,IF(C15&gt;=50000,3,IF(C15&gt;=10000,2,1))))</f>
        <v>4</v>
      </c>
      <c r="Q15">
        <f>IF(B15="TRANSFER",5,IF(B15="CASH_OUT",4,IF(B15="DEBIT",2,1)))</f>
        <v>4</v>
      </c>
      <c r="R15">
        <f>(P15*0.5)+(Q15*0.3)+(N15*0.1)+(M15*0.1)</f>
        <v>3.3000000000000003</v>
      </c>
      <c r="S15" t="str">
        <f t="shared" si="0"/>
        <v>HIGH</v>
      </c>
    </row>
    <row r="16" spans="1:21" x14ac:dyDescent="0.3">
      <c r="A16">
        <v>1</v>
      </c>
      <c r="B16" t="s">
        <v>15</v>
      </c>
      <c r="C16">
        <v>235238.66</v>
      </c>
      <c r="D16" t="s">
        <v>45</v>
      </c>
      <c r="E16">
        <v>235238.66</v>
      </c>
      <c r="F16">
        <v>0</v>
      </c>
      <c r="G16" t="s">
        <v>46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235238.66</v>
      </c>
      <c r="P16">
        <f>IF(C16&gt;=200000,5,IF(C16&gt;=100000,4,IF(C16&gt;=50000,3,IF(C16&gt;=10000,2,1))))</f>
        <v>5</v>
      </c>
      <c r="Q16">
        <f>IF(B16="TRANSFER",5,IF(B16="CASH_OUT",4,IF(B16="DEBIT",2,1)))</f>
        <v>5</v>
      </c>
      <c r="R16">
        <f>(P16*0.5)+(Q16*0.3)+(N16*0.1)+(M16*0.1)</f>
        <v>4.0999999999999996</v>
      </c>
      <c r="S16" t="str">
        <f t="shared" si="0"/>
        <v>HIGH</v>
      </c>
    </row>
    <row r="17" spans="1:19" x14ac:dyDescent="0.3">
      <c r="A17">
        <v>1</v>
      </c>
      <c r="B17" t="s">
        <v>18</v>
      </c>
      <c r="C17">
        <v>235238.66</v>
      </c>
      <c r="D17" t="s">
        <v>47</v>
      </c>
      <c r="E17">
        <v>235238.66</v>
      </c>
      <c r="F17">
        <v>0</v>
      </c>
      <c r="G17" t="s">
        <v>48</v>
      </c>
      <c r="H17">
        <v>0</v>
      </c>
      <c r="I17">
        <v>235238.66</v>
      </c>
      <c r="J17">
        <v>1</v>
      </c>
      <c r="K17">
        <v>0</v>
      </c>
      <c r="L17">
        <v>1</v>
      </c>
      <c r="M17">
        <v>0</v>
      </c>
      <c r="N17">
        <v>1</v>
      </c>
      <c r="O17">
        <v>235238.66</v>
      </c>
      <c r="P17">
        <f>IF(C17&gt;=200000,5,IF(C17&gt;=100000,4,IF(C17&gt;=50000,3,IF(C17&gt;=10000,2,1))))</f>
        <v>5</v>
      </c>
      <c r="Q17">
        <f>IF(B17="TRANSFER",5,IF(B17="CASH_OUT",4,IF(B17="DEBIT",2,1)))</f>
        <v>4</v>
      </c>
      <c r="R17">
        <f>(P17*0.5)+(Q17*0.3)+(N17*0.1)+(M17*0.1)</f>
        <v>3.8000000000000003</v>
      </c>
      <c r="S17" t="str">
        <f t="shared" si="0"/>
        <v>HIGH</v>
      </c>
    </row>
    <row r="18" spans="1:19" x14ac:dyDescent="0.3">
      <c r="A18">
        <v>2</v>
      </c>
      <c r="B18" t="s">
        <v>15</v>
      </c>
      <c r="C18">
        <v>1096187.24</v>
      </c>
      <c r="D18" t="s">
        <v>49</v>
      </c>
      <c r="E18">
        <v>1096187.24</v>
      </c>
      <c r="F18">
        <v>0</v>
      </c>
      <c r="G18" t="s">
        <v>50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1096187.24</v>
      </c>
      <c r="P18">
        <f>IF(C18&gt;=200000,5,IF(C18&gt;=100000,4,IF(C18&gt;=50000,3,IF(C18&gt;=10000,2,1))))</f>
        <v>5</v>
      </c>
      <c r="Q18">
        <f>IF(B18="TRANSFER",5,IF(B18="CASH_OUT",4,IF(B18="DEBIT",2,1)))</f>
        <v>5</v>
      </c>
      <c r="R18">
        <f>(P18*0.5)+(Q18*0.3)+(N18*0.1)+(M18*0.1)</f>
        <v>4.0999999999999996</v>
      </c>
      <c r="S18" t="str">
        <f t="shared" si="0"/>
        <v>HIGH</v>
      </c>
    </row>
    <row r="19" spans="1:19" x14ac:dyDescent="0.3">
      <c r="A19">
        <v>2</v>
      </c>
      <c r="B19" t="s">
        <v>18</v>
      </c>
      <c r="C19">
        <v>1096187.24</v>
      </c>
      <c r="D19" t="s">
        <v>51</v>
      </c>
      <c r="E19">
        <v>1096187.24</v>
      </c>
      <c r="F19">
        <v>0</v>
      </c>
      <c r="G19" t="s">
        <v>52</v>
      </c>
      <c r="H19">
        <v>0</v>
      </c>
      <c r="I19">
        <v>1096187.24</v>
      </c>
      <c r="J19">
        <v>1</v>
      </c>
      <c r="K19">
        <v>0</v>
      </c>
      <c r="L19">
        <v>2</v>
      </c>
      <c r="M19">
        <v>0</v>
      </c>
      <c r="N19">
        <v>1</v>
      </c>
      <c r="O19">
        <v>1096187.24</v>
      </c>
      <c r="P19">
        <f>IF(C19&gt;=200000,5,IF(C19&gt;=100000,4,IF(C19&gt;=50000,3,IF(C19&gt;=10000,2,1))))</f>
        <v>5</v>
      </c>
      <c r="Q19">
        <f>IF(B19="TRANSFER",5,IF(B19="CASH_OUT",4,IF(B19="DEBIT",2,1)))</f>
        <v>4</v>
      </c>
      <c r="R19">
        <f>(P19*0.5)+(Q19*0.3)+(N19*0.1)+(M19*0.1)</f>
        <v>3.8000000000000003</v>
      </c>
      <c r="S19" t="str">
        <f t="shared" si="0"/>
        <v>HIGH</v>
      </c>
    </row>
    <row r="20" spans="1:19" x14ac:dyDescent="0.3">
      <c r="A20">
        <v>2</v>
      </c>
      <c r="B20" t="s">
        <v>15</v>
      </c>
      <c r="C20">
        <v>963532.14</v>
      </c>
      <c r="D20" t="s">
        <v>53</v>
      </c>
      <c r="E20">
        <v>963532.14</v>
      </c>
      <c r="F20">
        <v>0</v>
      </c>
      <c r="G20" t="s">
        <v>54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1</v>
      </c>
      <c r="O20">
        <v>963532.14</v>
      </c>
      <c r="P20">
        <f>IF(C20&gt;=200000,5,IF(C20&gt;=100000,4,IF(C20&gt;=50000,3,IF(C20&gt;=10000,2,1))))</f>
        <v>5</v>
      </c>
      <c r="Q20">
        <f>IF(B20="TRANSFER",5,IF(B20="CASH_OUT",4,IF(B20="DEBIT",2,1)))</f>
        <v>5</v>
      </c>
      <c r="R20">
        <f>(P20*0.5)+(Q20*0.3)+(N20*0.1)+(M20*0.1)</f>
        <v>4.0999999999999996</v>
      </c>
      <c r="S20" t="str">
        <f t="shared" si="0"/>
        <v>HIGH</v>
      </c>
    </row>
    <row r="21" spans="1:19" x14ac:dyDescent="0.3">
      <c r="A21">
        <v>2</v>
      </c>
      <c r="B21" t="s">
        <v>18</v>
      </c>
      <c r="C21">
        <v>963532.14</v>
      </c>
      <c r="D21" t="s">
        <v>55</v>
      </c>
      <c r="E21">
        <v>963532.14</v>
      </c>
      <c r="F21">
        <v>0</v>
      </c>
      <c r="G21" t="s">
        <v>56</v>
      </c>
      <c r="H21">
        <v>132382.57</v>
      </c>
      <c r="I21">
        <v>1095914.71</v>
      </c>
      <c r="J21">
        <v>1</v>
      </c>
      <c r="K21">
        <v>0</v>
      </c>
      <c r="L21">
        <v>2</v>
      </c>
      <c r="M21">
        <v>0</v>
      </c>
      <c r="N21">
        <v>1</v>
      </c>
      <c r="O21">
        <v>963532.14</v>
      </c>
      <c r="P21">
        <f>IF(C21&gt;=200000,5,IF(C21&gt;=100000,4,IF(C21&gt;=50000,3,IF(C21&gt;=10000,2,1))))</f>
        <v>5</v>
      </c>
      <c r="Q21">
        <f>IF(B21="TRANSFER",5,IF(B21="CASH_OUT",4,IF(B21="DEBIT",2,1)))</f>
        <v>4</v>
      </c>
      <c r="R21">
        <f>(P21*0.5)+(Q21*0.3)+(N21*0.1)+(M21*0.1)</f>
        <v>3.8000000000000003</v>
      </c>
      <c r="S21" t="str">
        <f t="shared" si="0"/>
        <v>HIGH</v>
      </c>
    </row>
    <row r="22" spans="1:19" x14ac:dyDescent="0.3">
      <c r="A22">
        <v>2</v>
      </c>
      <c r="B22" t="s">
        <v>15</v>
      </c>
      <c r="C22">
        <v>14949.84</v>
      </c>
      <c r="D22" t="s">
        <v>57</v>
      </c>
      <c r="E22">
        <v>14949.84</v>
      </c>
      <c r="F22">
        <v>0</v>
      </c>
      <c r="G22" t="s">
        <v>58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14949.84</v>
      </c>
      <c r="P22">
        <f>IF(C22&gt;=200000,5,IF(C22&gt;=100000,4,IF(C22&gt;=50000,3,IF(C22&gt;=10000,2,1))))</f>
        <v>2</v>
      </c>
      <c r="Q22">
        <f>IF(B22="TRANSFER",5,IF(B22="CASH_OUT",4,IF(B22="DEBIT",2,1)))</f>
        <v>5</v>
      </c>
      <c r="R22">
        <f>(P22*0.5)+(Q22*0.3)+(N22*0.1)+(M22*0.1)</f>
        <v>2.6</v>
      </c>
      <c r="S22" t="str">
        <f t="shared" si="0"/>
        <v>MEDIUM</v>
      </c>
    </row>
    <row r="23" spans="1:19" x14ac:dyDescent="0.3">
      <c r="A23">
        <v>2</v>
      </c>
      <c r="B23" t="s">
        <v>18</v>
      </c>
      <c r="C23">
        <v>14949.84</v>
      </c>
      <c r="D23" t="s">
        <v>59</v>
      </c>
      <c r="E23">
        <v>14949.84</v>
      </c>
      <c r="F23">
        <v>0</v>
      </c>
      <c r="G23" t="s">
        <v>60</v>
      </c>
      <c r="H23">
        <v>18161.79</v>
      </c>
      <c r="I23">
        <v>33111.629999999997</v>
      </c>
      <c r="J23">
        <v>1</v>
      </c>
      <c r="K23">
        <v>0</v>
      </c>
      <c r="L23">
        <v>2</v>
      </c>
      <c r="M23">
        <v>0</v>
      </c>
      <c r="N23">
        <v>1</v>
      </c>
      <c r="O23">
        <v>14949.84</v>
      </c>
      <c r="P23">
        <f>IF(C23&gt;=200000,5,IF(C23&gt;=100000,4,IF(C23&gt;=50000,3,IF(C23&gt;=10000,2,1))))</f>
        <v>2</v>
      </c>
      <c r="Q23">
        <f>IF(B23="TRANSFER",5,IF(B23="CASH_OUT",4,IF(B23="DEBIT",2,1)))</f>
        <v>4</v>
      </c>
      <c r="R23">
        <f>(P23*0.5)+(Q23*0.3)+(N23*0.1)+(M23*0.1)</f>
        <v>2.3000000000000003</v>
      </c>
      <c r="S23" t="str">
        <f t="shared" si="0"/>
        <v>MEDIUM</v>
      </c>
    </row>
    <row r="24" spans="1:19" x14ac:dyDescent="0.3">
      <c r="A24">
        <v>2</v>
      </c>
      <c r="B24" t="s">
        <v>15</v>
      </c>
      <c r="C24">
        <v>18627.02</v>
      </c>
      <c r="D24" t="s">
        <v>61</v>
      </c>
      <c r="E24">
        <v>18627.02</v>
      </c>
      <c r="F24">
        <v>0</v>
      </c>
      <c r="G24" t="s">
        <v>62</v>
      </c>
      <c r="H24">
        <v>0</v>
      </c>
      <c r="I24">
        <v>0</v>
      </c>
      <c r="J24">
        <v>1</v>
      </c>
      <c r="K24">
        <v>0</v>
      </c>
      <c r="L24">
        <v>2</v>
      </c>
      <c r="M24">
        <v>0</v>
      </c>
      <c r="N24">
        <v>1</v>
      </c>
      <c r="O24">
        <v>18627.02</v>
      </c>
      <c r="P24">
        <f>IF(C24&gt;=200000,5,IF(C24&gt;=100000,4,IF(C24&gt;=50000,3,IF(C24&gt;=10000,2,1))))</f>
        <v>2</v>
      </c>
      <c r="Q24">
        <f>IF(B24="TRANSFER",5,IF(B24="CASH_OUT",4,IF(B24="DEBIT",2,1)))</f>
        <v>5</v>
      </c>
      <c r="R24">
        <f>(P24*0.5)+(Q24*0.3)+(N24*0.1)+(M24*0.1)</f>
        <v>2.6</v>
      </c>
      <c r="S24" t="str">
        <f t="shared" si="0"/>
        <v>MEDIUM</v>
      </c>
    </row>
    <row r="25" spans="1:19" x14ac:dyDescent="0.3">
      <c r="A25">
        <v>2</v>
      </c>
      <c r="B25" t="s">
        <v>18</v>
      </c>
      <c r="C25">
        <v>18627.02</v>
      </c>
      <c r="D25" t="s">
        <v>63</v>
      </c>
      <c r="E25">
        <v>18627.02</v>
      </c>
      <c r="F25">
        <v>0</v>
      </c>
      <c r="G25" t="s">
        <v>64</v>
      </c>
      <c r="H25">
        <v>147251.57999999999</v>
      </c>
      <c r="I25">
        <v>165878.6</v>
      </c>
      <c r="J25">
        <v>1</v>
      </c>
      <c r="K25">
        <v>0</v>
      </c>
      <c r="L25">
        <v>2</v>
      </c>
      <c r="M25">
        <v>0</v>
      </c>
      <c r="N25">
        <v>1</v>
      </c>
      <c r="O25">
        <v>18627.02</v>
      </c>
      <c r="P25">
        <f>IF(C25&gt;=200000,5,IF(C25&gt;=100000,4,IF(C25&gt;=50000,3,IF(C25&gt;=10000,2,1))))</f>
        <v>2</v>
      </c>
      <c r="Q25">
        <f>IF(B25="TRANSFER",5,IF(B25="CASH_OUT",4,IF(B25="DEBIT",2,1)))</f>
        <v>4</v>
      </c>
      <c r="R25">
        <f>(P25*0.5)+(Q25*0.3)+(N25*0.1)+(M25*0.1)</f>
        <v>2.3000000000000003</v>
      </c>
      <c r="S25" t="str">
        <f t="shared" si="0"/>
        <v>MEDIUM</v>
      </c>
    </row>
    <row r="26" spans="1:19" x14ac:dyDescent="0.3">
      <c r="A26">
        <v>3</v>
      </c>
      <c r="B26" t="s">
        <v>15</v>
      </c>
      <c r="C26">
        <v>10539.37</v>
      </c>
      <c r="D26" t="s">
        <v>65</v>
      </c>
      <c r="E26">
        <v>10539.37</v>
      </c>
      <c r="F26">
        <v>0</v>
      </c>
      <c r="G26" t="s">
        <v>66</v>
      </c>
      <c r="H26">
        <v>0</v>
      </c>
      <c r="I26">
        <v>0</v>
      </c>
      <c r="J26">
        <v>1</v>
      </c>
      <c r="K26">
        <v>0</v>
      </c>
      <c r="L26">
        <v>3</v>
      </c>
      <c r="M26">
        <v>0</v>
      </c>
      <c r="N26">
        <v>1</v>
      </c>
      <c r="O26">
        <v>10539.37</v>
      </c>
      <c r="P26">
        <f>IF(C26&gt;=200000,5,IF(C26&gt;=100000,4,IF(C26&gt;=50000,3,IF(C26&gt;=10000,2,1))))</f>
        <v>2</v>
      </c>
      <c r="Q26">
        <f>IF(B26="TRANSFER",5,IF(B26="CASH_OUT",4,IF(B26="DEBIT",2,1)))</f>
        <v>5</v>
      </c>
      <c r="R26">
        <f>(P26*0.5)+(Q26*0.3)+(N26*0.1)+(M26*0.1)</f>
        <v>2.6</v>
      </c>
      <c r="S26" t="str">
        <f t="shared" si="0"/>
        <v>MEDIUM</v>
      </c>
    </row>
    <row r="27" spans="1:19" x14ac:dyDescent="0.3">
      <c r="A27">
        <v>3</v>
      </c>
      <c r="B27" t="s">
        <v>18</v>
      </c>
      <c r="C27">
        <v>10539.37</v>
      </c>
      <c r="D27" t="s">
        <v>67</v>
      </c>
      <c r="E27">
        <v>10539.37</v>
      </c>
      <c r="F27">
        <v>0</v>
      </c>
      <c r="G27" t="s">
        <v>68</v>
      </c>
      <c r="H27">
        <v>0</v>
      </c>
      <c r="I27">
        <v>10539.37</v>
      </c>
      <c r="J27">
        <v>1</v>
      </c>
      <c r="K27">
        <v>0</v>
      </c>
      <c r="L27">
        <v>3</v>
      </c>
      <c r="M27">
        <v>0</v>
      </c>
      <c r="N27">
        <v>1</v>
      </c>
      <c r="O27">
        <v>10539.37</v>
      </c>
      <c r="P27">
        <f>IF(C27&gt;=200000,5,IF(C27&gt;=100000,4,IF(C27&gt;=50000,3,IF(C27&gt;=10000,2,1))))</f>
        <v>2</v>
      </c>
      <c r="Q27">
        <f>IF(B27="TRANSFER",5,IF(B27="CASH_OUT",4,IF(B27="DEBIT",2,1)))</f>
        <v>4</v>
      </c>
      <c r="R27">
        <f>(P27*0.5)+(Q27*0.3)+(N27*0.1)+(M27*0.1)</f>
        <v>2.3000000000000003</v>
      </c>
      <c r="S27" t="str">
        <f t="shared" si="0"/>
        <v>MEDIUM</v>
      </c>
    </row>
    <row r="28" spans="1:19" x14ac:dyDescent="0.3">
      <c r="A28">
        <v>3</v>
      </c>
      <c r="B28" t="s">
        <v>15</v>
      </c>
      <c r="C28">
        <v>22877</v>
      </c>
      <c r="D28" t="s">
        <v>69</v>
      </c>
      <c r="E28">
        <v>22877</v>
      </c>
      <c r="F28">
        <v>0</v>
      </c>
      <c r="G28" t="s">
        <v>70</v>
      </c>
      <c r="H28">
        <v>0</v>
      </c>
      <c r="I28">
        <v>0</v>
      </c>
      <c r="J28">
        <v>1</v>
      </c>
      <c r="K28">
        <v>0</v>
      </c>
      <c r="L28">
        <v>3</v>
      </c>
      <c r="M28">
        <v>0</v>
      </c>
      <c r="N28">
        <v>1</v>
      </c>
      <c r="O28">
        <v>22877</v>
      </c>
      <c r="P28">
        <f>IF(C28&gt;=200000,5,IF(C28&gt;=100000,4,IF(C28&gt;=50000,3,IF(C28&gt;=10000,2,1))))</f>
        <v>2</v>
      </c>
      <c r="Q28">
        <f>IF(B28="TRANSFER",5,IF(B28="CASH_OUT",4,IF(B28="DEBIT",2,1)))</f>
        <v>5</v>
      </c>
      <c r="R28">
        <f>(P28*0.5)+(Q28*0.3)+(N28*0.1)+(M28*0.1)</f>
        <v>2.6</v>
      </c>
      <c r="S28" t="str">
        <f t="shared" si="0"/>
        <v>MEDIUM</v>
      </c>
    </row>
    <row r="29" spans="1:19" x14ac:dyDescent="0.3">
      <c r="A29">
        <v>3</v>
      </c>
      <c r="B29" t="s">
        <v>18</v>
      </c>
      <c r="C29">
        <v>22877</v>
      </c>
      <c r="D29" t="s">
        <v>71</v>
      </c>
      <c r="E29">
        <v>22877</v>
      </c>
      <c r="F29">
        <v>0</v>
      </c>
      <c r="G29" t="s">
        <v>72</v>
      </c>
      <c r="H29">
        <v>0</v>
      </c>
      <c r="I29">
        <v>22877</v>
      </c>
      <c r="J29">
        <v>1</v>
      </c>
      <c r="K29">
        <v>0</v>
      </c>
      <c r="L29">
        <v>3</v>
      </c>
      <c r="M29">
        <v>0</v>
      </c>
      <c r="N29">
        <v>1</v>
      </c>
      <c r="O29">
        <v>22877</v>
      </c>
      <c r="P29">
        <f>IF(C29&gt;=200000,5,IF(C29&gt;=100000,4,IF(C29&gt;=50000,3,IF(C29&gt;=10000,2,1))))</f>
        <v>2</v>
      </c>
      <c r="Q29">
        <f>IF(B29="TRANSFER",5,IF(B29="CASH_OUT",4,IF(B29="DEBIT",2,1)))</f>
        <v>4</v>
      </c>
      <c r="R29">
        <f>(P29*0.5)+(Q29*0.3)+(N29*0.1)+(M29*0.1)</f>
        <v>2.3000000000000003</v>
      </c>
      <c r="S29" t="str">
        <f t="shared" si="0"/>
        <v>MEDIUM</v>
      </c>
    </row>
    <row r="30" spans="1:19" x14ac:dyDescent="0.3">
      <c r="A30">
        <v>4</v>
      </c>
      <c r="B30" t="s">
        <v>15</v>
      </c>
      <c r="C30">
        <v>10000000</v>
      </c>
      <c r="D30" t="s">
        <v>73</v>
      </c>
      <c r="E30">
        <v>12900000</v>
      </c>
      <c r="F30">
        <v>2930418.44</v>
      </c>
      <c r="G30" t="s">
        <v>74</v>
      </c>
      <c r="H30">
        <v>0</v>
      </c>
      <c r="I30">
        <v>0</v>
      </c>
      <c r="J30">
        <v>1</v>
      </c>
      <c r="K30">
        <v>0</v>
      </c>
      <c r="L30">
        <v>4</v>
      </c>
      <c r="M30">
        <v>1</v>
      </c>
      <c r="N30">
        <v>0</v>
      </c>
      <c r="O30">
        <v>9969581.5600000005</v>
      </c>
      <c r="P30">
        <f>IF(C30&gt;=200000,5,IF(C30&gt;=100000,4,IF(C30&gt;=50000,3,IF(C30&gt;=10000,2,1))))</f>
        <v>5</v>
      </c>
      <c r="Q30">
        <f>IF(B30="TRANSFER",5,IF(B30="CASH_OUT",4,IF(B30="DEBIT",2,1)))</f>
        <v>5</v>
      </c>
      <c r="R30">
        <f>(P30*0.5)+(Q30*0.3)+(N30*0.1)+(M30*0.1)</f>
        <v>4.0999999999999996</v>
      </c>
      <c r="S30" t="str">
        <f t="shared" si="0"/>
        <v>HIGH</v>
      </c>
    </row>
    <row r="31" spans="1:19" x14ac:dyDescent="0.3">
      <c r="A31">
        <v>4</v>
      </c>
      <c r="B31" t="s">
        <v>18</v>
      </c>
      <c r="C31">
        <v>10000000</v>
      </c>
      <c r="D31" t="s">
        <v>75</v>
      </c>
      <c r="E31">
        <v>10000000</v>
      </c>
      <c r="F31">
        <v>0</v>
      </c>
      <c r="G31" t="s">
        <v>76</v>
      </c>
      <c r="H31">
        <v>0</v>
      </c>
      <c r="I31">
        <v>9941904.2100000009</v>
      </c>
      <c r="J31">
        <v>1</v>
      </c>
      <c r="K31">
        <v>0</v>
      </c>
      <c r="L31">
        <v>4</v>
      </c>
      <c r="M31">
        <v>1</v>
      </c>
      <c r="N31">
        <v>1</v>
      </c>
      <c r="O31">
        <v>10000000</v>
      </c>
      <c r="P31">
        <f>IF(C31&gt;=200000,5,IF(C31&gt;=100000,4,IF(C31&gt;=50000,3,IF(C31&gt;=10000,2,1))))</f>
        <v>5</v>
      </c>
      <c r="Q31">
        <f>IF(B31="TRANSFER",5,IF(B31="CASH_OUT",4,IF(B31="DEBIT",2,1)))</f>
        <v>4</v>
      </c>
      <c r="R31">
        <f>(P31*0.5)+(Q31*0.3)+(N31*0.1)+(M31*0.1)</f>
        <v>3.9000000000000004</v>
      </c>
      <c r="S31" t="str">
        <f t="shared" si="0"/>
        <v>HIGH</v>
      </c>
    </row>
    <row r="32" spans="1:19" x14ac:dyDescent="0.3">
      <c r="A32">
        <v>4</v>
      </c>
      <c r="B32" t="s">
        <v>15</v>
      </c>
      <c r="C32">
        <v>2930418.44</v>
      </c>
      <c r="D32" t="s">
        <v>77</v>
      </c>
      <c r="E32">
        <v>2930418.44</v>
      </c>
      <c r="F32">
        <v>0</v>
      </c>
      <c r="G32" t="s">
        <v>78</v>
      </c>
      <c r="H32">
        <v>0</v>
      </c>
      <c r="I32">
        <v>0</v>
      </c>
      <c r="J32">
        <v>1</v>
      </c>
      <c r="K32">
        <v>0</v>
      </c>
      <c r="L32">
        <v>4</v>
      </c>
      <c r="M32">
        <v>0</v>
      </c>
      <c r="N32">
        <v>1</v>
      </c>
      <c r="O32">
        <v>2930418.44</v>
      </c>
      <c r="P32">
        <f>IF(C32&gt;=200000,5,IF(C32&gt;=100000,4,IF(C32&gt;=50000,3,IF(C32&gt;=10000,2,1))))</f>
        <v>5</v>
      </c>
      <c r="Q32">
        <f>IF(B32="TRANSFER",5,IF(B32="CASH_OUT",4,IF(B32="DEBIT",2,1)))</f>
        <v>5</v>
      </c>
      <c r="R32">
        <f>(P32*0.5)+(Q32*0.3)+(N32*0.1)+(M32*0.1)</f>
        <v>4.0999999999999996</v>
      </c>
      <c r="S32" t="str">
        <f t="shared" si="0"/>
        <v>HIGH</v>
      </c>
    </row>
    <row r="33" spans="1:19" x14ac:dyDescent="0.3">
      <c r="A33">
        <v>4</v>
      </c>
      <c r="B33" t="s">
        <v>18</v>
      </c>
      <c r="C33">
        <v>2930418.44</v>
      </c>
      <c r="D33" t="s">
        <v>79</v>
      </c>
      <c r="E33">
        <v>2930418.44</v>
      </c>
      <c r="F33">
        <v>0</v>
      </c>
      <c r="G33" t="s">
        <v>80</v>
      </c>
      <c r="H33">
        <v>3616012.1</v>
      </c>
      <c r="I33">
        <v>6963508.8399999999</v>
      </c>
      <c r="J33">
        <v>1</v>
      </c>
      <c r="K33">
        <v>0</v>
      </c>
      <c r="L33">
        <v>4</v>
      </c>
      <c r="M33">
        <v>0</v>
      </c>
      <c r="N33">
        <v>1</v>
      </c>
      <c r="O33">
        <v>2930418.44</v>
      </c>
      <c r="P33">
        <f>IF(C33&gt;=200000,5,IF(C33&gt;=100000,4,IF(C33&gt;=50000,3,IF(C33&gt;=10000,2,1))))</f>
        <v>5</v>
      </c>
      <c r="Q33">
        <f>IF(B33="TRANSFER",5,IF(B33="CASH_OUT",4,IF(B33="DEBIT",2,1)))</f>
        <v>4</v>
      </c>
      <c r="R33">
        <f>(P33*0.5)+(Q33*0.3)+(N33*0.1)+(M33*0.1)</f>
        <v>3.8000000000000003</v>
      </c>
      <c r="S33" t="str">
        <f t="shared" si="0"/>
        <v>HIGH</v>
      </c>
    </row>
    <row r="34" spans="1:19" x14ac:dyDescent="0.3">
      <c r="A34">
        <v>4</v>
      </c>
      <c r="B34" t="s">
        <v>15</v>
      </c>
      <c r="C34">
        <v>169941.73</v>
      </c>
      <c r="D34" t="s">
        <v>81</v>
      </c>
      <c r="E34">
        <v>169941.73</v>
      </c>
      <c r="F34">
        <v>0</v>
      </c>
      <c r="G34" t="s">
        <v>82</v>
      </c>
      <c r="H34">
        <v>0</v>
      </c>
      <c r="I34">
        <v>0</v>
      </c>
      <c r="J34">
        <v>1</v>
      </c>
      <c r="K34">
        <v>0</v>
      </c>
      <c r="L34">
        <v>4</v>
      </c>
      <c r="M34">
        <v>0</v>
      </c>
      <c r="N34">
        <v>1</v>
      </c>
      <c r="O34">
        <v>169941.73</v>
      </c>
      <c r="P34">
        <f>IF(C34&gt;=200000,5,IF(C34&gt;=100000,4,IF(C34&gt;=50000,3,IF(C34&gt;=10000,2,1))))</f>
        <v>4</v>
      </c>
      <c r="Q34">
        <f>IF(B34="TRANSFER",5,IF(B34="CASH_OUT",4,IF(B34="DEBIT",2,1)))</f>
        <v>5</v>
      </c>
      <c r="R34">
        <f>(P34*0.5)+(Q34*0.3)+(N34*0.1)+(M34*0.1)</f>
        <v>3.6</v>
      </c>
      <c r="S34" t="str">
        <f t="shared" si="0"/>
        <v>HIGH</v>
      </c>
    </row>
    <row r="35" spans="1:19" x14ac:dyDescent="0.3">
      <c r="A35">
        <v>4</v>
      </c>
      <c r="B35" t="s">
        <v>18</v>
      </c>
      <c r="C35">
        <v>169941.73</v>
      </c>
      <c r="D35" t="s">
        <v>83</v>
      </c>
      <c r="E35">
        <v>169941.73</v>
      </c>
      <c r="F35">
        <v>0</v>
      </c>
      <c r="G35" t="s">
        <v>84</v>
      </c>
      <c r="H35">
        <v>0</v>
      </c>
      <c r="I35">
        <v>169941.73</v>
      </c>
      <c r="J35">
        <v>1</v>
      </c>
      <c r="K35">
        <v>0</v>
      </c>
      <c r="L35">
        <v>4</v>
      </c>
      <c r="M35">
        <v>0</v>
      </c>
      <c r="N35">
        <v>1</v>
      </c>
      <c r="O35">
        <v>169941.73</v>
      </c>
      <c r="P35">
        <f>IF(C35&gt;=200000,5,IF(C35&gt;=100000,4,IF(C35&gt;=50000,3,IF(C35&gt;=10000,2,1))))</f>
        <v>4</v>
      </c>
      <c r="Q35">
        <f>IF(B35="TRANSFER",5,IF(B35="CASH_OUT",4,IF(B35="DEBIT",2,1)))</f>
        <v>4</v>
      </c>
      <c r="R35">
        <f>(P35*0.5)+(Q35*0.3)+(N35*0.1)+(M35*0.1)</f>
        <v>3.3000000000000003</v>
      </c>
      <c r="S35" t="str">
        <f t="shared" si="0"/>
        <v>HIGH</v>
      </c>
    </row>
    <row r="36" spans="1:19" x14ac:dyDescent="0.3">
      <c r="A36">
        <v>4</v>
      </c>
      <c r="B36" t="s">
        <v>15</v>
      </c>
      <c r="C36">
        <v>13707.11</v>
      </c>
      <c r="D36" t="s">
        <v>85</v>
      </c>
      <c r="E36">
        <v>13707.11</v>
      </c>
      <c r="F36">
        <v>0</v>
      </c>
      <c r="G36" t="s">
        <v>86</v>
      </c>
      <c r="H36">
        <v>0</v>
      </c>
      <c r="I36">
        <v>0</v>
      </c>
      <c r="J36">
        <v>1</v>
      </c>
      <c r="K36">
        <v>0</v>
      </c>
      <c r="L36">
        <v>4</v>
      </c>
      <c r="M36">
        <v>0</v>
      </c>
      <c r="N36">
        <v>1</v>
      </c>
      <c r="O36">
        <v>13707.11</v>
      </c>
      <c r="P36">
        <f>IF(C36&gt;=200000,5,IF(C36&gt;=100000,4,IF(C36&gt;=50000,3,IF(C36&gt;=10000,2,1))))</f>
        <v>2</v>
      </c>
      <c r="Q36">
        <f>IF(B36="TRANSFER",5,IF(B36="CASH_OUT",4,IF(B36="DEBIT",2,1)))</f>
        <v>5</v>
      </c>
      <c r="R36">
        <f>(P36*0.5)+(Q36*0.3)+(N36*0.1)+(M36*0.1)</f>
        <v>2.6</v>
      </c>
      <c r="S36" t="str">
        <f t="shared" si="0"/>
        <v>MEDIUM</v>
      </c>
    </row>
    <row r="37" spans="1:19" x14ac:dyDescent="0.3">
      <c r="A37">
        <v>4</v>
      </c>
      <c r="B37" t="s">
        <v>18</v>
      </c>
      <c r="C37">
        <v>13707.11</v>
      </c>
      <c r="D37" t="s">
        <v>87</v>
      </c>
      <c r="E37">
        <v>13707.11</v>
      </c>
      <c r="F37">
        <v>0</v>
      </c>
      <c r="G37" t="s">
        <v>88</v>
      </c>
      <c r="H37">
        <v>0</v>
      </c>
      <c r="I37">
        <v>13707.11</v>
      </c>
      <c r="J37">
        <v>1</v>
      </c>
      <c r="K37">
        <v>0</v>
      </c>
      <c r="L37">
        <v>4</v>
      </c>
      <c r="M37">
        <v>0</v>
      </c>
      <c r="N37">
        <v>1</v>
      </c>
      <c r="O37">
        <v>13707.11</v>
      </c>
      <c r="P37">
        <f>IF(C37&gt;=200000,5,IF(C37&gt;=100000,4,IF(C37&gt;=50000,3,IF(C37&gt;=10000,2,1))))</f>
        <v>2</v>
      </c>
      <c r="Q37">
        <f>IF(B37="TRANSFER",5,IF(B37="CASH_OUT",4,IF(B37="DEBIT",2,1)))</f>
        <v>4</v>
      </c>
      <c r="R37">
        <f>(P37*0.5)+(Q37*0.3)+(N37*0.1)+(M37*0.1)</f>
        <v>2.3000000000000003</v>
      </c>
      <c r="S37" t="str">
        <f t="shared" si="0"/>
        <v>MEDIUM</v>
      </c>
    </row>
    <row r="38" spans="1:19" x14ac:dyDescent="0.3">
      <c r="A38">
        <v>4</v>
      </c>
      <c r="B38" t="s">
        <v>15</v>
      </c>
      <c r="C38">
        <v>86070.17</v>
      </c>
      <c r="D38" t="s">
        <v>89</v>
      </c>
      <c r="E38">
        <v>86070.17</v>
      </c>
      <c r="F38">
        <v>0</v>
      </c>
      <c r="G38" t="s">
        <v>90</v>
      </c>
      <c r="H38">
        <v>0</v>
      </c>
      <c r="I38">
        <v>0</v>
      </c>
      <c r="J38">
        <v>1</v>
      </c>
      <c r="K38">
        <v>0</v>
      </c>
      <c r="L38">
        <v>4</v>
      </c>
      <c r="M38">
        <v>0</v>
      </c>
      <c r="N38">
        <v>1</v>
      </c>
      <c r="O38">
        <v>86070.17</v>
      </c>
      <c r="P38">
        <f>IF(C38&gt;=200000,5,IF(C38&gt;=100000,4,IF(C38&gt;=50000,3,IF(C38&gt;=10000,2,1))))</f>
        <v>3</v>
      </c>
      <c r="Q38">
        <f>IF(B38="TRANSFER",5,IF(B38="CASH_OUT",4,IF(B38="DEBIT",2,1)))</f>
        <v>5</v>
      </c>
      <c r="R38">
        <f>(P38*0.5)+(Q38*0.3)+(N38*0.1)+(M38*0.1)</f>
        <v>3.1</v>
      </c>
      <c r="S38" t="str">
        <f t="shared" si="0"/>
        <v>HIGH</v>
      </c>
    </row>
    <row r="39" spans="1:19" x14ac:dyDescent="0.3">
      <c r="A39">
        <v>4</v>
      </c>
      <c r="B39" t="s">
        <v>18</v>
      </c>
      <c r="C39">
        <v>86070.17</v>
      </c>
      <c r="D39" t="s">
        <v>91</v>
      </c>
      <c r="E39">
        <v>86070.17</v>
      </c>
      <c r="F39">
        <v>0</v>
      </c>
      <c r="G39" t="s">
        <v>92</v>
      </c>
      <c r="H39">
        <v>0</v>
      </c>
      <c r="I39">
        <v>86070.17</v>
      </c>
      <c r="J39">
        <v>1</v>
      </c>
      <c r="K39">
        <v>0</v>
      </c>
      <c r="L39">
        <v>4</v>
      </c>
      <c r="M39">
        <v>0</v>
      </c>
      <c r="N39">
        <v>1</v>
      </c>
      <c r="O39">
        <v>86070.17</v>
      </c>
      <c r="P39">
        <f>IF(C39&gt;=200000,5,IF(C39&gt;=100000,4,IF(C39&gt;=50000,3,IF(C39&gt;=10000,2,1))))</f>
        <v>3</v>
      </c>
      <c r="Q39">
        <f>IF(B39="TRANSFER",5,IF(B39="CASH_OUT",4,IF(B39="DEBIT",2,1)))</f>
        <v>4</v>
      </c>
      <c r="R39">
        <f>(P39*0.5)+(Q39*0.3)+(N39*0.1)+(M39*0.1)</f>
        <v>2.8000000000000003</v>
      </c>
      <c r="S39" t="str">
        <f t="shared" si="0"/>
        <v>MEDIUM</v>
      </c>
    </row>
    <row r="40" spans="1:19" x14ac:dyDescent="0.3">
      <c r="A40">
        <v>5</v>
      </c>
      <c r="B40" t="s">
        <v>15</v>
      </c>
      <c r="C40">
        <v>120074.73</v>
      </c>
      <c r="D40" t="s">
        <v>93</v>
      </c>
      <c r="E40">
        <v>120074.73</v>
      </c>
      <c r="F40">
        <v>0</v>
      </c>
      <c r="G40" t="s">
        <v>94</v>
      </c>
      <c r="H40">
        <v>0</v>
      </c>
      <c r="I40">
        <v>0</v>
      </c>
      <c r="J40">
        <v>1</v>
      </c>
      <c r="K40">
        <v>0</v>
      </c>
      <c r="L40">
        <v>5</v>
      </c>
      <c r="M40">
        <v>0</v>
      </c>
      <c r="N40">
        <v>1</v>
      </c>
      <c r="O40">
        <v>120074.73</v>
      </c>
      <c r="P40">
        <f>IF(C40&gt;=200000,5,IF(C40&gt;=100000,4,IF(C40&gt;=50000,3,IF(C40&gt;=10000,2,1))))</f>
        <v>4</v>
      </c>
      <c r="Q40">
        <f>IF(B40="TRANSFER",5,IF(B40="CASH_OUT",4,IF(B40="DEBIT",2,1)))</f>
        <v>5</v>
      </c>
      <c r="R40">
        <f>(P40*0.5)+(Q40*0.3)+(N40*0.1)+(M40*0.1)</f>
        <v>3.6</v>
      </c>
      <c r="S40" t="str">
        <f t="shared" si="0"/>
        <v>HIGH</v>
      </c>
    </row>
    <row r="41" spans="1:19" x14ac:dyDescent="0.3">
      <c r="A41">
        <v>5</v>
      </c>
      <c r="B41" t="s">
        <v>18</v>
      </c>
      <c r="C41">
        <v>120074.73</v>
      </c>
      <c r="D41" t="s">
        <v>95</v>
      </c>
      <c r="E41">
        <v>120074.73</v>
      </c>
      <c r="F41">
        <v>0</v>
      </c>
      <c r="G41" t="s">
        <v>86</v>
      </c>
      <c r="H41">
        <v>0</v>
      </c>
      <c r="I41">
        <v>120074.73</v>
      </c>
      <c r="J41">
        <v>1</v>
      </c>
      <c r="K41">
        <v>0</v>
      </c>
      <c r="L41">
        <v>5</v>
      </c>
      <c r="M41">
        <v>0</v>
      </c>
      <c r="N41">
        <v>1</v>
      </c>
      <c r="O41">
        <v>120074.73</v>
      </c>
      <c r="P41">
        <f>IF(C41&gt;=200000,5,IF(C41&gt;=100000,4,IF(C41&gt;=50000,3,IF(C41&gt;=10000,2,1))))</f>
        <v>4</v>
      </c>
      <c r="Q41">
        <f>IF(B41="TRANSFER",5,IF(B41="CASH_OUT",4,IF(B41="DEBIT",2,1)))</f>
        <v>4</v>
      </c>
      <c r="R41">
        <f>(P41*0.5)+(Q41*0.3)+(N41*0.1)+(M41*0.1)</f>
        <v>3.3000000000000003</v>
      </c>
      <c r="S41" t="str">
        <f t="shared" si="0"/>
        <v>HIGH</v>
      </c>
    </row>
    <row r="42" spans="1:19" x14ac:dyDescent="0.3">
      <c r="A42">
        <v>5</v>
      </c>
      <c r="B42" t="s">
        <v>15</v>
      </c>
      <c r="C42">
        <v>60726.57</v>
      </c>
      <c r="D42" t="s">
        <v>96</v>
      </c>
      <c r="E42">
        <v>60726.57</v>
      </c>
      <c r="F42">
        <v>0</v>
      </c>
      <c r="G42" t="s">
        <v>97</v>
      </c>
      <c r="H42">
        <v>0</v>
      </c>
      <c r="I42">
        <v>0</v>
      </c>
      <c r="J42">
        <v>1</v>
      </c>
      <c r="K42">
        <v>0</v>
      </c>
      <c r="L42">
        <v>5</v>
      </c>
      <c r="M42">
        <v>0</v>
      </c>
      <c r="N42">
        <v>1</v>
      </c>
      <c r="O42">
        <v>60726.57</v>
      </c>
      <c r="P42">
        <f>IF(C42&gt;=200000,5,IF(C42&gt;=100000,4,IF(C42&gt;=50000,3,IF(C42&gt;=10000,2,1))))</f>
        <v>3</v>
      </c>
      <c r="Q42">
        <f>IF(B42="TRANSFER",5,IF(B42="CASH_OUT",4,IF(B42="DEBIT",2,1)))</f>
        <v>5</v>
      </c>
      <c r="R42">
        <f>(P42*0.5)+(Q42*0.3)+(N42*0.1)+(M42*0.1)</f>
        <v>3.1</v>
      </c>
      <c r="S42" t="str">
        <f t="shared" si="0"/>
        <v>HIGH</v>
      </c>
    </row>
    <row r="43" spans="1:19" x14ac:dyDescent="0.3">
      <c r="A43">
        <v>5</v>
      </c>
      <c r="B43" t="s">
        <v>18</v>
      </c>
      <c r="C43">
        <v>60726.57</v>
      </c>
      <c r="D43" t="s">
        <v>98</v>
      </c>
      <c r="E43">
        <v>60726.57</v>
      </c>
      <c r="F43">
        <v>0</v>
      </c>
      <c r="G43" t="s">
        <v>99</v>
      </c>
      <c r="H43">
        <v>13000000</v>
      </c>
      <c r="I43">
        <v>13100000</v>
      </c>
      <c r="J43">
        <v>1</v>
      </c>
      <c r="K43">
        <v>0</v>
      </c>
      <c r="L43">
        <v>5</v>
      </c>
      <c r="M43">
        <v>0</v>
      </c>
      <c r="N43">
        <v>1</v>
      </c>
      <c r="O43">
        <v>60726.57</v>
      </c>
      <c r="P43">
        <f>IF(C43&gt;=200000,5,IF(C43&gt;=100000,4,IF(C43&gt;=50000,3,IF(C43&gt;=10000,2,1))))</f>
        <v>3</v>
      </c>
      <c r="Q43">
        <f>IF(B43="TRANSFER",5,IF(B43="CASH_OUT",4,IF(B43="DEBIT",2,1)))</f>
        <v>4</v>
      </c>
      <c r="R43">
        <f>(P43*0.5)+(Q43*0.3)+(N43*0.1)+(M43*0.1)</f>
        <v>2.8000000000000003</v>
      </c>
      <c r="S43" t="str">
        <f t="shared" si="0"/>
        <v>MEDIUM</v>
      </c>
    </row>
    <row r="44" spans="1:19" x14ac:dyDescent="0.3">
      <c r="A44">
        <v>5</v>
      </c>
      <c r="B44" t="s">
        <v>15</v>
      </c>
      <c r="C44">
        <v>10119.469999999999</v>
      </c>
      <c r="D44" t="s">
        <v>100</v>
      </c>
      <c r="E44">
        <v>10119.469999999999</v>
      </c>
      <c r="F44">
        <v>0</v>
      </c>
      <c r="G44" t="s">
        <v>101</v>
      </c>
      <c r="H44">
        <v>0</v>
      </c>
      <c r="I44">
        <v>0</v>
      </c>
      <c r="J44">
        <v>1</v>
      </c>
      <c r="K44">
        <v>0</v>
      </c>
      <c r="L44">
        <v>5</v>
      </c>
      <c r="M44">
        <v>0</v>
      </c>
      <c r="N44">
        <v>1</v>
      </c>
      <c r="O44">
        <v>10119.469999999999</v>
      </c>
      <c r="P44">
        <f>IF(C44&gt;=200000,5,IF(C44&gt;=100000,4,IF(C44&gt;=50000,3,IF(C44&gt;=10000,2,1))))</f>
        <v>2</v>
      </c>
      <c r="Q44">
        <f>IF(B44="TRANSFER",5,IF(B44="CASH_OUT",4,IF(B44="DEBIT",2,1)))</f>
        <v>5</v>
      </c>
      <c r="R44">
        <f>(P44*0.5)+(Q44*0.3)+(N44*0.1)+(M44*0.1)</f>
        <v>2.6</v>
      </c>
      <c r="S44" t="str">
        <f t="shared" si="0"/>
        <v>MEDIUM</v>
      </c>
    </row>
    <row r="45" spans="1:19" x14ac:dyDescent="0.3">
      <c r="A45">
        <v>5</v>
      </c>
      <c r="B45" t="s">
        <v>18</v>
      </c>
      <c r="C45">
        <v>10119.469999999999</v>
      </c>
      <c r="D45" t="s">
        <v>102</v>
      </c>
      <c r="E45">
        <v>10119.469999999999</v>
      </c>
      <c r="F45">
        <v>0</v>
      </c>
      <c r="G45" t="s">
        <v>103</v>
      </c>
      <c r="H45">
        <v>0</v>
      </c>
      <c r="I45">
        <v>10119.469999999999</v>
      </c>
      <c r="J45">
        <v>1</v>
      </c>
      <c r="K45">
        <v>0</v>
      </c>
      <c r="L45">
        <v>5</v>
      </c>
      <c r="M45">
        <v>0</v>
      </c>
      <c r="N45">
        <v>1</v>
      </c>
      <c r="O45">
        <v>10119.469999999999</v>
      </c>
      <c r="P45">
        <f>IF(C45&gt;=200000,5,IF(C45&gt;=100000,4,IF(C45&gt;=50000,3,IF(C45&gt;=10000,2,1))))</f>
        <v>2</v>
      </c>
      <c r="Q45">
        <f>IF(B45="TRANSFER",5,IF(B45="CASH_OUT",4,IF(B45="DEBIT",2,1)))</f>
        <v>4</v>
      </c>
      <c r="R45">
        <f>(P45*0.5)+(Q45*0.3)+(N45*0.1)+(M45*0.1)</f>
        <v>2.3000000000000003</v>
      </c>
      <c r="S45" t="str">
        <f t="shared" si="0"/>
        <v>MEDIUM</v>
      </c>
    </row>
    <row r="46" spans="1:19" x14ac:dyDescent="0.3">
      <c r="A46">
        <v>6</v>
      </c>
      <c r="B46" t="s">
        <v>15</v>
      </c>
      <c r="C46">
        <v>33332.86</v>
      </c>
      <c r="D46" t="s">
        <v>104</v>
      </c>
      <c r="E46">
        <v>33332.86</v>
      </c>
      <c r="F46">
        <v>0</v>
      </c>
      <c r="G46" t="s">
        <v>105</v>
      </c>
      <c r="H46">
        <v>0</v>
      </c>
      <c r="I46">
        <v>0</v>
      </c>
      <c r="J46">
        <v>1</v>
      </c>
      <c r="K46">
        <v>0</v>
      </c>
      <c r="L46">
        <v>6</v>
      </c>
      <c r="M46">
        <v>0</v>
      </c>
      <c r="N46">
        <v>1</v>
      </c>
      <c r="O46">
        <v>33332.86</v>
      </c>
      <c r="P46">
        <f>IF(C46&gt;=200000,5,IF(C46&gt;=100000,4,IF(C46&gt;=50000,3,IF(C46&gt;=10000,2,1))))</f>
        <v>2</v>
      </c>
      <c r="Q46">
        <f>IF(B46="TRANSFER",5,IF(B46="CASH_OUT",4,IF(B46="DEBIT",2,1)))</f>
        <v>5</v>
      </c>
      <c r="R46">
        <f>(P46*0.5)+(Q46*0.3)+(N46*0.1)+(M46*0.1)</f>
        <v>2.6</v>
      </c>
      <c r="S46" t="str">
        <f t="shared" si="0"/>
        <v>MEDIUM</v>
      </c>
    </row>
    <row r="47" spans="1:19" x14ac:dyDescent="0.3">
      <c r="A47">
        <v>6</v>
      </c>
      <c r="B47" t="s">
        <v>18</v>
      </c>
      <c r="C47">
        <v>33332.86</v>
      </c>
      <c r="D47" t="s">
        <v>106</v>
      </c>
      <c r="E47">
        <v>33332.86</v>
      </c>
      <c r="F47">
        <v>0</v>
      </c>
      <c r="G47" t="s">
        <v>107</v>
      </c>
      <c r="H47">
        <v>31002</v>
      </c>
      <c r="I47">
        <v>0</v>
      </c>
      <c r="J47">
        <v>1</v>
      </c>
      <c r="K47">
        <v>0</v>
      </c>
      <c r="L47">
        <v>6</v>
      </c>
      <c r="M47">
        <v>0</v>
      </c>
      <c r="N47">
        <v>1</v>
      </c>
      <c r="O47">
        <v>33332.86</v>
      </c>
      <c r="P47">
        <f>IF(C47&gt;=200000,5,IF(C47&gt;=100000,4,IF(C47&gt;=50000,3,IF(C47&gt;=10000,2,1))))</f>
        <v>2</v>
      </c>
      <c r="Q47">
        <f>IF(B47="TRANSFER",5,IF(B47="CASH_OUT",4,IF(B47="DEBIT",2,1)))</f>
        <v>4</v>
      </c>
      <c r="R47">
        <f>(P47*0.5)+(Q47*0.3)+(N47*0.1)+(M47*0.1)</f>
        <v>2.3000000000000003</v>
      </c>
      <c r="S47" t="str">
        <f t="shared" si="0"/>
        <v>MEDIUM</v>
      </c>
    </row>
    <row r="48" spans="1:19" x14ac:dyDescent="0.3">
      <c r="A48">
        <v>6</v>
      </c>
      <c r="B48" t="s">
        <v>15</v>
      </c>
      <c r="C48">
        <v>25975.86</v>
      </c>
      <c r="D48" t="s">
        <v>108</v>
      </c>
      <c r="E48">
        <v>25975.86</v>
      </c>
      <c r="F48">
        <v>0</v>
      </c>
      <c r="G48" t="s">
        <v>109</v>
      </c>
      <c r="H48">
        <v>0</v>
      </c>
      <c r="I48">
        <v>0</v>
      </c>
      <c r="J48">
        <v>1</v>
      </c>
      <c r="K48">
        <v>0</v>
      </c>
      <c r="L48">
        <v>6</v>
      </c>
      <c r="M48">
        <v>0</v>
      </c>
      <c r="N48">
        <v>1</v>
      </c>
      <c r="O48">
        <v>25975.86</v>
      </c>
      <c r="P48">
        <f>IF(C48&gt;=200000,5,IF(C48&gt;=100000,4,IF(C48&gt;=50000,3,IF(C48&gt;=10000,2,1))))</f>
        <v>2</v>
      </c>
      <c r="Q48">
        <f>IF(B48="TRANSFER",5,IF(B48="CASH_OUT",4,IF(B48="DEBIT",2,1)))</f>
        <v>5</v>
      </c>
      <c r="R48">
        <f>(P48*0.5)+(Q48*0.3)+(N48*0.1)+(M48*0.1)</f>
        <v>2.6</v>
      </c>
      <c r="S48" t="str">
        <f t="shared" si="0"/>
        <v>MEDIUM</v>
      </c>
    </row>
    <row r="49" spans="1:19" x14ac:dyDescent="0.3">
      <c r="A49">
        <v>6</v>
      </c>
      <c r="B49" t="s">
        <v>18</v>
      </c>
      <c r="C49">
        <v>25975.86</v>
      </c>
      <c r="D49" t="s">
        <v>110</v>
      </c>
      <c r="E49">
        <v>25975.86</v>
      </c>
      <c r="F49">
        <v>0</v>
      </c>
      <c r="G49" t="s">
        <v>111</v>
      </c>
      <c r="H49">
        <v>98152</v>
      </c>
      <c r="I49">
        <v>28041.27</v>
      </c>
      <c r="J49">
        <v>1</v>
      </c>
      <c r="K49">
        <v>0</v>
      </c>
      <c r="L49">
        <v>6</v>
      </c>
      <c r="M49">
        <v>0</v>
      </c>
      <c r="N49">
        <v>1</v>
      </c>
      <c r="O49">
        <v>25975.86</v>
      </c>
      <c r="P49">
        <f>IF(C49&gt;=200000,5,IF(C49&gt;=100000,4,IF(C49&gt;=50000,3,IF(C49&gt;=10000,2,1))))</f>
        <v>2</v>
      </c>
      <c r="Q49">
        <f>IF(B49="TRANSFER",5,IF(B49="CASH_OUT",4,IF(B49="DEBIT",2,1)))</f>
        <v>4</v>
      </c>
      <c r="R49">
        <f>(P49*0.5)+(Q49*0.3)+(N49*0.1)+(M49*0.1)</f>
        <v>2.3000000000000003</v>
      </c>
      <c r="S49" t="str">
        <f t="shared" si="0"/>
        <v>MEDIUM</v>
      </c>
    </row>
    <row r="50" spans="1:19" x14ac:dyDescent="0.3">
      <c r="A50">
        <v>6</v>
      </c>
      <c r="B50" t="s">
        <v>15</v>
      </c>
      <c r="C50">
        <v>26768.5</v>
      </c>
      <c r="D50" t="s">
        <v>112</v>
      </c>
      <c r="E50">
        <v>26768.5</v>
      </c>
      <c r="F50">
        <v>0</v>
      </c>
      <c r="G50" t="s">
        <v>113</v>
      </c>
      <c r="H50">
        <v>0</v>
      </c>
      <c r="I50">
        <v>0</v>
      </c>
      <c r="J50">
        <v>1</v>
      </c>
      <c r="K50">
        <v>0</v>
      </c>
      <c r="L50">
        <v>6</v>
      </c>
      <c r="M50">
        <v>0</v>
      </c>
      <c r="N50">
        <v>1</v>
      </c>
      <c r="O50">
        <v>26768.5</v>
      </c>
      <c r="P50">
        <f>IF(C50&gt;=200000,5,IF(C50&gt;=100000,4,IF(C50&gt;=50000,3,IF(C50&gt;=10000,2,1))))</f>
        <v>2</v>
      </c>
      <c r="Q50">
        <f>IF(B50="TRANSFER",5,IF(B50="CASH_OUT",4,IF(B50="DEBIT",2,1)))</f>
        <v>5</v>
      </c>
      <c r="R50">
        <f>(P50*0.5)+(Q50*0.3)+(N50*0.1)+(M50*0.1)</f>
        <v>2.6</v>
      </c>
      <c r="S50" t="str">
        <f t="shared" si="0"/>
        <v>MEDIUM</v>
      </c>
    </row>
    <row r="51" spans="1:19" x14ac:dyDescent="0.3">
      <c r="A51">
        <v>6</v>
      </c>
      <c r="B51" t="s">
        <v>18</v>
      </c>
      <c r="C51">
        <v>26768.5</v>
      </c>
      <c r="D51" t="s">
        <v>114</v>
      </c>
      <c r="E51">
        <v>26768.5</v>
      </c>
      <c r="F51">
        <v>0</v>
      </c>
      <c r="G51" t="s">
        <v>115</v>
      </c>
      <c r="H51">
        <v>101976</v>
      </c>
      <c r="I51">
        <v>128744.5</v>
      </c>
      <c r="J51">
        <v>1</v>
      </c>
      <c r="K51">
        <v>0</v>
      </c>
      <c r="L51">
        <v>6</v>
      </c>
      <c r="M51">
        <v>0</v>
      </c>
      <c r="N51">
        <v>1</v>
      </c>
      <c r="O51">
        <v>26768.5</v>
      </c>
      <c r="P51">
        <f>IF(C51&gt;=200000,5,IF(C51&gt;=100000,4,IF(C51&gt;=50000,3,IF(C51&gt;=10000,2,1))))</f>
        <v>2</v>
      </c>
      <c r="Q51">
        <f>IF(B51="TRANSFER",5,IF(B51="CASH_OUT",4,IF(B51="DEBIT",2,1)))</f>
        <v>4</v>
      </c>
      <c r="R51">
        <f>(P51*0.5)+(Q51*0.3)+(N51*0.1)+(M51*0.1)</f>
        <v>2.3000000000000003</v>
      </c>
      <c r="S51" t="str">
        <f t="shared" si="0"/>
        <v>MEDIUM</v>
      </c>
    </row>
    <row r="52" spans="1:19" x14ac:dyDescent="0.3">
      <c r="A52">
        <v>6</v>
      </c>
      <c r="B52" t="s">
        <v>15</v>
      </c>
      <c r="C52">
        <v>30521.02</v>
      </c>
      <c r="D52" t="s">
        <v>116</v>
      </c>
      <c r="E52">
        <v>30521.02</v>
      </c>
      <c r="F52">
        <v>0</v>
      </c>
      <c r="G52" t="s">
        <v>117</v>
      </c>
      <c r="H52">
        <v>0</v>
      </c>
      <c r="I52">
        <v>0</v>
      </c>
      <c r="J52">
        <v>1</v>
      </c>
      <c r="K52">
        <v>0</v>
      </c>
      <c r="L52">
        <v>6</v>
      </c>
      <c r="M52">
        <v>0</v>
      </c>
      <c r="N52">
        <v>1</v>
      </c>
      <c r="O52">
        <v>30521.02</v>
      </c>
      <c r="P52">
        <f>IF(C52&gt;=200000,5,IF(C52&gt;=100000,4,IF(C52&gt;=50000,3,IF(C52&gt;=10000,2,1))))</f>
        <v>2</v>
      </c>
      <c r="Q52">
        <f>IF(B52="TRANSFER",5,IF(B52="CASH_OUT",4,IF(B52="DEBIT",2,1)))</f>
        <v>5</v>
      </c>
      <c r="R52">
        <f>(P52*0.5)+(Q52*0.3)+(N52*0.1)+(M52*0.1)</f>
        <v>2.6</v>
      </c>
      <c r="S52" t="str">
        <f t="shared" si="0"/>
        <v>MEDIUM</v>
      </c>
    </row>
    <row r="53" spans="1:19" x14ac:dyDescent="0.3">
      <c r="A53">
        <v>6</v>
      </c>
      <c r="B53" t="s">
        <v>18</v>
      </c>
      <c r="C53">
        <v>30521.02</v>
      </c>
      <c r="D53" t="s">
        <v>118</v>
      </c>
      <c r="E53">
        <v>30521.02</v>
      </c>
      <c r="F53">
        <v>0</v>
      </c>
      <c r="G53" t="s">
        <v>119</v>
      </c>
      <c r="H53">
        <v>0</v>
      </c>
      <c r="I53">
        <v>30521.02</v>
      </c>
      <c r="J53">
        <v>1</v>
      </c>
      <c r="K53">
        <v>0</v>
      </c>
      <c r="L53">
        <v>6</v>
      </c>
      <c r="M53">
        <v>0</v>
      </c>
      <c r="N53">
        <v>1</v>
      </c>
      <c r="O53">
        <v>30521.02</v>
      </c>
      <c r="P53">
        <f>IF(C53&gt;=200000,5,IF(C53&gt;=100000,4,IF(C53&gt;=50000,3,IF(C53&gt;=10000,2,1))))</f>
        <v>2</v>
      </c>
      <c r="Q53">
        <f>IF(B53="TRANSFER",5,IF(B53="CASH_OUT",4,IF(B53="DEBIT",2,1)))</f>
        <v>4</v>
      </c>
      <c r="R53">
        <f>(P53*0.5)+(Q53*0.3)+(N53*0.1)+(M53*0.1)</f>
        <v>2.3000000000000003</v>
      </c>
      <c r="S53" t="str">
        <f t="shared" si="0"/>
        <v>MEDIUM</v>
      </c>
    </row>
    <row r="54" spans="1:19" x14ac:dyDescent="0.3">
      <c r="A54">
        <v>6</v>
      </c>
      <c r="B54" t="s">
        <v>15</v>
      </c>
      <c r="C54">
        <v>216422</v>
      </c>
      <c r="D54" t="s">
        <v>120</v>
      </c>
      <c r="E54">
        <v>216422</v>
      </c>
      <c r="F54">
        <v>0</v>
      </c>
      <c r="G54" t="s">
        <v>121</v>
      </c>
      <c r="H54">
        <v>0</v>
      </c>
      <c r="I54">
        <v>0</v>
      </c>
      <c r="J54">
        <v>1</v>
      </c>
      <c r="K54">
        <v>0</v>
      </c>
      <c r="L54">
        <v>6</v>
      </c>
      <c r="M54">
        <v>0</v>
      </c>
      <c r="N54">
        <v>1</v>
      </c>
      <c r="O54">
        <v>216422</v>
      </c>
      <c r="P54">
        <f>IF(C54&gt;=200000,5,IF(C54&gt;=100000,4,IF(C54&gt;=50000,3,IF(C54&gt;=10000,2,1))))</f>
        <v>5</v>
      </c>
      <c r="Q54">
        <f>IF(B54="TRANSFER",5,IF(B54="CASH_OUT",4,IF(B54="DEBIT",2,1)))</f>
        <v>5</v>
      </c>
      <c r="R54">
        <f>(P54*0.5)+(Q54*0.3)+(N54*0.1)+(M54*0.1)</f>
        <v>4.0999999999999996</v>
      </c>
      <c r="S54" t="str">
        <f t="shared" si="0"/>
        <v>HIGH</v>
      </c>
    </row>
    <row r="55" spans="1:19" x14ac:dyDescent="0.3">
      <c r="A55">
        <v>6</v>
      </c>
      <c r="B55" t="s">
        <v>18</v>
      </c>
      <c r="C55">
        <v>216422</v>
      </c>
      <c r="D55" t="s">
        <v>122</v>
      </c>
      <c r="E55">
        <v>216422</v>
      </c>
      <c r="F55">
        <v>0</v>
      </c>
      <c r="G55" t="s">
        <v>123</v>
      </c>
      <c r="H55">
        <v>10097</v>
      </c>
      <c r="I55">
        <v>48630.5</v>
      </c>
      <c r="J55">
        <v>1</v>
      </c>
      <c r="K55">
        <v>0</v>
      </c>
      <c r="L55">
        <v>6</v>
      </c>
      <c r="M55">
        <v>0</v>
      </c>
      <c r="N55">
        <v>1</v>
      </c>
      <c r="O55">
        <v>216422</v>
      </c>
      <c r="P55">
        <f>IF(C55&gt;=200000,5,IF(C55&gt;=100000,4,IF(C55&gt;=50000,3,IF(C55&gt;=10000,2,1))))</f>
        <v>5</v>
      </c>
      <c r="Q55">
        <f>IF(B55="TRANSFER",5,IF(B55="CASH_OUT",4,IF(B55="DEBIT",2,1)))</f>
        <v>4</v>
      </c>
      <c r="R55">
        <f>(P55*0.5)+(Q55*0.3)+(N55*0.1)+(M55*0.1)</f>
        <v>3.8000000000000003</v>
      </c>
      <c r="S55" t="str">
        <f t="shared" si="0"/>
        <v>HIGH</v>
      </c>
    </row>
    <row r="56" spans="1:19" x14ac:dyDescent="0.3">
      <c r="A56">
        <v>6</v>
      </c>
      <c r="B56" t="s">
        <v>15</v>
      </c>
      <c r="C56">
        <v>17320.91</v>
      </c>
      <c r="D56" t="s">
        <v>124</v>
      </c>
      <c r="E56">
        <v>17320.91</v>
      </c>
      <c r="F56">
        <v>0</v>
      </c>
      <c r="G56" t="s">
        <v>125</v>
      </c>
      <c r="H56">
        <v>0</v>
      </c>
      <c r="I56">
        <v>0</v>
      </c>
      <c r="J56">
        <v>1</v>
      </c>
      <c r="K56">
        <v>0</v>
      </c>
      <c r="L56">
        <v>6</v>
      </c>
      <c r="M56">
        <v>0</v>
      </c>
      <c r="N56">
        <v>1</v>
      </c>
      <c r="O56">
        <v>17320.91</v>
      </c>
      <c r="P56">
        <f>IF(C56&gt;=200000,5,IF(C56&gt;=100000,4,IF(C56&gt;=50000,3,IF(C56&gt;=10000,2,1))))</f>
        <v>2</v>
      </c>
      <c r="Q56">
        <f>IF(B56="TRANSFER",5,IF(B56="CASH_OUT",4,IF(B56="DEBIT",2,1)))</f>
        <v>5</v>
      </c>
      <c r="R56">
        <f>(P56*0.5)+(Q56*0.3)+(N56*0.1)+(M56*0.1)</f>
        <v>2.6</v>
      </c>
      <c r="S56" t="str">
        <f t="shared" si="0"/>
        <v>MEDIUM</v>
      </c>
    </row>
    <row r="57" spans="1:19" x14ac:dyDescent="0.3">
      <c r="A57">
        <v>6</v>
      </c>
      <c r="B57" t="s">
        <v>18</v>
      </c>
      <c r="C57">
        <v>17320.91</v>
      </c>
      <c r="D57" t="s">
        <v>126</v>
      </c>
      <c r="E57">
        <v>17320.91</v>
      </c>
      <c r="F57">
        <v>0</v>
      </c>
      <c r="G57" t="s">
        <v>127</v>
      </c>
      <c r="H57">
        <v>6244.44</v>
      </c>
      <c r="I57">
        <v>0</v>
      </c>
      <c r="J57">
        <v>1</v>
      </c>
      <c r="K57">
        <v>0</v>
      </c>
      <c r="L57">
        <v>6</v>
      </c>
      <c r="M57">
        <v>0</v>
      </c>
      <c r="N57">
        <v>1</v>
      </c>
      <c r="O57">
        <v>17320.91</v>
      </c>
      <c r="P57">
        <f>IF(C57&gt;=200000,5,IF(C57&gt;=100000,4,IF(C57&gt;=50000,3,IF(C57&gt;=10000,2,1))))</f>
        <v>2</v>
      </c>
      <c r="Q57">
        <f>IF(B57="TRANSFER",5,IF(B57="CASH_OUT",4,IF(B57="DEBIT",2,1)))</f>
        <v>4</v>
      </c>
      <c r="R57">
        <f>(P57*0.5)+(Q57*0.3)+(N57*0.1)+(M57*0.1)</f>
        <v>2.3000000000000003</v>
      </c>
      <c r="S57" t="str">
        <f t="shared" si="0"/>
        <v>MEDIUM</v>
      </c>
    </row>
    <row r="58" spans="1:19" x14ac:dyDescent="0.3">
      <c r="A58">
        <v>6</v>
      </c>
      <c r="B58" t="s">
        <v>15</v>
      </c>
      <c r="C58">
        <v>17246</v>
      </c>
      <c r="D58" t="s">
        <v>128</v>
      </c>
      <c r="E58">
        <v>17246</v>
      </c>
      <c r="F58">
        <v>0</v>
      </c>
      <c r="G58" t="s">
        <v>129</v>
      </c>
      <c r="H58">
        <v>0</v>
      </c>
      <c r="I58">
        <v>101717.84</v>
      </c>
      <c r="J58">
        <v>1</v>
      </c>
      <c r="K58">
        <v>0</v>
      </c>
      <c r="L58">
        <v>6</v>
      </c>
      <c r="M58">
        <v>0</v>
      </c>
      <c r="N58">
        <v>1</v>
      </c>
      <c r="O58">
        <v>17246</v>
      </c>
      <c r="P58">
        <f>IF(C58&gt;=200000,5,IF(C58&gt;=100000,4,IF(C58&gt;=50000,3,IF(C58&gt;=10000,2,1))))</f>
        <v>2</v>
      </c>
      <c r="Q58">
        <f>IF(B58="TRANSFER",5,IF(B58="CASH_OUT",4,IF(B58="DEBIT",2,1)))</f>
        <v>5</v>
      </c>
      <c r="R58">
        <f>(P58*0.5)+(Q58*0.3)+(N58*0.1)+(M58*0.1)</f>
        <v>2.6</v>
      </c>
      <c r="S58" t="str">
        <f t="shared" si="0"/>
        <v>MEDIUM</v>
      </c>
    </row>
    <row r="59" spans="1:19" x14ac:dyDescent="0.3">
      <c r="A59">
        <v>6</v>
      </c>
      <c r="B59" t="s">
        <v>18</v>
      </c>
      <c r="C59">
        <v>17246</v>
      </c>
      <c r="D59" t="s">
        <v>130</v>
      </c>
      <c r="E59">
        <v>17246</v>
      </c>
      <c r="F59">
        <v>0</v>
      </c>
      <c r="G59" t="s">
        <v>131</v>
      </c>
      <c r="H59">
        <v>0</v>
      </c>
      <c r="I59">
        <v>17246</v>
      </c>
      <c r="J59">
        <v>1</v>
      </c>
      <c r="K59">
        <v>0</v>
      </c>
      <c r="L59">
        <v>6</v>
      </c>
      <c r="M59">
        <v>0</v>
      </c>
      <c r="N59">
        <v>1</v>
      </c>
      <c r="O59">
        <v>17246</v>
      </c>
      <c r="P59">
        <f>IF(C59&gt;=200000,5,IF(C59&gt;=100000,4,IF(C59&gt;=50000,3,IF(C59&gt;=10000,2,1))))</f>
        <v>2</v>
      </c>
      <c r="Q59">
        <f>IF(B59="TRANSFER",5,IF(B59="CASH_OUT",4,IF(B59="DEBIT",2,1)))</f>
        <v>4</v>
      </c>
      <c r="R59">
        <f>(P59*0.5)+(Q59*0.3)+(N59*0.1)+(M59*0.1)</f>
        <v>2.3000000000000003</v>
      </c>
      <c r="S59" t="str">
        <f t="shared" si="0"/>
        <v>MEDIUM</v>
      </c>
    </row>
    <row r="60" spans="1:19" x14ac:dyDescent="0.3">
      <c r="A60">
        <v>6</v>
      </c>
      <c r="B60" t="s">
        <v>15</v>
      </c>
      <c r="C60">
        <v>10565</v>
      </c>
      <c r="D60" t="s">
        <v>132</v>
      </c>
      <c r="E60">
        <v>10565</v>
      </c>
      <c r="F60">
        <v>0</v>
      </c>
      <c r="G60" t="s">
        <v>133</v>
      </c>
      <c r="H60">
        <v>0</v>
      </c>
      <c r="I60">
        <v>0</v>
      </c>
      <c r="J60">
        <v>1</v>
      </c>
      <c r="K60">
        <v>0</v>
      </c>
      <c r="L60">
        <v>6</v>
      </c>
      <c r="M60">
        <v>0</v>
      </c>
      <c r="N60">
        <v>1</v>
      </c>
      <c r="O60">
        <v>10565</v>
      </c>
      <c r="P60">
        <f>IF(C60&gt;=200000,5,IF(C60&gt;=100000,4,IF(C60&gt;=50000,3,IF(C60&gt;=10000,2,1))))</f>
        <v>2</v>
      </c>
      <c r="Q60">
        <f>IF(B60="TRANSFER",5,IF(B60="CASH_OUT",4,IF(B60="DEBIT",2,1)))</f>
        <v>5</v>
      </c>
      <c r="R60">
        <f>(P60*0.5)+(Q60*0.3)+(N60*0.1)+(M60*0.1)</f>
        <v>2.6</v>
      </c>
      <c r="S60" t="str">
        <f t="shared" si="0"/>
        <v>MEDIUM</v>
      </c>
    </row>
    <row r="61" spans="1:19" x14ac:dyDescent="0.3">
      <c r="A61">
        <v>6</v>
      </c>
      <c r="B61" t="s">
        <v>18</v>
      </c>
      <c r="C61">
        <v>10565</v>
      </c>
      <c r="D61" t="s">
        <v>134</v>
      </c>
      <c r="E61">
        <v>10565</v>
      </c>
      <c r="F61">
        <v>0</v>
      </c>
      <c r="G61" t="s">
        <v>135</v>
      </c>
      <c r="H61">
        <v>36275</v>
      </c>
      <c r="I61">
        <v>24380.720000000001</v>
      </c>
      <c r="J61">
        <v>1</v>
      </c>
      <c r="K61">
        <v>0</v>
      </c>
      <c r="L61">
        <v>6</v>
      </c>
      <c r="M61">
        <v>0</v>
      </c>
      <c r="N61">
        <v>1</v>
      </c>
      <c r="O61">
        <v>10565</v>
      </c>
      <c r="P61">
        <f>IF(C61&gt;=200000,5,IF(C61&gt;=100000,4,IF(C61&gt;=50000,3,IF(C61&gt;=10000,2,1))))</f>
        <v>2</v>
      </c>
      <c r="Q61">
        <f>IF(B61="TRANSFER",5,IF(B61="CASH_OUT",4,IF(B61="DEBIT",2,1)))</f>
        <v>4</v>
      </c>
      <c r="R61">
        <f>(P61*0.5)+(Q61*0.3)+(N61*0.1)+(M61*0.1)</f>
        <v>2.3000000000000003</v>
      </c>
      <c r="S61" t="str">
        <f t="shared" si="0"/>
        <v>MEDIUM</v>
      </c>
    </row>
    <row r="62" spans="1:19" x14ac:dyDescent="0.3">
      <c r="A62">
        <v>6</v>
      </c>
      <c r="B62" t="s">
        <v>15</v>
      </c>
      <c r="C62">
        <v>10224</v>
      </c>
      <c r="D62" t="s">
        <v>136</v>
      </c>
      <c r="E62">
        <v>10224</v>
      </c>
      <c r="F62">
        <v>0</v>
      </c>
      <c r="G62" t="s">
        <v>137</v>
      </c>
      <c r="H62">
        <v>0</v>
      </c>
      <c r="I62">
        <v>0</v>
      </c>
      <c r="J62">
        <v>1</v>
      </c>
      <c r="K62">
        <v>0</v>
      </c>
      <c r="L62">
        <v>6</v>
      </c>
      <c r="M62">
        <v>0</v>
      </c>
      <c r="N62">
        <v>1</v>
      </c>
      <c r="O62">
        <v>10224</v>
      </c>
      <c r="P62">
        <f>IF(C62&gt;=200000,5,IF(C62&gt;=100000,4,IF(C62&gt;=50000,3,IF(C62&gt;=10000,2,1))))</f>
        <v>2</v>
      </c>
      <c r="Q62">
        <f>IF(B62="TRANSFER",5,IF(B62="CASH_OUT",4,IF(B62="DEBIT",2,1)))</f>
        <v>5</v>
      </c>
      <c r="R62">
        <f>(P62*0.5)+(Q62*0.3)+(N62*0.1)+(M62*0.1)</f>
        <v>2.6</v>
      </c>
      <c r="S62" t="str">
        <f t="shared" si="0"/>
        <v>MEDIUM</v>
      </c>
    </row>
    <row r="63" spans="1:19" x14ac:dyDescent="0.3">
      <c r="A63">
        <v>6</v>
      </c>
      <c r="B63" t="s">
        <v>18</v>
      </c>
      <c r="C63">
        <v>10224</v>
      </c>
      <c r="D63" t="s">
        <v>138</v>
      </c>
      <c r="E63">
        <v>10224</v>
      </c>
      <c r="F63">
        <v>0</v>
      </c>
      <c r="G63" t="s">
        <v>139</v>
      </c>
      <c r="H63">
        <v>0</v>
      </c>
      <c r="I63">
        <v>10224</v>
      </c>
      <c r="J63">
        <v>1</v>
      </c>
      <c r="K63">
        <v>0</v>
      </c>
      <c r="L63">
        <v>6</v>
      </c>
      <c r="M63">
        <v>0</v>
      </c>
      <c r="N63">
        <v>1</v>
      </c>
      <c r="O63">
        <v>10224</v>
      </c>
      <c r="P63">
        <f>IF(C63&gt;=200000,5,IF(C63&gt;=100000,4,IF(C63&gt;=50000,3,IF(C63&gt;=10000,2,1))))</f>
        <v>2</v>
      </c>
      <c r="Q63">
        <f>IF(B63="TRANSFER",5,IF(B63="CASH_OUT",4,IF(B63="DEBIT",2,1)))</f>
        <v>4</v>
      </c>
      <c r="R63">
        <f>(P63*0.5)+(Q63*0.3)+(N63*0.1)+(M63*0.1)</f>
        <v>2.3000000000000003</v>
      </c>
      <c r="S63" t="str">
        <f t="shared" si="0"/>
        <v>MEDIUM</v>
      </c>
    </row>
    <row r="64" spans="1:19" x14ac:dyDescent="0.3">
      <c r="A64">
        <v>6</v>
      </c>
      <c r="B64" t="s">
        <v>15</v>
      </c>
      <c r="C64">
        <v>85354.69</v>
      </c>
      <c r="D64" t="s">
        <v>140</v>
      </c>
      <c r="E64">
        <v>85354.69</v>
      </c>
      <c r="F64">
        <v>0</v>
      </c>
      <c r="G64" t="s">
        <v>141</v>
      </c>
      <c r="H64">
        <v>0</v>
      </c>
      <c r="I64">
        <v>0</v>
      </c>
      <c r="J64">
        <v>1</v>
      </c>
      <c r="K64">
        <v>0</v>
      </c>
      <c r="L64">
        <v>6</v>
      </c>
      <c r="M64">
        <v>0</v>
      </c>
      <c r="N64">
        <v>1</v>
      </c>
      <c r="O64">
        <v>85354.69</v>
      </c>
      <c r="P64">
        <f>IF(C64&gt;=200000,5,IF(C64&gt;=100000,4,IF(C64&gt;=50000,3,IF(C64&gt;=10000,2,1))))</f>
        <v>3</v>
      </c>
      <c r="Q64">
        <f>IF(B64="TRANSFER",5,IF(B64="CASH_OUT",4,IF(B64="DEBIT",2,1)))</f>
        <v>5</v>
      </c>
      <c r="R64">
        <f>(P64*0.5)+(Q64*0.3)+(N64*0.1)+(M64*0.1)</f>
        <v>3.1</v>
      </c>
      <c r="S64" t="str">
        <f t="shared" si="0"/>
        <v>HIGH</v>
      </c>
    </row>
    <row r="65" spans="1:19" x14ac:dyDescent="0.3">
      <c r="A65">
        <v>6</v>
      </c>
      <c r="B65" t="s">
        <v>18</v>
      </c>
      <c r="C65">
        <v>85354.69</v>
      </c>
      <c r="D65" t="s">
        <v>142</v>
      </c>
      <c r="E65">
        <v>85354.69</v>
      </c>
      <c r="F65">
        <v>0</v>
      </c>
      <c r="G65" t="s">
        <v>143</v>
      </c>
      <c r="H65">
        <v>11170</v>
      </c>
      <c r="I65">
        <v>10612.55</v>
      </c>
      <c r="J65">
        <v>1</v>
      </c>
      <c r="K65">
        <v>0</v>
      </c>
      <c r="L65">
        <v>6</v>
      </c>
      <c r="M65">
        <v>0</v>
      </c>
      <c r="N65">
        <v>1</v>
      </c>
      <c r="O65">
        <v>85354.69</v>
      </c>
      <c r="P65">
        <f>IF(C65&gt;=200000,5,IF(C65&gt;=100000,4,IF(C65&gt;=50000,3,IF(C65&gt;=10000,2,1))))</f>
        <v>3</v>
      </c>
      <c r="Q65">
        <f>IF(B65="TRANSFER",5,IF(B65="CASH_OUT",4,IF(B65="DEBIT",2,1)))</f>
        <v>4</v>
      </c>
      <c r="R65">
        <f>(P65*0.5)+(Q65*0.3)+(N65*0.1)+(M65*0.1)</f>
        <v>2.8000000000000003</v>
      </c>
      <c r="S65" t="str">
        <f t="shared" si="0"/>
        <v>MEDIUM</v>
      </c>
    </row>
    <row r="66" spans="1:19" x14ac:dyDescent="0.3">
      <c r="A66">
        <v>6</v>
      </c>
      <c r="B66" t="s">
        <v>15</v>
      </c>
      <c r="C66">
        <v>13704</v>
      </c>
      <c r="D66" t="s">
        <v>144</v>
      </c>
      <c r="E66">
        <v>13704</v>
      </c>
      <c r="F66">
        <v>0</v>
      </c>
      <c r="G66" t="s">
        <v>145</v>
      </c>
      <c r="H66">
        <v>0</v>
      </c>
      <c r="I66">
        <v>1658746.09</v>
      </c>
      <c r="J66">
        <v>1</v>
      </c>
      <c r="K66">
        <v>0</v>
      </c>
      <c r="L66">
        <v>6</v>
      </c>
      <c r="M66">
        <v>0</v>
      </c>
      <c r="N66">
        <v>1</v>
      </c>
      <c r="O66">
        <v>13704</v>
      </c>
      <c r="P66">
        <f>IF(C66&gt;=200000,5,IF(C66&gt;=100000,4,IF(C66&gt;=50000,3,IF(C66&gt;=10000,2,1))))</f>
        <v>2</v>
      </c>
      <c r="Q66">
        <f>IF(B66="TRANSFER",5,IF(B66="CASH_OUT",4,IF(B66="DEBIT",2,1)))</f>
        <v>5</v>
      </c>
      <c r="R66">
        <f>(P66*0.5)+(Q66*0.3)+(N66*0.1)+(M66*0.1)</f>
        <v>2.6</v>
      </c>
      <c r="S66" t="str">
        <f t="shared" si="0"/>
        <v>MEDIUM</v>
      </c>
    </row>
    <row r="67" spans="1:19" x14ac:dyDescent="0.3">
      <c r="A67">
        <v>6</v>
      </c>
      <c r="B67" t="s">
        <v>18</v>
      </c>
      <c r="C67">
        <v>13704</v>
      </c>
      <c r="D67" t="s">
        <v>146</v>
      </c>
      <c r="E67">
        <v>13704</v>
      </c>
      <c r="F67">
        <v>0</v>
      </c>
      <c r="G67" t="s">
        <v>147</v>
      </c>
      <c r="H67">
        <v>3382.84</v>
      </c>
      <c r="I67">
        <v>143675.35</v>
      </c>
      <c r="J67">
        <v>1</v>
      </c>
      <c r="K67">
        <v>0</v>
      </c>
      <c r="L67">
        <v>6</v>
      </c>
      <c r="M67">
        <v>0</v>
      </c>
      <c r="N67">
        <v>1</v>
      </c>
      <c r="O67">
        <v>13704</v>
      </c>
      <c r="P67">
        <f>IF(C67&gt;=200000,5,IF(C67&gt;=100000,4,IF(C67&gt;=50000,3,IF(C67&gt;=10000,2,1))))</f>
        <v>2</v>
      </c>
      <c r="Q67">
        <f>IF(B67="TRANSFER",5,IF(B67="CASH_OUT",4,IF(B67="DEBIT",2,1)))</f>
        <v>4</v>
      </c>
      <c r="R67">
        <f>(P67*0.5)+(Q67*0.3)+(N67*0.1)+(M67*0.1)</f>
        <v>2.3000000000000003</v>
      </c>
      <c r="S67" t="str">
        <f t="shared" ref="S67:S130" si="1">IF(R67&gt;=3,"HIGH",IF(R67&gt;=2,"MEDIUM","LOW"))</f>
        <v>MEDIUM</v>
      </c>
    </row>
    <row r="68" spans="1:19" x14ac:dyDescent="0.3">
      <c r="A68">
        <v>7</v>
      </c>
      <c r="B68" t="s">
        <v>15</v>
      </c>
      <c r="C68">
        <v>262434.53999999998</v>
      </c>
      <c r="D68" t="s">
        <v>148</v>
      </c>
      <c r="E68">
        <v>262434.53999999998</v>
      </c>
      <c r="F68">
        <v>0</v>
      </c>
      <c r="G68" t="s">
        <v>149</v>
      </c>
      <c r="H68">
        <v>0</v>
      </c>
      <c r="I68">
        <v>0</v>
      </c>
      <c r="J68">
        <v>1</v>
      </c>
      <c r="K68">
        <v>0</v>
      </c>
      <c r="L68">
        <v>7</v>
      </c>
      <c r="M68">
        <v>0</v>
      </c>
      <c r="N68">
        <v>1</v>
      </c>
      <c r="O68">
        <v>262434.53999999998</v>
      </c>
      <c r="P68">
        <f>IF(C68&gt;=200000,5,IF(C68&gt;=100000,4,IF(C68&gt;=50000,3,IF(C68&gt;=10000,2,1))))</f>
        <v>5</v>
      </c>
      <c r="Q68">
        <f>IF(B68="TRANSFER",5,IF(B68="CASH_OUT",4,IF(B68="DEBIT",2,1)))</f>
        <v>5</v>
      </c>
      <c r="R68">
        <f>(P68*0.5)+(Q68*0.3)+(N68*0.1)+(M68*0.1)</f>
        <v>4.0999999999999996</v>
      </c>
      <c r="S68" t="str">
        <f t="shared" si="1"/>
        <v>HIGH</v>
      </c>
    </row>
    <row r="69" spans="1:19" x14ac:dyDescent="0.3">
      <c r="A69">
        <v>7</v>
      </c>
      <c r="B69" t="s">
        <v>18</v>
      </c>
      <c r="C69">
        <v>262434.53999999998</v>
      </c>
      <c r="D69" t="s">
        <v>150</v>
      </c>
      <c r="E69">
        <v>262434.53999999998</v>
      </c>
      <c r="F69">
        <v>0</v>
      </c>
      <c r="G69" t="s">
        <v>151</v>
      </c>
      <c r="H69">
        <v>19525.79</v>
      </c>
      <c r="I69">
        <v>438233.86</v>
      </c>
      <c r="J69">
        <v>1</v>
      </c>
      <c r="K69">
        <v>0</v>
      </c>
      <c r="L69">
        <v>7</v>
      </c>
      <c r="M69">
        <v>0</v>
      </c>
      <c r="N69">
        <v>1</v>
      </c>
      <c r="O69">
        <v>262434.53999999998</v>
      </c>
      <c r="P69">
        <f>IF(C69&gt;=200000,5,IF(C69&gt;=100000,4,IF(C69&gt;=50000,3,IF(C69&gt;=10000,2,1))))</f>
        <v>5</v>
      </c>
      <c r="Q69">
        <f>IF(B69="TRANSFER",5,IF(B69="CASH_OUT",4,IF(B69="DEBIT",2,1)))</f>
        <v>4</v>
      </c>
      <c r="R69">
        <f>(P69*0.5)+(Q69*0.3)+(N69*0.1)+(M69*0.1)</f>
        <v>3.8000000000000003</v>
      </c>
      <c r="S69" t="str">
        <f t="shared" si="1"/>
        <v>HIGH</v>
      </c>
    </row>
    <row r="70" spans="1:19" x14ac:dyDescent="0.3">
      <c r="A70">
        <v>7</v>
      </c>
      <c r="B70" t="s">
        <v>15</v>
      </c>
      <c r="C70">
        <v>21729</v>
      </c>
      <c r="D70" t="s">
        <v>152</v>
      </c>
      <c r="E70">
        <v>21729</v>
      </c>
      <c r="F70">
        <v>0</v>
      </c>
      <c r="G70" t="s">
        <v>153</v>
      </c>
      <c r="H70">
        <v>0</v>
      </c>
      <c r="I70">
        <v>0</v>
      </c>
      <c r="J70">
        <v>1</v>
      </c>
      <c r="K70">
        <v>0</v>
      </c>
      <c r="L70">
        <v>7</v>
      </c>
      <c r="M70">
        <v>0</v>
      </c>
      <c r="N70">
        <v>1</v>
      </c>
      <c r="O70">
        <v>21729</v>
      </c>
      <c r="P70">
        <f>IF(C70&gt;=200000,5,IF(C70&gt;=100000,4,IF(C70&gt;=50000,3,IF(C70&gt;=10000,2,1))))</f>
        <v>2</v>
      </c>
      <c r="Q70">
        <f>IF(B70="TRANSFER",5,IF(B70="CASH_OUT",4,IF(B70="DEBIT",2,1)))</f>
        <v>5</v>
      </c>
      <c r="R70">
        <f>(P70*0.5)+(Q70*0.3)+(N70*0.1)+(M70*0.1)</f>
        <v>2.6</v>
      </c>
      <c r="S70" t="str">
        <f t="shared" si="1"/>
        <v>MEDIUM</v>
      </c>
    </row>
    <row r="71" spans="1:19" x14ac:dyDescent="0.3">
      <c r="A71">
        <v>7</v>
      </c>
      <c r="B71" t="s">
        <v>18</v>
      </c>
      <c r="C71">
        <v>21729</v>
      </c>
      <c r="D71" t="s">
        <v>154</v>
      </c>
      <c r="E71">
        <v>21729</v>
      </c>
      <c r="F71">
        <v>0</v>
      </c>
      <c r="G71" t="s">
        <v>155</v>
      </c>
      <c r="H71">
        <v>27335</v>
      </c>
      <c r="I71">
        <v>0</v>
      </c>
      <c r="J71">
        <v>1</v>
      </c>
      <c r="K71">
        <v>0</v>
      </c>
      <c r="L71">
        <v>7</v>
      </c>
      <c r="M71">
        <v>0</v>
      </c>
      <c r="N71">
        <v>1</v>
      </c>
      <c r="O71">
        <v>21729</v>
      </c>
      <c r="P71">
        <f>IF(C71&gt;=200000,5,IF(C71&gt;=100000,4,IF(C71&gt;=50000,3,IF(C71&gt;=10000,2,1))))</f>
        <v>2</v>
      </c>
      <c r="Q71">
        <f>IF(B71="TRANSFER",5,IF(B71="CASH_OUT",4,IF(B71="DEBIT",2,1)))</f>
        <v>4</v>
      </c>
      <c r="R71">
        <f>(P71*0.5)+(Q71*0.3)+(N71*0.1)+(M71*0.1)</f>
        <v>2.3000000000000003</v>
      </c>
      <c r="S71" t="str">
        <f t="shared" si="1"/>
        <v>MEDIUM</v>
      </c>
    </row>
    <row r="72" spans="1:19" x14ac:dyDescent="0.3">
      <c r="A72">
        <v>7</v>
      </c>
      <c r="B72" t="s">
        <v>15</v>
      </c>
      <c r="C72">
        <v>5460002.9100000001</v>
      </c>
      <c r="D72" t="s">
        <v>156</v>
      </c>
      <c r="E72">
        <v>5460002.9100000001</v>
      </c>
      <c r="F72">
        <v>0</v>
      </c>
      <c r="G72" t="s">
        <v>157</v>
      </c>
      <c r="H72">
        <v>0</v>
      </c>
      <c r="I72">
        <v>0</v>
      </c>
      <c r="J72">
        <v>1</v>
      </c>
      <c r="K72">
        <v>0</v>
      </c>
      <c r="L72">
        <v>7</v>
      </c>
      <c r="M72">
        <v>0</v>
      </c>
      <c r="N72">
        <v>1</v>
      </c>
      <c r="O72">
        <v>5460002.9100000001</v>
      </c>
      <c r="P72">
        <f>IF(C72&gt;=200000,5,IF(C72&gt;=100000,4,IF(C72&gt;=50000,3,IF(C72&gt;=10000,2,1))))</f>
        <v>5</v>
      </c>
      <c r="Q72">
        <f>IF(B72="TRANSFER",5,IF(B72="CASH_OUT",4,IF(B72="DEBIT",2,1)))</f>
        <v>5</v>
      </c>
      <c r="R72">
        <f>(P72*0.5)+(Q72*0.3)+(N72*0.1)+(M72*0.1)</f>
        <v>4.0999999999999996</v>
      </c>
      <c r="S72" t="str">
        <f t="shared" si="1"/>
        <v>HIGH</v>
      </c>
    </row>
    <row r="73" spans="1:19" x14ac:dyDescent="0.3">
      <c r="A73">
        <v>7</v>
      </c>
      <c r="B73" t="s">
        <v>18</v>
      </c>
      <c r="C73">
        <v>5460002.9100000001</v>
      </c>
      <c r="D73" t="s">
        <v>158</v>
      </c>
      <c r="E73">
        <v>5460002.9100000001</v>
      </c>
      <c r="F73">
        <v>0</v>
      </c>
      <c r="G73" t="s">
        <v>159</v>
      </c>
      <c r="H73">
        <v>0</v>
      </c>
      <c r="I73">
        <v>9281535.4399999995</v>
      </c>
      <c r="J73">
        <v>1</v>
      </c>
      <c r="K73">
        <v>0</v>
      </c>
      <c r="L73">
        <v>7</v>
      </c>
      <c r="M73">
        <v>0</v>
      </c>
      <c r="N73">
        <v>1</v>
      </c>
      <c r="O73">
        <v>5460002.9100000001</v>
      </c>
      <c r="P73">
        <f>IF(C73&gt;=200000,5,IF(C73&gt;=100000,4,IF(C73&gt;=50000,3,IF(C73&gt;=10000,2,1))))</f>
        <v>5</v>
      </c>
      <c r="Q73">
        <f>IF(B73="TRANSFER",5,IF(B73="CASH_OUT",4,IF(B73="DEBIT",2,1)))</f>
        <v>4</v>
      </c>
      <c r="R73">
        <f>(P73*0.5)+(Q73*0.3)+(N73*0.1)+(M73*0.1)</f>
        <v>3.8000000000000003</v>
      </c>
      <c r="S73" t="str">
        <f t="shared" si="1"/>
        <v>HIGH</v>
      </c>
    </row>
    <row r="74" spans="1:19" x14ac:dyDescent="0.3">
      <c r="A74">
        <v>7</v>
      </c>
      <c r="B74" t="s">
        <v>15</v>
      </c>
      <c r="C74">
        <v>164</v>
      </c>
      <c r="D74" t="s">
        <v>160</v>
      </c>
      <c r="E74">
        <v>164</v>
      </c>
      <c r="F74">
        <v>0</v>
      </c>
      <c r="G74" t="s">
        <v>161</v>
      </c>
      <c r="H74">
        <v>0</v>
      </c>
      <c r="I74">
        <v>0</v>
      </c>
      <c r="J74">
        <v>1</v>
      </c>
      <c r="K74">
        <v>0</v>
      </c>
      <c r="L74">
        <v>7</v>
      </c>
      <c r="M74">
        <v>0</v>
      </c>
      <c r="N74">
        <v>1</v>
      </c>
      <c r="O74">
        <v>164</v>
      </c>
      <c r="P74">
        <f>IF(C74&gt;=200000,5,IF(C74&gt;=100000,4,IF(C74&gt;=50000,3,IF(C74&gt;=10000,2,1))))</f>
        <v>1</v>
      </c>
      <c r="Q74">
        <f>IF(B74="TRANSFER",5,IF(B74="CASH_OUT",4,IF(B74="DEBIT",2,1)))</f>
        <v>5</v>
      </c>
      <c r="R74">
        <f>(P74*0.5)+(Q74*0.3)+(N74*0.1)+(M74*0.1)</f>
        <v>2.1</v>
      </c>
      <c r="S74" t="str">
        <f t="shared" si="1"/>
        <v>MEDIUM</v>
      </c>
    </row>
    <row r="75" spans="1:19" x14ac:dyDescent="0.3">
      <c r="A75">
        <v>7</v>
      </c>
      <c r="B75" t="s">
        <v>18</v>
      </c>
      <c r="C75">
        <v>164</v>
      </c>
      <c r="D75" t="s">
        <v>162</v>
      </c>
      <c r="E75">
        <v>164</v>
      </c>
      <c r="F75">
        <v>0</v>
      </c>
      <c r="G75" t="s">
        <v>163</v>
      </c>
      <c r="H75">
        <v>4068</v>
      </c>
      <c r="I75">
        <v>0</v>
      </c>
      <c r="J75">
        <v>1</v>
      </c>
      <c r="K75">
        <v>0</v>
      </c>
      <c r="L75">
        <v>7</v>
      </c>
      <c r="M75">
        <v>0</v>
      </c>
      <c r="N75">
        <v>1</v>
      </c>
      <c r="O75">
        <v>164</v>
      </c>
      <c r="P75">
        <f>IF(C75&gt;=200000,5,IF(C75&gt;=100000,4,IF(C75&gt;=50000,3,IF(C75&gt;=10000,2,1))))</f>
        <v>1</v>
      </c>
      <c r="Q75">
        <f>IF(B75="TRANSFER",5,IF(B75="CASH_OUT",4,IF(B75="DEBIT",2,1)))</f>
        <v>4</v>
      </c>
      <c r="R75">
        <f>(P75*0.5)+(Q75*0.3)+(N75*0.1)+(M75*0.1)</f>
        <v>1.8</v>
      </c>
      <c r="S75" t="str">
        <f t="shared" si="1"/>
        <v>LOW</v>
      </c>
    </row>
    <row r="76" spans="1:19" x14ac:dyDescent="0.3">
      <c r="A76">
        <v>7</v>
      </c>
      <c r="B76" t="s">
        <v>15</v>
      </c>
      <c r="C76">
        <v>21571</v>
      </c>
      <c r="D76" t="s">
        <v>164</v>
      </c>
      <c r="E76">
        <v>21571</v>
      </c>
      <c r="F76">
        <v>0</v>
      </c>
      <c r="G76" t="s">
        <v>165</v>
      </c>
      <c r="H76">
        <v>0</v>
      </c>
      <c r="I76">
        <v>0</v>
      </c>
      <c r="J76">
        <v>1</v>
      </c>
      <c r="K76">
        <v>0</v>
      </c>
      <c r="L76">
        <v>7</v>
      </c>
      <c r="M76">
        <v>0</v>
      </c>
      <c r="N76">
        <v>1</v>
      </c>
      <c r="O76">
        <v>21571</v>
      </c>
      <c r="P76">
        <f>IF(C76&gt;=200000,5,IF(C76&gt;=100000,4,IF(C76&gt;=50000,3,IF(C76&gt;=10000,2,1))))</f>
        <v>2</v>
      </c>
      <c r="Q76">
        <f>IF(B76="TRANSFER",5,IF(B76="CASH_OUT",4,IF(B76="DEBIT",2,1)))</f>
        <v>5</v>
      </c>
      <c r="R76">
        <f>(P76*0.5)+(Q76*0.3)+(N76*0.1)+(M76*0.1)</f>
        <v>2.6</v>
      </c>
      <c r="S76" t="str">
        <f t="shared" si="1"/>
        <v>MEDIUM</v>
      </c>
    </row>
    <row r="77" spans="1:19" x14ac:dyDescent="0.3">
      <c r="A77">
        <v>7</v>
      </c>
      <c r="B77" t="s">
        <v>18</v>
      </c>
      <c r="C77">
        <v>21571</v>
      </c>
      <c r="D77" t="s">
        <v>166</v>
      </c>
      <c r="E77">
        <v>21571</v>
      </c>
      <c r="F77">
        <v>0</v>
      </c>
      <c r="G77" t="s">
        <v>167</v>
      </c>
      <c r="H77">
        <v>30797.41</v>
      </c>
      <c r="I77">
        <v>71140.3</v>
      </c>
      <c r="J77">
        <v>1</v>
      </c>
      <c r="K77">
        <v>0</v>
      </c>
      <c r="L77">
        <v>7</v>
      </c>
      <c r="M77">
        <v>0</v>
      </c>
      <c r="N77">
        <v>1</v>
      </c>
      <c r="O77">
        <v>21571</v>
      </c>
      <c r="P77">
        <f>IF(C77&gt;=200000,5,IF(C77&gt;=100000,4,IF(C77&gt;=50000,3,IF(C77&gt;=10000,2,1))))</f>
        <v>2</v>
      </c>
      <c r="Q77">
        <f>IF(B77="TRANSFER",5,IF(B77="CASH_OUT",4,IF(B77="DEBIT",2,1)))</f>
        <v>4</v>
      </c>
      <c r="R77">
        <f>(P77*0.5)+(Q77*0.3)+(N77*0.1)+(M77*0.1)</f>
        <v>2.3000000000000003</v>
      </c>
      <c r="S77" t="str">
        <f t="shared" si="1"/>
        <v>MEDIUM</v>
      </c>
    </row>
    <row r="78" spans="1:19" x14ac:dyDescent="0.3">
      <c r="A78">
        <v>7</v>
      </c>
      <c r="B78" t="s">
        <v>15</v>
      </c>
      <c r="C78">
        <v>441445.58</v>
      </c>
      <c r="D78" t="s">
        <v>168</v>
      </c>
      <c r="E78">
        <v>441445.58</v>
      </c>
      <c r="F78">
        <v>0</v>
      </c>
      <c r="G78" t="s">
        <v>169</v>
      </c>
      <c r="H78">
        <v>0</v>
      </c>
      <c r="I78">
        <v>0</v>
      </c>
      <c r="J78">
        <v>1</v>
      </c>
      <c r="K78">
        <v>0</v>
      </c>
      <c r="L78">
        <v>7</v>
      </c>
      <c r="M78">
        <v>0</v>
      </c>
      <c r="N78">
        <v>1</v>
      </c>
      <c r="O78">
        <v>441445.58</v>
      </c>
      <c r="P78">
        <f>IF(C78&gt;=200000,5,IF(C78&gt;=100000,4,IF(C78&gt;=50000,3,IF(C78&gt;=10000,2,1))))</f>
        <v>5</v>
      </c>
      <c r="Q78">
        <f>IF(B78="TRANSFER",5,IF(B78="CASH_OUT",4,IF(B78="DEBIT",2,1)))</f>
        <v>5</v>
      </c>
      <c r="R78">
        <f>(P78*0.5)+(Q78*0.3)+(N78*0.1)+(M78*0.1)</f>
        <v>4.0999999999999996</v>
      </c>
      <c r="S78" t="str">
        <f t="shared" si="1"/>
        <v>HIGH</v>
      </c>
    </row>
    <row r="79" spans="1:19" x14ac:dyDescent="0.3">
      <c r="A79">
        <v>7</v>
      </c>
      <c r="B79" t="s">
        <v>18</v>
      </c>
      <c r="C79">
        <v>441445.58</v>
      </c>
      <c r="D79" t="s">
        <v>170</v>
      </c>
      <c r="E79">
        <v>441445.58</v>
      </c>
      <c r="F79">
        <v>0</v>
      </c>
      <c r="G79" t="s">
        <v>171</v>
      </c>
      <c r="H79">
        <v>98993.5</v>
      </c>
      <c r="I79">
        <v>0</v>
      </c>
      <c r="J79">
        <v>1</v>
      </c>
      <c r="K79">
        <v>0</v>
      </c>
      <c r="L79">
        <v>7</v>
      </c>
      <c r="M79">
        <v>0</v>
      </c>
      <c r="N79">
        <v>1</v>
      </c>
      <c r="O79">
        <v>441445.58</v>
      </c>
      <c r="P79">
        <f>IF(C79&gt;=200000,5,IF(C79&gt;=100000,4,IF(C79&gt;=50000,3,IF(C79&gt;=10000,2,1))))</f>
        <v>5</v>
      </c>
      <c r="Q79">
        <f>IF(B79="TRANSFER",5,IF(B79="CASH_OUT",4,IF(B79="DEBIT",2,1)))</f>
        <v>4</v>
      </c>
      <c r="R79">
        <f>(P79*0.5)+(Q79*0.3)+(N79*0.1)+(M79*0.1)</f>
        <v>3.8000000000000003</v>
      </c>
      <c r="S79" t="str">
        <f t="shared" si="1"/>
        <v>HIGH</v>
      </c>
    </row>
    <row r="80" spans="1:19" x14ac:dyDescent="0.3">
      <c r="A80">
        <v>8</v>
      </c>
      <c r="B80" t="s">
        <v>18</v>
      </c>
      <c r="C80">
        <v>181728.11</v>
      </c>
      <c r="D80" t="s">
        <v>172</v>
      </c>
      <c r="E80">
        <v>0</v>
      </c>
      <c r="F80">
        <v>0</v>
      </c>
      <c r="G80" t="s">
        <v>173</v>
      </c>
      <c r="H80">
        <v>11397</v>
      </c>
      <c r="I80">
        <v>184477.77</v>
      </c>
      <c r="J80">
        <v>1</v>
      </c>
      <c r="K80">
        <v>0</v>
      </c>
      <c r="L80">
        <v>8</v>
      </c>
      <c r="M80">
        <v>0</v>
      </c>
      <c r="N80">
        <v>0</v>
      </c>
      <c r="O80">
        <v>0</v>
      </c>
      <c r="P80">
        <f>IF(C80&gt;=200000,5,IF(C80&gt;=100000,4,IF(C80&gt;=50000,3,IF(C80&gt;=10000,2,1))))</f>
        <v>4</v>
      </c>
      <c r="Q80">
        <f>IF(B80="TRANSFER",5,IF(B80="CASH_OUT",4,IF(B80="DEBIT",2,1)))</f>
        <v>4</v>
      </c>
      <c r="R80">
        <f>(P80*0.5)+(Q80*0.3)+(N80*0.1)+(M80*0.1)</f>
        <v>3.2</v>
      </c>
      <c r="S80" t="str">
        <f t="shared" si="1"/>
        <v>HIGH</v>
      </c>
    </row>
    <row r="81" spans="1:19" x14ac:dyDescent="0.3">
      <c r="A81">
        <v>8</v>
      </c>
      <c r="B81" t="s">
        <v>15</v>
      </c>
      <c r="C81">
        <v>222</v>
      </c>
      <c r="D81" t="s">
        <v>174</v>
      </c>
      <c r="E81">
        <v>222</v>
      </c>
      <c r="F81">
        <v>0</v>
      </c>
      <c r="G81" t="s">
        <v>175</v>
      </c>
      <c r="H81">
        <v>0</v>
      </c>
      <c r="I81">
        <v>267095.19</v>
      </c>
      <c r="J81">
        <v>1</v>
      </c>
      <c r="K81">
        <v>0</v>
      </c>
      <c r="L81">
        <v>8</v>
      </c>
      <c r="M81">
        <v>0</v>
      </c>
      <c r="N81">
        <v>1</v>
      </c>
      <c r="O81">
        <v>222</v>
      </c>
      <c r="P81">
        <f>IF(C81&gt;=200000,5,IF(C81&gt;=100000,4,IF(C81&gt;=50000,3,IF(C81&gt;=10000,2,1))))</f>
        <v>1</v>
      </c>
      <c r="Q81">
        <f>IF(B81="TRANSFER",5,IF(B81="CASH_OUT",4,IF(B81="DEBIT",2,1)))</f>
        <v>5</v>
      </c>
      <c r="R81">
        <f>(P81*0.5)+(Q81*0.3)+(N81*0.1)+(M81*0.1)</f>
        <v>2.1</v>
      </c>
      <c r="S81" t="str">
        <f t="shared" si="1"/>
        <v>MEDIUM</v>
      </c>
    </row>
    <row r="82" spans="1:19" x14ac:dyDescent="0.3">
      <c r="A82">
        <v>8</v>
      </c>
      <c r="B82" t="s">
        <v>18</v>
      </c>
      <c r="C82">
        <v>222</v>
      </c>
      <c r="D82" t="s">
        <v>176</v>
      </c>
      <c r="E82">
        <v>222</v>
      </c>
      <c r="F82">
        <v>0</v>
      </c>
      <c r="G82" t="s">
        <v>177</v>
      </c>
      <c r="H82">
        <v>24708</v>
      </c>
      <c r="I82">
        <v>171647.35</v>
      </c>
      <c r="J82">
        <v>1</v>
      </c>
      <c r="K82">
        <v>0</v>
      </c>
      <c r="L82">
        <v>8</v>
      </c>
      <c r="M82">
        <v>0</v>
      </c>
      <c r="N82">
        <v>1</v>
      </c>
      <c r="O82">
        <v>222</v>
      </c>
      <c r="P82">
        <f>IF(C82&gt;=200000,5,IF(C82&gt;=100000,4,IF(C82&gt;=50000,3,IF(C82&gt;=10000,2,1))))</f>
        <v>1</v>
      </c>
      <c r="Q82">
        <f>IF(B82="TRANSFER",5,IF(B82="CASH_OUT",4,IF(B82="DEBIT",2,1)))</f>
        <v>4</v>
      </c>
      <c r="R82">
        <f>(P82*0.5)+(Q82*0.3)+(N82*0.1)+(M82*0.1)</f>
        <v>1.8</v>
      </c>
      <c r="S82" t="str">
        <f t="shared" si="1"/>
        <v>LOW</v>
      </c>
    </row>
    <row r="83" spans="1:19" x14ac:dyDescent="0.3">
      <c r="A83">
        <v>8</v>
      </c>
      <c r="B83" t="s">
        <v>15</v>
      </c>
      <c r="C83">
        <v>1996.17</v>
      </c>
      <c r="D83" t="s">
        <v>178</v>
      </c>
      <c r="E83">
        <v>1996.17</v>
      </c>
      <c r="F83">
        <v>0</v>
      </c>
      <c r="G83" t="s">
        <v>179</v>
      </c>
      <c r="H83">
        <v>0</v>
      </c>
      <c r="I83">
        <v>0</v>
      </c>
      <c r="J83">
        <v>1</v>
      </c>
      <c r="K83">
        <v>0</v>
      </c>
      <c r="L83">
        <v>8</v>
      </c>
      <c r="M83">
        <v>0</v>
      </c>
      <c r="N83">
        <v>1</v>
      </c>
      <c r="O83">
        <v>1996.17</v>
      </c>
      <c r="P83">
        <f>IF(C83&gt;=200000,5,IF(C83&gt;=100000,4,IF(C83&gt;=50000,3,IF(C83&gt;=10000,2,1))))</f>
        <v>1</v>
      </c>
      <c r="Q83">
        <f>IF(B83="TRANSFER",5,IF(B83="CASH_OUT",4,IF(B83="DEBIT",2,1)))</f>
        <v>5</v>
      </c>
      <c r="R83">
        <f>(P83*0.5)+(Q83*0.3)+(N83*0.1)+(M83*0.1)</f>
        <v>2.1</v>
      </c>
      <c r="S83" t="str">
        <f t="shared" si="1"/>
        <v>MEDIUM</v>
      </c>
    </row>
    <row r="84" spans="1:19" x14ac:dyDescent="0.3">
      <c r="A84">
        <v>8</v>
      </c>
      <c r="B84" t="s">
        <v>18</v>
      </c>
      <c r="C84">
        <v>1996.17</v>
      </c>
      <c r="D84" t="s">
        <v>180</v>
      </c>
      <c r="E84">
        <v>1996.17</v>
      </c>
      <c r="F84">
        <v>0</v>
      </c>
      <c r="G84" t="s">
        <v>181</v>
      </c>
      <c r="H84">
        <v>2559.7399999999998</v>
      </c>
      <c r="I84">
        <v>4555.92</v>
      </c>
      <c r="J84">
        <v>1</v>
      </c>
      <c r="K84">
        <v>0</v>
      </c>
      <c r="L84">
        <v>8</v>
      </c>
      <c r="M84">
        <v>0</v>
      </c>
      <c r="N84">
        <v>1</v>
      </c>
      <c r="O84">
        <v>1996.17</v>
      </c>
      <c r="P84">
        <f>IF(C84&gt;=200000,5,IF(C84&gt;=100000,4,IF(C84&gt;=50000,3,IF(C84&gt;=10000,2,1))))</f>
        <v>1</v>
      </c>
      <c r="Q84">
        <f>IF(B84="TRANSFER",5,IF(B84="CASH_OUT",4,IF(B84="DEBIT",2,1)))</f>
        <v>4</v>
      </c>
      <c r="R84">
        <f>(P84*0.5)+(Q84*0.3)+(N84*0.1)+(M84*0.1)</f>
        <v>1.8</v>
      </c>
      <c r="S84" t="str">
        <f t="shared" si="1"/>
        <v>LOW</v>
      </c>
    </row>
    <row r="85" spans="1:19" x14ac:dyDescent="0.3">
      <c r="A85">
        <v>8</v>
      </c>
      <c r="B85" t="s">
        <v>15</v>
      </c>
      <c r="C85">
        <v>1078013.76</v>
      </c>
      <c r="D85" t="s">
        <v>182</v>
      </c>
      <c r="E85">
        <v>0</v>
      </c>
      <c r="F85">
        <v>0</v>
      </c>
      <c r="G85" t="s">
        <v>183</v>
      </c>
      <c r="H85">
        <v>0</v>
      </c>
      <c r="I85">
        <v>970749.68</v>
      </c>
      <c r="J85">
        <v>1</v>
      </c>
      <c r="K85">
        <v>0</v>
      </c>
      <c r="L85">
        <v>8</v>
      </c>
      <c r="M85">
        <v>0</v>
      </c>
      <c r="N85">
        <v>0</v>
      </c>
      <c r="O85">
        <v>0</v>
      </c>
      <c r="P85">
        <f>IF(C85&gt;=200000,5,IF(C85&gt;=100000,4,IF(C85&gt;=50000,3,IF(C85&gt;=10000,2,1))))</f>
        <v>5</v>
      </c>
      <c r="Q85">
        <f>IF(B85="TRANSFER",5,IF(B85="CASH_OUT",4,IF(B85="DEBIT",2,1)))</f>
        <v>5</v>
      </c>
      <c r="R85">
        <f>(P85*0.5)+(Q85*0.3)+(N85*0.1)+(M85*0.1)</f>
        <v>4</v>
      </c>
      <c r="S85" t="str">
        <f t="shared" si="1"/>
        <v>HIGH</v>
      </c>
    </row>
    <row r="86" spans="1:19" x14ac:dyDescent="0.3">
      <c r="A86">
        <v>8</v>
      </c>
      <c r="B86" t="s">
        <v>15</v>
      </c>
      <c r="C86">
        <v>89631.24</v>
      </c>
      <c r="D86" t="s">
        <v>184</v>
      </c>
      <c r="E86">
        <v>89631.24</v>
      </c>
      <c r="F86">
        <v>0</v>
      </c>
      <c r="G86" t="s">
        <v>185</v>
      </c>
      <c r="H86">
        <v>0</v>
      </c>
      <c r="I86">
        <v>0</v>
      </c>
      <c r="J86">
        <v>1</v>
      </c>
      <c r="K86">
        <v>0</v>
      </c>
      <c r="L86">
        <v>8</v>
      </c>
      <c r="M86">
        <v>0</v>
      </c>
      <c r="N86">
        <v>1</v>
      </c>
      <c r="O86">
        <v>89631.24</v>
      </c>
      <c r="P86">
        <f>IF(C86&gt;=200000,5,IF(C86&gt;=100000,4,IF(C86&gt;=50000,3,IF(C86&gt;=10000,2,1))))</f>
        <v>3</v>
      </c>
      <c r="Q86">
        <f>IF(B86="TRANSFER",5,IF(B86="CASH_OUT",4,IF(B86="DEBIT",2,1)))</f>
        <v>5</v>
      </c>
      <c r="R86">
        <f>(P86*0.5)+(Q86*0.3)+(N86*0.1)+(M86*0.1)</f>
        <v>3.1</v>
      </c>
      <c r="S86" t="str">
        <f t="shared" si="1"/>
        <v>HIGH</v>
      </c>
    </row>
    <row r="87" spans="1:19" x14ac:dyDescent="0.3">
      <c r="A87">
        <v>8</v>
      </c>
      <c r="B87" t="s">
        <v>18</v>
      </c>
      <c r="C87">
        <v>89631.24</v>
      </c>
      <c r="D87" t="s">
        <v>186</v>
      </c>
      <c r="E87">
        <v>89631.24</v>
      </c>
      <c r="F87">
        <v>0</v>
      </c>
      <c r="G87" t="s">
        <v>187</v>
      </c>
      <c r="H87">
        <v>21175</v>
      </c>
      <c r="I87">
        <v>0</v>
      </c>
      <c r="J87">
        <v>1</v>
      </c>
      <c r="K87">
        <v>0</v>
      </c>
      <c r="L87">
        <v>8</v>
      </c>
      <c r="M87">
        <v>0</v>
      </c>
      <c r="N87">
        <v>1</v>
      </c>
      <c r="O87">
        <v>89631.24</v>
      </c>
      <c r="P87">
        <f>IF(C87&gt;=200000,5,IF(C87&gt;=100000,4,IF(C87&gt;=50000,3,IF(C87&gt;=10000,2,1))))</f>
        <v>3</v>
      </c>
      <c r="Q87">
        <f>IF(B87="TRANSFER",5,IF(B87="CASH_OUT",4,IF(B87="DEBIT",2,1)))</f>
        <v>4</v>
      </c>
      <c r="R87">
        <f>(P87*0.5)+(Q87*0.3)+(N87*0.1)+(M87*0.1)</f>
        <v>2.8000000000000003</v>
      </c>
      <c r="S87" t="str">
        <f t="shared" si="1"/>
        <v>MEDIUM</v>
      </c>
    </row>
    <row r="88" spans="1:19" x14ac:dyDescent="0.3">
      <c r="A88">
        <v>8</v>
      </c>
      <c r="B88" t="s">
        <v>15</v>
      </c>
      <c r="C88">
        <v>29707.86</v>
      </c>
      <c r="D88" t="s">
        <v>188</v>
      </c>
      <c r="E88">
        <v>29707.86</v>
      </c>
      <c r="F88">
        <v>0</v>
      </c>
      <c r="G88" t="s">
        <v>189</v>
      </c>
      <c r="H88">
        <v>0</v>
      </c>
      <c r="I88">
        <v>0</v>
      </c>
      <c r="J88">
        <v>1</v>
      </c>
      <c r="K88">
        <v>0</v>
      </c>
      <c r="L88">
        <v>8</v>
      </c>
      <c r="M88">
        <v>0</v>
      </c>
      <c r="N88">
        <v>1</v>
      </c>
      <c r="O88">
        <v>29707.86</v>
      </c>
      <c r="P88">
        <f>IF(C88&gt;=200000,5,IF(C88&gt;=100000,4,IF(C88&gt;=50000,3,IF(C88&gt;=10000,2,1))))</f>
        <v>2</v>
      </c>
      <c r="Q88">
        <f>IF(B88="TRANSFER",5,IF(B88="CASH_OUT",4,IF(B88="DEBIT",2,1)))</f>
        <v>5</v>
      </c>
      <c r="R88">
        <f>(P88*0.5)+(Q88*0.3)+(N88*0.1)+(M88*0.1)</f>
        <v>2.6</v>
      </c>
      <c r="S88" t="str">
        <f t="shared" si="1"/>
        <v>MEDIUM</v>
      </c>
    </row>
    <row r="89" spans="1:19" x14ac:dyDescent="0.3">
      <c r="A89">
        <v>8</v>
      </c>
      <c r="B89" t="s">
        <v>18</v>
      </c>
      <c r="C89">
        <v>29707.86</v>
      </c>
      <c r="D89" t="s">
        <v>190</v>
      </c>
      <c r="E89">
        <v>29707.86</v>
      </c>
      <c r="F89">
        <v>0</v>
      </c>
      <c r="G89" t="s">
        <v>191</v>
      </c>
      <c r="H89">
        <v>10935</v>
      </c>
      <c r="I89">
        <v>0</v>
      </c>
      <c r="J89">
        <v>1</v>
      </c>
      <c r="K89">
        <v>0</v>
      </c>
      <c r="L89">
        <v>8</v>
      </c>
      <c r="M89">
        <v>0</v>
      </c>
      <c r="N89">
        <v>1</v>
      </c>
      <c r="O89">
        <v>29707.86</v>
      </c>
      <c r="P89">
        <f>IF(C89&gt;=200000,5,IF(C89&gt;=100000,4,IF(C89&gt;=50000,3,IF(C89&gt;=10000,2,1))))</f>
        <v>2</v>
      </c>
      <c r="Q89">
        <f>IF(B89="TRANSFER",5,IF(B89="CASH_OUT",4,IF(B89="DEBIT",2,1)))</f>
        <v>4</v>
      </c>
      <c r="R89">
        <f>(P89*0.5)+(Q89*0.3)+(N89*0.1)+(M89*0.1)</f>
        <v>2.3000000000000003</v>
      </c>
      <c r="S89" t="str">
        <f t="shared" si="1"/>
        <v>MEDIUM</v>
      </c>
    </row>
    <row r="90" spans="1:19" x14ac:dyDescent="0.3">
      <c r="A90">
        <v>8</v>
      </c>
      <c r="B90" t="s">
        <v>15</v>
      </c>
      <c r="C90">
        <v>43092</v>
      </c>
      <c r="D90" t="s">
        <v>192</v>
      </c>
      <c r="E90">
        <v>43092</v>
      </c>
      <c r="F90">
        <v>0</v>
      </c>
      <c r="G90" t="s">
        <v>193</v>
      </c>
      <c r="H90">
        <v>0</v>
      </c>
      <c r="I90">
        <v>0</v>
      </c>
      <c r="J90">
        <v>1</v>
      </c>
      <c r="K90">
        <v>0</v>
      </c>
      <c r="L90">
        <v>8</v>
      </c>
      <c r="M90">
        <v>0</v>
      </c>
      <c r="N90">
        <v>1</v>
      </c>
      <c r="O90">
        <v>43092</v>
      </c>
      <c r="P90">
        <f>IF(C90&gt;=200000,5,IF(C90&gt;=100000,4,IF(C90&gt;=50000,3,IF(C90&gt;=10000,2,1))))</f>
        <v>2</v>
      </c>
      <c r="Q90">
        <f>IF(B90="TRANSFER",5,IF(B90="CASH_OUT",4,IF(B90="DEBIT",2,1)))</f>
        <v>5</v>
      </c>
      <c r="R90">
        <f>(P90*0.5)+(Q90*0.3)+(N90*0.1)+(M90*0.1)</f>
        <v>2.6</v>
      </c>
      <c r="S90" t="str">
        <f t="shared" si="1"/>
        <v>MEDIUM</v>
      </c>
    </row>
    <row r="91" spans="1:19" x14ac:dyDescent="0.3">
      <c r="A91">
        <v>8</v>
      </c>
      <c r="B91" t="s">
        <v>18</v>
      </c>
      <c r="C91">
        <v>43092</v>
      </c>
      <c r="D91" t="s">
        <v>194</v>
      </c>
      <c r="E91">
        <v>43092</v>
      </c>
      <c r="F91">
        <v>0</v>
      </c>
      <c r="G91" t="s">
        <v>195</v>
      </c>
      <c r="H91">
        <v>660641.74</v>
      </c>
      <c r="I91">
        <v>1158662.8999999999</v>
      </c>
      <c r="J91">
        <v>1</v>
      </c>
      <c r="K91">
        <v>0</v>
      </c>
      <c r="L91">
        <v>8</v>
      </c>
      <c r="M91">
        <v>0</v>
      </c>
      <c r="N91">
        <v>1</v>
      </c>
      <c r="O91">
        <v>43092</v>
      </c>
      <c r="P91">
        <f>IF(C91&gt;=200000,5,IF(C91&gt;=100000,4,IF(C91&gt;=50000,3,IF(C91&gt;=10000,2,1))))</f>
        <v>2</v>
      </c>
      <c r="Q91">
        <f>IF(B91="TRANSFER",5,IF(B91="CASH_OUT",4,IF(B91="DEBIT",2,1)))</f>
        <v>4</v>
      </c>
      <c r="R91">
        <f>(P91*0.5)+(Q91*0.3)+(N91*0.1)+(M91*0.1)</f>
        <v>2.3000000000000003</v>
      </c>
      <c r="S91" t="str">
        <f t="shared" si="1"/>
        <v>MEDIUM</v>
      </c>
    </row>
    <row r="92" spans="1:19" x14ac:dyDescent="0.3">
      <c r="A92">
        <v>9</v>
      </c>
      <c r="B92" t="s">
        <v>15</v>
      </c>
      <c r="C92">
        <v>556218.01</v>
      </c>
      <c r="D92" t="s">
        <v>196</v>
      </c>
      <c r="E92">
        <v>556218.01</v>
      </c>
      <c r="F92">
        <v>0</v>
      </c>
      <c r="G92" t="s">
        <v>197</v>
      </c>
      <c r="H92">
        <v>0</v>
      </c>
      <c r="I92">
        <v>0</v>
      </c>
      <c r="J92">
        <v>1</v>
      </c>
      <c r="K92">
        <v>0</v>
      </c>
      <c r="L92">
        <v>9</v>
      </c>
      <c r="M92">
        <v>0</v>
      </c>
      <c r="N92">
        <v>1</v>
      </c>
      <c r="O92">
        <v>556218.01</v>
      </c>
      <c r="P92">
        <f>IF(C92&gt;=200000,5,IF(C92&gt;=100000,4,IF(C92&gt;=50000,3,IF(C92&gt;=10000,2,1))))</f>
        <v>5</v>
      </c>
      <c r="Q92">
        <f>IF(B92="TRANSFER",5,IF(B92="CASH_OUT",4,IF(B92="DEBIT",2,1)))</f>
        <v>5</v>
      </c>
      <c r="R92">
        <f>(P92*0.5)+(Q92*0.3)+(N92*0.1)+(M92*0.1)</f>
        <v>4.0999999999999996</v>
      </c>
      <c r="S92" t="str">
        <f t="shared" si="1"/>
        <v>HIGH</v>
      </c>
    </row>
    <row r="93" spans="1:19" x14ac:dyDescent="0.3">
      <c r="A93">
        <v>9</v>
      </c>
      <c r="B93" t="s">
        <v>18</v>
      </c>
      <c r="C93">
        <v>556218.01</v>
      </c>
      <c r="D93" t="s">
        <v>198</v>
      </c>
      <c r="E93">
        <v>556218.01</v>
      </c>
      <c r="F93">
        <v>0</v>
      </c>
      <c r="G93" t="s">
        <v>199</v>
      </c>
      <c r="H93">
        <v>0</v>
      </c>
      <c r="I93">
        <v>582265.81000000006</v>
      </c>
      <c r="J93">
        <v>1</v>
      </c>
      <c r="K93">
        <v>0</v>
      </c>
      <c r="L93">
        <v>9</v>
      </c>
      <c r="M93">
        <v>0</v>
      </c>
      <c r="N93">
        <v>1</v>
      </c>
      <c r="O93">
        <v>556218.01</v>
      </c>
      <c r="P93">
        <f>IF(C93&gt;=200000,5,IF(C93&gt;=100000,4,IF(C93&gt;=50000,3,IF(C93&gt;=10000,2,1))))</f>
        <v>5</v>
      </c>
      <c r="Q93">
        <f>IF(B93="TRANSFER",5,IF(B93="CASH_OUT",4,IF(B93="DEBIT",2,1)))</f>
        <v>4</v>
      </c>
      <c r="R93">
        <f>(P93*0.5)+(Q93*0.3)+(N93*0.1)+(M93*0.1)</f>
        <v>3.8000000000000003</v>
      </c>
      <c r="S93" t="str">
        <f t="shared" si="1"/>
        <v>HIGH</v>
      </c>
    </row>
    <row r="94" spans="1:19" x14ac:dyDescent="0.3">
      <c r="A94">
        <v>9</v>
      </c>
      <c r="B94" t="s">
        <v>15</v>
      </c>
      <c r="C94">
        <v>11308</v>
      </c>
      <c r="D94" t="s">
        <v>200</v>
      </c>
      <c r="E94">
        <v>11308</v>
      </c>
      <c r="F94">
        <v>0</v>
      </c>
      <c r="G94" t="s">
        <v>201</v>
      </c>
      <c r="H94">
        <v>0</v>
      </c>
      <c r="I94">
        <v>0</v>
      </c>
      <c r="J94">
        <v>1</v>
      </c>
      <c r="K94">
        <v>0</v>
      </c>
      <c r="L94">
        <v>9</v>
      </c>
      <c r="M94">
        <v>0</v>
      </c>
      <c r="N94">
        <v>1</v>
      </c>
      <c r="O94">
        <v>11308</v>
      </c>
      <c r="P94">
        <f>IF(C94&gt;=200000,5,IF(C94&gt;=100000,4,IF(C94&gt;=50000,3,IF(C94&gt;=10000,2,1))))</f>
        <v>2</v>
      </c>
      <c r="Q94">
        <f>IF(B94="TRANSFER",5,IF(B94="CASH_OUT",4,IF(B94="DEBIT",2,1)))</f>
        <v>5</v>
      </c>
      <c r="R94">
        <f>(P94*0.5)+(Q94*0.3)+(N94*0.1)+(M94*0.1)</f>
        <v>2.6</v>
      </c>
      <c r="S94" t="str">
        <f t="shared" si="1"/>
        <v>MEDIUM</v>
      </c>
    </row>
    <row r="95" spans="1:19" x14ac:dyDescent="0.3">
      <c r="A95">
        <v>9</v>
      </c>
      <c r="B95" t="s">
        <v>18</v>
      </c>
      <c r="C95">
        <v>11308</v>
      </c>
      <c r="D95" t="s">
        <v>202</v>
      </c>
      <c r="E95">
        <v>11308</v>
      </c>
      <c r="F95">
        <v>0</v>
      </c>
      <c r="G95" t="s">
        <v>203</v>
      </c>
      <c r="H95">
        <v>0</v>
      </c>
      <c r="I95">
        <v>302550.56</v>
      </c>
      <c r="J95">
        <v>1</v>
      </c>
      <c r="K95">
        <v>0</v>
      </c>
      <c r="L95">
        <v>9</v>
      </c>
      <c r="M95">
        <v>0</v>
      </c>
      <c r="N95">
        <v>1</v>
      </c>
      <c r="O95">
        <v>11308</v>
      </c>
      <c r="P95">
        <f>IF(C95&gt;=200000,5,IF(C95&gt;=100000,4,IF(C95&gt;=50000,3,IF(C95&gt;=10000,2,1))))</f>
        <v>2</v>
      </c>
      <c r="Q95">
        <f>IF(B95="TRANSFER",5,IF(B95="CASH_OUT",4,IF(B95="DEBIT",2,1)))</f>
        <v>4</v>
      </c>
      <c r="R95">
        <f>(P95*0.5)+(Q95*0.3)+(N95*0.1)+(M95*0.1)</f>
        <v>2.3000000000000003</v>
      </c>
      <c r="S95" t="str">
        <f t="shared" si="1"/>
        <v>MEDIUM</v>
      </c>
    </row>
    <row r="96" spans="1:19" x14ac:dyDescent="0.3">
      <c r="A96">
        <v>9</v>
      </c>
      <c r="B96" t="s">
        <v>15</v>
      </c>
      <c r="C96">
        <v>350705.74</v>
      </c>
      <c r="D96" t="s">
        <v>204</v>
      </c>
      <c r="E96">
        <v>350705.74</v>
      </c>
      <c r="F96">
        <v>0</v>
      </c>
      <c r="G96" t="s">
        <v>205</v>
      </c>
      <c r="H96">
        <v>0</v>
      </c>
      <c r="I96">
        <v>1184633.07</v>
      </c>
      <c r="J96">
        <v>1</v>
      </c>
      <c r="K96">
        <v>0</v>
      </c>
      <c r="L96">
        <v>9</v>
      </c>
      <c r="M96">
        <v>0</v>
      </c>
      <c r="N96">
        <v>1</v>
      </c>
      <c r="O96">
        <v>350705.74</v>
      </c>
      <c r="P96">
        <f>IF(C96&gt;=200000,5,IF(C96&gt;=100000,4,IF(C96&gt;=50000,3,IF(C96&gt;=10000,2,1))))</f>
        <v>5</v>
      </c>
      <c r="Q96">
        <f>IF(B96="TRANSFER",5,IF(B96="CASH_OUT",4,IF(B96="DEBIT",2,1)))</f>
        <v>5</v>
      </c>
      <c r="R96">
        <f>(P96*0.5)+(Q96*0.3)+(N96*0.1)+(M96*0.1)</f>
        <v>4.0999999999999996</v>
      </c>
      <c r="S96" t="str">
        <f t="shared" si="1"/>
        <v>HIGH</v>
      </c>
    </row>
    <row r="97" spans="1:19" x14ac:dyDescent="0.3">
      <c r="A97">
        <v>9</v>
      </c>
      <c r="B97" t="s">
        <v>18</v>
      </c>
      <c r="C97">
        <v>350705.74</v>
      </c>
      <c r="D97" t="s">
        <v>206</v>
      </c>
      <c r="E97">
        <v>350705.74</v>
      </c>
      <c r="F97">
        <v>0</v>
      </c>
      <c r="G97" t="s">
        <v>207</v>
      </c>
      <c r="H97">
        <v>894760.68</v>
      </c>
      <c r="I97">
        <v>1794033.65</v>
      </c>
      <c r="J97">
        <v>1</v>
      </c>
      <c r="K97">
        <v>0</v>
      </c>
      <c r="L97">
        <v>9</v>
      </c>
      <c r="M97">
        <v>0</v>
      </c>
      <c r="N97">
        <v>1</v>
      </c>
      <c r="O97">
        <v>350705.74</v>
      </c>
      <c r="P97">
        <f>IF(C97&gt;=200000,5,IF(C97&gt;=100000,4,IF(C97&gt;=50000,3,IF(C97&gt;=10000,2,1))))</f>
        <v>5</v>
      </c>
      <c r="Q97">
        <f>IF(B97="TRANSFER",5,IF(B97="CASH_OUT",4,IF(B97="DEBIT",2,1)))</f>
        <v>4</v>
      </c>
      <c r="R97">
        <f>(P97*0.5)+(Q97*0.3)+(N97*0.1)+(M97*0.1)</f>
        <v>3.8000000000000003</v>
      </c>
      <c r="S97" t="str">
        <f t="shared" si="1"/>
        <v>HIGH</v>
      </c>
    </row>
    <row r="98" spans="1:19" x14ac:dyDescent="0.3">
      <c r="A98">
        <v>9</v>
      </c>
      <c r="B98" t="s">
        <v>15</v>
      </c>
      <c r="C98">
        <v>2539898.0699999998</v>
      </c>
      <c r="D98" t="s">
        <v>208</v>
      </c>
      <c r="E98">
        <v>2539898.0699999998</v>
      </c>
      <c r="F98">
        <v>0</v>
      </c>
      <c r="G98" t="s">
        <v>209</v>
      </c>
      <c r="H98">
        <v>0</v>
      </c>
      <c r="I98">
        <v>261290.69</v>
      </c>
      <c r="J98">
        <v>1</v>
      </c>
      <c r="K98">
        <v>0</v>
      </c>
      <c r="L98">
        <v>9</v>
      </c>
      <c r="M98">
        <v>0</v>
      </c>
      <c r="N98">
        <v>1</v>
      </c>
      <c r="O98">
        <v>2539898.0699999998</v>
      </c>
      <c r="P98">
        <f>IF(C98&gt;=200000,5,IF(C98&gt;=100000,4,IF(C98&gt;=50000,3,IF(C98&gt;=10000,2,1))))</f>
        <v>5</v>
      </c>
      <c r="Q98">
        <f>IF(B98="TRANSFER",5,IF(B98="CASH_OUT",4,IF(B98="DEBIT",2,1)))</f>
        <v>5</v>
      </c>
      <c r="R98">
        <f>(P98*0.5)+(Q98*0.3)+(N98*0.1)+(M98*0.1)</f>
        <v>4.0999999999999996</v>
      </c>
      <c r="S98" t="str">
        <f t="shared" si="1"/>
        <v>HIGH</v>
      </c>
    </row>
    <row r="99" spans="1:19" x14ac:dyDescent="0.3">
      <c r="A99">
        <v>9</v>
      </c>
      <c r="B99" t="s">
        <v>18</v>
      </c>
      <c r="C99">
        <v>2539898.0699999998</v>
      </c>
      <c r="D99" t="s">
        <v>210</v>
      </c>
      <c r="E99">
        <v>2539898.0699999998</v>
      </c>
      <c r="F99">
        <v>0</v>
      </c>
      <c r="G99" t="s">
        <v>211</v>
      </c>
      <c r="H99">
        <v>968</v>
      </c>
      <c r="I99">
        <v>1842864.22</v>
      </c>
      <c r="J99">
        <v>1</v>
      </c>
      <c r="K99">
        <v>0</v>
      </c>
      <c r="L99">
        <v>9</v>
      </c>
      <c r="M99">
        <v>0</v>
      </c>
      <c r="N99">
        <v>1</v>
      </c>
      <c r="O99">
        <v>2539898.0699999998</v>
      </c>
      <c r="P99">
        <f>IF(C99&gt;=200000,5,IF(C99&gt;=100000,4,IF(C99&gt;=50000,3,IF(C99&gt;=10000,2,1))))</f>
        <v>5</v>
      </c>
      <c r="Q99">
        <f>IF(B99="TRANSFER",5,IF(B99="CASH_OUT",4,IF(B99="DEBIT",2,1)))</f>
        <v>4</v>
      </c>
      <c r="R99">
        <f>(P99*0.5)+(Q99*0.3)+(N99*0.1)+(M99*0.1)</f>
        <v>3.8000000000000003</v>
      </c>
      <c r="S99" t="str">
        <f t="shared" si="1"/>
        <v>HIGH</v>
      </c>
    </row>
    <row r="100" spans="1:19" x14ac:dyDescent="0.3">
      <c r="A100">
        <v>9</v>
      </c>
      <c r="B100" t="s">
        <v>15</v>
      </c>
      <c r="C100">
        <v>361559.69</v>
      </c>
      <c r="D100" t="s">
        <v>212</v>
      </c>
      <c r="E100">
        <v>361559.69</v>
      </c>
      <c r="F100">
        <v>0</v>
      </c>
      <c r="G100" t="s">
        <v>213</v>
      </c>
      <c r="H100">
        <v>0</v>
      </c>
      <c r="I100">
        <v>141302.12</v>
      </c>
      <c r="J100">
        <v>1</v>
      </c>
      <c r="K100">
        <v>0</v>
      </c>
      <c r="L100">
        <v>9</v>
      </c>
      <c r="M100">
        <v>0</v>
      </c>
      <c r="N100">
        <v>1</v>
      </c>
      <c r="O100">
        <v>361559.69</v>
      </c>
      <c r="P100">
        <f>IF(C100&gt;=200000,5,IF(C100&gt;=100000,4,IF(C100&gt;=50000,3,IF(C100&gt;=10000,2,1))))</f>
        <v>5</v>
      </c>
      <c r="Q100">
        <f>IF(B100="TRANSFER",5,IF(B100="CASH_OUT",4,IF(B100="DEBIT",2,1)))</f>
        <v>5</v>
      </c>
      <c r="R100">
        <f>(P100*0.5)+(Q100*0.3)+(N100*0.1)+(M100*0.1)</f>
        <v>4.0999999999999996</v>
      </c>
      <c r="S100" t="str">
        <f t="shared" si="1"/>
        <v>HIGH</v>
      </c>
    </row>
    <row r="101" spans="1:19" x14ac:dyDescent="0.3">
      <c r="A101">
        <v>9</v>
      </c>
      <c r="B101" t="s">
        <v>18</v>
      </c>
      <c r="C101">
        <v>361559.69</v>
      </c>
      <c r="D101" t="s">
        <v>214</v>
      </c>
      <c r="E101">
        <v>361559.69</v>
      </c>
      <c r="F101">
        <v>0</v>
      </c>
      <c r="G101" t="s">
        <v>215</v>
      </c>
      <c r="H101">
        <v>504667.31</v>
      </c>
      <c r="I101">
        <v>189441.24</v>
      </c>
      <c r="J101">
        <v>1</v>
      </c>
      <c r="K101">
        <v>0</v>
      </c>
      <c r="L101">
        <v>9</v>
      </c>
      <c r="M101">
        <v>0</v>
      </c>
      <c r="N101">
        <v>1</v>
      </c>
      <c r="O101">
        <v>361559.69</v>
      </c>
      <c r="P101">
        <f>IF(C101&gt;=200000,5,IF(C101&gt;=100000,4,IF(C101&gt;=50000,3,IF(C101&gt;=10000,2,1))))</f>
        <v>5</v>
      </c>
      <c r="Q101">
        <f>IF(B101="TRANSFER",5,IF(B101="CASH_OUT",4,IF(B101="DEBIT",2,1)))</f>
        <v>4</v>
      </c>
      <c r="R101">
        <f>(P101*0.5)+(Q101*0.3)+(N101*0.1)+(M101*0.1)</f>
        <v>3.8000000000000003</v>
      </c>
      <c r="S101" t="str">
        <f t="shared" si="1"/>
        <v>HIGH</v>
      </c>
    </row>
    <row r="102" spans="1:19" x14ac:dyDescent="0.3">
      <c r="A102">
        <v>9</v>
      </c>
      <c r="B102" t="s">
        <v>15</v>
      </c>
      <c r="C102">
        <v>1154353.99</v>
      </c>
      <c r="D102" t="s">
        <v>216</v>
      </c>
      <c r="E102">
        <v>1154353.99</v>
      </c>
      <c r="F102">
        <v>0</v>
      </c>
      <c r="G102" t="s">
        <v>217</v>
      </c>
      <c r="H102">
        <v>0</v>
      </c>
      <c r="I102">
        <v>10872.9</v>
      </c>
      <c r="J102">
        <v>1</v>
      </c>
      <c r="K102">
        <v>0</v>
      </c>
      <c r="L102">
        <v>9</v>
      </c>
      <c r="M102">
        <v>0</v>
      </c>
      <c r="N102">
        <v>1</v>
      </c>
      <c r="O102">
        <v>1154353.99</v>
      </c>
      <c r="P102">
        <f>IF(C102&gt;=200000,5,IF(C102&gt;=100000,4,IF(C102&gt;=50000,3,IF(C102&gt;=10000,2,1))))</f>
        <v>5</v>
      </c>
      <c r="Q102">
        <f>IF(B102="TRANSFER",5,IF(B102="CASH_OUT",4,IF(B102="DEBIT",2,1)))</f>
        <v>5</v>
      </c>
      <c r="R102">
        <f>(P102*0.5)+(Q102*0.3)+(N102*0.1)+(M102*0.1)</f>
        <v>4.0999999999999996</v>
      </c>
      <c r="S102" t="str">
        <f t="shared" si="1"/>
        <v>HIGH</v>
      </c>
    </row>
    <row r="103" spans="1:19" x14ac:dyDescent="0.3">
      <c r="A103">
        <v>9</v>
      </c>
      <c r="B103" t="s">
        <v>18</v>
      </c>
      <c r="C103">
        <v>1154353.99</v>
      </c>
      <c r="D103" t="s">
        <v>218</v>
      </c>
      <c r="E103">
        <v>1154353.99</v>
      </c>
      <c r="F103">
        <v>0</v>
      </c>
      <c r="G103" t="s">
        <v>219</v>
      </c>
      <c r="H103">
        <v>162222</v>
      </c>
      <c r="I103">
        <v>1965587.6</v>
      </c>
      <c r="J103">
        <v>1</v>
      </c>
      <c r="K103">
        <v>0</v>
      </c>
      <c r="L103">
        <v>9</v>
      </c>
      <c r="M103">
        <v>0</v>
      </c>
      <c r="N103">
        <v>1</v>
      </c>
      <c r="O103">
        <v>1154353.99</v>
      </c>
      <c r="P103">
        <f>IF(C103&gt;=200000,5,IF(C103&gt;=100000,4,IF(C103&gt;=50000,3,IF(C103&gt;=10000,2,1))))</f>
        <v>5</v>
      </c>
      <c r="Q103">
        <f>IF(B103="TRANSFER",5,IF(B103="CASH_OUT",4,IF(B103="DEBIT",2,1)))</f>
        <v>4</v>
      </c>
      <c r="R103">
        <f>(P103*0.5)+(Q103*0.3)+(N103*0.1)+(M103*0.1)</f>
        <v>3.8000000000000003</v>
      </c>
      <c r="S103" t="str">
        <f t="shared" si="1"/>
        <v>HIGH</v>
      </c>
    </row>
    <row r="104" spans="1:19" x14ac:dyDescent="0.3">
      <c r="A104">
        <v>9</v>
      </c>
      <c r="B104" t="s">
        <v>15</v>
      </c>
      <c r="C104">
        <v>21922</v>
      </c>
      <c r="D104" t="s">
        <v>220</v>
      </c>
      <c r="E104">
        <v>21922</v>
      </c>
      <c r="F104">
        <v>0</v>
      </c>
      <c r="G104" t="s">
        <v>221</v>
      </c>
      <c r="H104">
        <v>0</v>
      </c>
      <c r="I104">
        <v>0</v>
      </c>
      <c r="J104">
        <v>1</v>
      </c>
      <c r="K104">
        <v>0</v>
      </c>
      <c r="L104">
        <v>9</v>
      </c>
      <c r="M104">
        <v>0</v>
      </c>
      <c r="N104">
        <v>1</v>
      </c>
      <c r="O104">
        <v>21922</v>
      </c>
      <c r="P104">
        <f>IF(C104&gt;=200000,5,IF(C104&gt;=100000,4,IF(C104&gt;=50000,3,IF(C104&gt;=10000,2,1))))</f>
        <v>2</v>
      </c>
      <c r="Q104">
        <f>IF(B104="TRANSFER",5,IF(B104="CASH_OUT",4,IF(B104="DEBIT",2,1)))</f>
        <v>5</v>
      </c>
      <c r="R104">
        <f>(P104*0.5)+(Q104*0.3)+(N104*0.1)+(M104*0.1)</f>
        <v>2.6</v>
      </c>
      <c r="S104" t="str">
        <f t="shared" si="1"/>
        <v>MEDIUM</v>
      </c>
    </row>
    <row r="105" spans="1:19" x14ac:dyDescent="0.3">
      <c r="A105">
        <v>9</v>
      </c>
      <c r="B105" t="s">
        <v>18</v>
      </c>
      <c r="C105">
        <v>21922</v>
      </c>
      <c r="D105" t="s">
        <v>222</v>
      </c>
      <c r="E105">
        <v>21922</v>
      </c>
      <c r="F105">
        <v>0</v>
      </c>
      <c r="G105" t="s">
        <v>223</v>
      </c>
      <c r="H105">
        <v>1929861.61</v>
      </c>
      <c r="I105">
        <v>2046918.8</v>
      </c>
      <c r="J105">
        <v>1</v>
      </c>
      <c r="K105">
        <v>0</v>
      </c>
      <c r="L105">
        <v>9</v>
      </c>
      <c r="M105">
        <v>0</v>
      </c>
      <c r="N105">
        <v>1</v>
      </c>
      <c r="O105">
        <v>21922</v>
      </c>
      <c r="P105">
        <f>IF(C105&gt;=200000,5,IF(C105&gt;=100000,4,IF(C105&gt;=50000,3,IF(C105&gt;=10000,2,1))))</f>
        <v>2</v>
      </c>
      <c r="Q105">
        <f>IF(B105="TRANSFER",5,IF(B105="CASH_OUT",4,IF(B105="DEBIT",2,1)))</f>
        <v>4</v>
      </c>
      <c r="R105">
        <f>(P105*0.5)+(Q105*0.3)+(N105*0.1)+(M105*0.1)</f>
        <v>2.3000000000000003</v>
      </c>
      <c r="S105" t="str">
        <f t="shared" si="1"/>
        <v>MEDIUM</v>
      </c>
    </row>
    <row r="106" spans="1:19" x14ac:dyDescent="0.3">
      <c r="A106">
        <v>9</v>
      </c>
      <c r="B106" t="s">
        <v>15</v>
      </c>
      <c r="C106">
        <v>994453.2</v>
      </c>
      <c r="D106" t="s">
        <v>224</v>
      </c>
      <c r="E106">
        <v>1437370.87</v>
      </c>
      <c r="F106">
        <v>442917.67</v>
      </c>
      <c r="G106" t="s">
        <v>225</v>
      </c>
      <c r="H106">
        <v>194812.76</v>
      </c>
      <c r="I106">
        <v>665743.67000000004</v>
      </c>
      <c r="J106">
        <v>1</v>
      </c>
      <c r="K106">
        <v>0</v>
      </c>
      <c r="L106">
        <v>9</v>
      </c>
      <c r="M106">
        <v>0</v>
      </c>
      <c r="N106">
        <v>0</v>
      </c>
      <c r="O106">
        <v>994453.20000000019</v>
      </c>
      <c r="P106">
        <f>IF(C106&gt;=200000,5,IF(C106&gt;=100000,4,IF(C106&gt;=50000,3,IF(C106&gt;=10000,2,1))))</f>
        <v>5</v>
      </c>
      <c r="Q106">
        <f>IF(B106="TRANSFER",5,IF(B106="CASH_OUT",4,IF(B106="DEBIT",2,1)))</f>
        <v>5</v>
      </c>
      <c r="R106">
        <f>(P106*0.5)+(Q106*0.3)+(N106*0.1)+(M106*0.1)</f>
        <v>4</v>
      </c>
      <c r="S106" t="str">
        <f t="shared" si="1"/>
        <v>HIGH</v>
      </c>
    </row>
    <row r="107" spans="1:19" x14ac:dyDescent="0.3">
      <c r="A107">
        <v>9</v>
      </c>
      <c r="B107" t="s">
        <v>15</v>
      </c>
      <c r="C107">
        <v>1055</v>
      </c>
      <c r="D107" t="s">
        <v>226</v>
      </c>
      <c r="E107">
        <v>1055</v>
      </c>
      <c r="F107">
        <v>0</v>
      </c>
      <c r="G107" t="s">
        <v>227</v>
      </c>
      <c r="H107">
        <v>0</v>
      </c>
      <c r="I107">
        <v>0</v>
      </c>
      <c r="J107">
        <v>1</v>
      </c>
      <c r="K107">
        <v>0</v>
      </c>
      <c r="L107">
        <v>9</v>
      </c>
      <c r="M107">
        <v>0</v>
      </c>
      <c r="N107">
        <v>1</v>
      </c>
      <c r="O107">
        <v>1055</v>
      </c>
      <c r="P107">
        <f>IF(C107&gt;=200000,5,IF(C107&gt;=100000,4,IF(C107&gt;=50000,3,IF(C107&gt;=10000,2,1))))</f>
        <v>1</v>
      </c>
      <c r="Q107">
        <f>IF(B107="TRANSFER",5,IF(B107="CASH_OUT",4,IF(B107="DEBIT",2,1)))</f>
        <v>5</v>
      </c>
      <c r="R107">
        <f>(P107*0.5)+(Q107*0.3)+(N107*0.1)+(M107*0.1)</f>
        <v>2.1</v>
      </c>
      <c r="S107" t="str">
        <f t="shared" si="1"/>
        <v>MEDIUM</v>
      </c>
    </row>
    <row r="108" spans="1:19" x14ac:dyDescent="0.3">
      <c r="A108">
        <v>9</v>
      </c>
      <c r="B108" t="s">
        <v>18</v>
      </c>
      <c r="C108">
        <v>1055</v>
      </c>
      <c r="D108" t="s">
        <v>228</v>
      </c>
      <c r="E108">
        <v>1055</v>
      </c>
      <c r="F108">
        <v>0</v>
      </c>
      <c r="G108" t="s">
        <v>229</v>
      </c>
      <c r="H108">
        <v>75179</v>
      </c>
      <c r="I108">
        <v>0</v>
      </c>
      <c r="J108">
        <v>1</v>
      </c>
      <c r="K108">
        <v>0</v>
      </c>
      <c r="L108">
        <v>9</v>
      </c>
      <c r="M108">
        <v>0</v>
      </c>
      <c r="N108">
        <v>1</v>
      </c>
      <c r="O108">
        <v>1055</v>
      </c>
      <c r="P108">
        <f>IF(C108&gt;=200000,5,IF(C108&gt;=100000,4,IF(C108&gt;=50000,3,IF(C108&gt;=10000,2,1))))</f>
        <v>1</v>
      </c>
      <c r="Q108">
        <f>IF(B108="TRANSFER",5,IF(B108="CASH_OUT",4,IF(B108="DEBIT",2,1)))</f>
        <v>4</v>
      </c>
      <c r="R108">
        <f>(P108*0.5)+(Q108*0.3)+(N108*0.1)+(M108*0.1)</f>
        <v>1.8</v>
      </c>
      <c r="S108" t="str">
        <f t="shared" si="1"/>
        <v>LOW</v>
      </c>
    </row>
    <row r="109" spans="1:19" x14ac:dyDescent="0.3">
      <c r="A109">
        <v>9</v>
      </c>
      <c r="B109" t="s">
        <v>15</v>
      </c>
      <c r="C109">
        <v>244068.01</v>
      </c>
      <c r="D109" t="s">
        <v>230</v>
      </c>
      <c r="E109">
        <v>244068.01</v>
      </c>
      <c r="F109">
        <v>0</v>
      </c>
      <c r="G109" t="s">
        <v>231</v>
      </c>
      <c r="H109">
        <v>0</v>
      </c>
      <c r="I109">
        <v>0</v>
      </c>
      <c r="J109">
        <v>1</v>
      </c>
      <c r="K109">
        <v>0</v>
      </c>
      <c r="L109">
        <v>9</v>
      </c>
      <c r="M109">
        <v>0</v>
      </c>
      <c r="N109">
        <v>1</v>
      </c>
      <c r="O109">
        <v>244068.01</v>
      </c>
      <c r="P109">
        <f>IF(C109&gt;=200000,5,IF(C109&gt;=100000,4,IF(C109&gt;=50000,3,IF(C109&gt;=10000,2,1))))</f>
        <v>5</v>
      </c>
      <c r="Q109">
        <f>IF(B109="TRANSFER",5,IF(B109="CASH_OUT",4,IF(B109="DEBIT",2,1)))</f>
        <v>5</v>
      </c>
      <c r="R109">
        <f>(P109*0.5)+(Q109*0.3)+(N109*0.1)+(M109*0.1)</f>
        <v>4.0999999999999996</v>
      </c>
      <c r="S109" t="str">
        <f t="shared" si="1"/>
        <v>HIGH</v>
      </c>
    </row>
    <row r="110" spans="1:19" x14ac:dyDescent="0.3">
      <c r="A110">
        <v>9</v>
      </c>
      <c r="B110" t="s">
        <v>18</v>
      </c>
      <c r="C110">
        <v>244068.01</v>
      </c>
      <c r="D110" t="s">
        <v>232</v>
      </c>
      <c r="E110">
        <v>244068.01</v>
      </c>
      <c r="F110">
        <v>0</v>
      </c>
      <c r="G110" t="s">
        <v>233</v>
      </c>
      <c r="H110">
        <v>0</v>
      </c>
      <c r="I110">
        <v>338538.16</v>
      </c>
      <c r="J110">
        <v>1</v>
      </c>
      <c r="K110">
        <v>0</v>
      </c>
      <c r="L110">
        <v>9</v>
      </c>
      <c r="M110">
        <v>0</v>
      </c>
      <c r="N110">
        <v>1</v>
      </c>
      <c r="O110">
        <v>244068.01</v>
      </c>
      <c r="P110">
        <f>IF(C110&gt;=200000,5,IF(C110&gt;=100000,4,IF(C110&gt;=50000,3,IF(C110&gt;=10000,2,1))))</f>
        <v>5</v>
      </c>
      <c r="Q110">
        <f>IF(B110="TRANSFER",5,IF(B110="CASH_OUT",4,IF(B110="DEBIT",2,1)))</f>
        <v>4</v>
      </c>
      <c r="R110">
        <f>(P110*0.5)+(Q110*0.3)+(N110*0.1)+(M110*0.1)</f>
        <v>3.8000000000000003</v>
      </c>
      <c r="S110" t="str">
        <f t="shared" si="1"/>
        <v>HIGH</v>
      </c>
    </row>
    <row r="111" spans="1:19" x14ac:dyDescent="0.3">
      <c r="A111">
        <v>10</v>
      </c>
      <c r="B111" t="s">
        <v>15</v>
      </c>
      <c r="C111">
        <v>59835</v>
      </c>
      <c r="D111" t="s">
        <v>234</v>
      </c>
      <c r="E111">
        <v>59835</v>
      </c>
      <c r="F111">
        <v>0</v>
      </c>
      <c r="G111" t="s">
        <v>235</v>
      </c>
      <c r="H111">
        <v>0</v>
      </c>
      <c r="I111">
        <v>0</v>
      </c>
      <c r="J111">
        <v>1</v>
      </c>
      <c r="K111">
        <v>0</v>
      </c>
      <c r="L111">
        <v>10</v>
      </c>
      <c r="M111">
        <v>0</v>
      </c>
      <c r="N111">
        <v>1</v>
      </c>
      <c r="O111">
        <v>59835</v>
      </c>
      <c r="P111">
        <f>IF(C111&gt;=200000,5,IF(C111&gt;=100000,4,IF(C111&gt;=50000,3,IF(C111&gt;=10000,2,1))))</f>
        <v>3</v>
      </c>
      <c r="Q111">
        <f>IF(B111="TRANSFER",5,IF(B111="CASH_OUT",4,IF(B111="DEBIT",2,1)))</f>
        <v>5</v>
      </c>
      <c r="R111">
        <f>(P111*0.5)+(Q111*0.3)+(N111*0.1)+(M111*0.1)</f>
        <v>3.1</v>
      </c>
      <c r="S111" t="str">
        <f t="shared" si="1"/>
        <v>HIGH</v>
      </c>
    </row>
    <row r="112" spans="1:19" x14ac:dyDescent="0.3">
      <c r="A112">
        <v>10</v>
      </c>
      <c r="B112" t="s">
        <v>18</v>
      </c>
      <c r="C112">
        <v>59835</v>
      </c>
      <c r="D112" t="s">
        <v>236</v>
      </c>
      <c r="E112">
        <v>59835</v>
      </c>
      <c r="F112">
        <v>0</v>
      </c>
      <c r="G112" t="s">
        <v>237</v>
      </c>
      <c r="H112">
        <v>255480.76</v>
      </c>
      <c r="I112">
        <v>315315.76</v>
      </c>
      <c r="J112">
        <v>1</v>
      </c>
      <c r="K112">
        <v>0</v>
      </c>
      <c r="L112">
        <v>10</v>
      </c>
      <c r="M112">
        <v>0</v>
      </c>
      <c r="N112">
        <v>1</v>
      </c>
      <c r="O112">
        <v>59835</v>
      </c>
      <c r="P112">
        <f>IF(C112&gt;=200000,5,IF(C112&gt;=100000,4,IF(C112&gt;=50000,3,IF(C112&gt;=10000,2,1))))</f>
        <v>3</v>
      </c>
      <c r="Q112">
        <f>IF(B112="TRANSFER",5,IF(B112="CASH_OUT",4,IF(B112="DEBIT",2,1)))</f>
        <v>4</v>
      </c>
      <c r="R112">
        <f>(P112*0.5)+(Q112*0.3)+(N112*0.1)+(M112*0.1)</f>
        <v>2.8000000000000003</v>
      </c>
      <c r="S112" t="str">
        <f t="shared" si="1"/>
        <v>MEDIUM</v>
      </c>
    </row>
    <row r="113" spans="1:19" x14ac:dyDescent="0.3">
      <c r="A113">
        <v>10</v>
      </c>
      <c r="B113" t="s">
        <v>18</v>
      </c>
      <c r="C113">
        <v>277970.88</v>
      </c>
      <c r="D113" t="s">
        <v>238</v>
      </c>
      <c r="E113">
        <v>0</v>
      </c>
      <c r="F113">
        <v>0</v>
      </c>
      <c r="G113" t="s">
        <v>239</v>
      </c>
      <c r="H113">
        <v>0</v>
      </c>
      <c r="I113">
        <v>277970.88</v>
      </c>
      <c r="J113">
        <v>1</v>
      </c>
      <c r="K113">
        <v>0</v>
      </c>
      <c r="L113">
        <v>10</v>
      </c>
      <c r="M113">
        <v>0</v>
      </c>
      <c r="N113">
        <v>0</v>
      </c>
      <c r="O113">
        <v>0</v>
      </c>
      <c r="P113">
        <f>IF(C113&gt;=200000,5,IF(C113&gt;=100000,4,IF(C113&gt;=50000,3,IF(C113&gt;=10000,2,1))))</f>
        <v>5</v>
      </c>
      <c r="Q113">
        <f>IF(B113="TRANSFER",5,IF(B113="CASH_OUT",4,IF(B113="DEBIT",2,1)))</f>
        <v>4</v>
      </c>
      <c r="R113">
        <f>(P113*0.5)+(Q113*0.3)+(N113*0.1)+(M113*0.1)</f>
        <v>3.7</v>
      </c>
      <c r="S113" t="str">
        <f t="shared" si="1"/>
        <v>HIGH</v>
      </c>
    </row>
    <row r="114" spans="1:19" x14ac:dyDescent="0.3">
      <c r="A114">
        <v>10</v>
      </c>
      <c r="B114" t="s">
        <v>15</v>
      </c>
      <c r="C114">
        <v>93810.76</v>
      </c>
      <c r="D114" t="s">
        <v>240</v>
      </c>
      <c r="E114">
        <v>93810.76</v>
      </c>
      <c r="F114">
        <v>0</v>
      </c>
      <c r="G114" t="s">
        <v>241</v>
      </c>
      <c r="H114">
        <v>0</v>
      </c>
      <c r="I114">
        <v>0</v>
      </c>
      <c r="J114">
        <v>1</v>
      </c>
      <c r="K114">
        <v>0</v>
      </c>
      <c r="L114">
        <v>10</v>
      </c>
      <c r="M114">
        <v>0</v>
      </c>
      <c r="N114">
        <v>1</v>
      </c>
      <c r="O114">
        <v>93810.76</v>
      </c>
      <c r="P114">
        <f>IF(C114&gt;=200000,5,IF(C114&gt;=100000,4,IF(C114&gt;=50000,3,IF(C114&gt;=10000,2,1))))</f>
        <v>3</v>
      </c>
      <c r="Q114">
        <f>IF(B114="TRANSFER",5,IF(B114="CASH_OUT",4,IF(B114="DEBIT",2,1)))</f>
        <v>5</v>
      </c>
      <c r="R114">
        <f>(P114*0.5)+(Q114*0.3)+(N114*0.1)+(M114*0.1)</f>
        <v>3.1</v>
      </c>
      <c r="S114" t="str">
        <f t="shared" si="1"/>
        <v>HIGH</v>
      </c>
    </row>
    <row r="115" spans="1:19" x14ac:dyDescent="0.3">
      <c r="A115">
        <v>10</v>
      </c>
      <c r="B115" t="s">
        <v>18</v>
      </c>
      <c r="C115">
        <v>93810.76</v>
      </c>
      <c r="D115" t="s">
        <v>242</v>
      </c>
      <c r="E115">
        <v>93810.76</v>
      </c>
      <c r="F115">
        <v>0</v>
      </c>
      <c r="G115" t="s">
        <v>243</v>
      </c>
      <c r="H115">
        <v>4096048.05</v>
      </c>
      <c r="I115">
        <v>4189858.81</v>
      </c>
      <c r="J115">
        <v>1</v>
      </c>
      <c r="K115">
        <v>0</v>
      </c>
      <c r="L115">
        <v>10</v>
      </c>
      <c r="M115">
        <v>0</v>
      </c>
      <c r="N115">
        <v>1</v>
      </c>
      <c r="O115">
        <v>93810.76</v>
      </c>
      <c r="P115">
        <f>IF(C115&gt;=200000,5,IF(C115&gt;=100000,4,IF(C115&gt;=50000,3,IF(C115&gt;=10000,2,1))))</f>
        <v>3</v>
      </c>
      <c r="Q115">
        <f>IF(B115="TRANSFER",5,IF(B115="CASH_OUT",4,IF(B115="DEBIT",2,1)))</f>
        <v>4</v>
      </c>
      <c r="R115">
        <f>(P115*0.5)+(Q115*0.3)+(N115*0.1)+(M115*0.1)</f>
        <v>2.8000000000000003</v>
      </c>
      <c r="S115" t="str">
        <f t="shared" si="1"/>
        <v>MEDIUM</v>
      </c>
    </row>
    <row r="116" spans="1:19" x14ac:dyDescent="0.3">
      <c r="A116">
        <v>10</v>
      </c>
      <c r="B116" t="s">
        <v>15</v>
      </c>
      <c r="C116">
        <v>503405.88</v>
      </c>
      <c r="D116" t="s">
        <v>244</v>
      </c>
      <c r="E116">
        <v>503405.88</v>
      </c>
      <c r="F116">
        <v>0</v>
      </c>
      <c r="G116" t="s">
        <v>245</v>
      </c>
      <c r="H116">
        <v>0</v>
      </c>
      <c r="I116">
        <v>0</v>
      </c>
      <c r="J116">
        <v>1</v>
      </c>
      <c r="K116">
        <v>0</v>
      </c>
      <c r="L116">
        <v>10</v>
      </c>
      <c r="M116">
        <v>0</v>
      </c>
      <c r="N116">
        <v>1</v>
      </c>
      <c r="O116">
        <v>503405.88</v>
      </c>
      <c r="P116">
        <f>IF(C116&gt;=200000,5,IF(C116&gt;=100000,4,IF(C116&gt;=50000,3,IF(C116&gt;=10000,2,1))))</f>
        <v>5</v>
      </c>
      <c r="Q116">
        <f>IF(B116="TRANSFER",5,IF(B116="CASH_OUT",4,IF(B116="DEBIT",2,1)))</f>
        <v>5</v>
      </c>
      <c r="R116">
        <f>(P116*0.5)+(Q116*0.3)+(N116*0.1)+(M116*0.1)</f>
        <v>4.0999999999999996</v>
      </c>
      <c r="S116" t="str">
        <f t="shared" si="1"/>
        <v>HIGH</v>
      </c>
    </row>
    <row r="117" spans="1:19" x14ac:dyDescent="0.3">
      <c r="A117">
        <v>10</v>
      </c>
      <c r="B117" t="s">
        <v>18</v>
      </c>
      <c r="C117">
        <v>503405.88</v>
      </c>
      <c r="D117" t="s">
        <v>246</v>
      </c>
      <c r="E117">
        <v>503405.88</v>
      </c>
      <c r="F117">
        <v>0</v>
      </c>
      <c r="G117" t="s">
        <v>247</v>
      </c>
      <c r="H117">
        <v>29669</v>
      </c>
      <c r="I117">
        <v>533074.88</v>
      </c>
      <c r="J117">
        <v>1</v>
      </c>
      <c r="K117">
        <v>0</v>
      </c>
      <c r="L117">
        <v>10</v>
      </c>
      <c r="M117">
        <v>0</v>
      </c>
      <c r="N117">
        <v>1</v>
      </c>
      <c r="O117">
        <v>503405.88</v>
      </c>
      <c r="P117">
        <f>IF(C117&gt;=200000,5,IF(C117&gt;=100000,4,IF(C117&gt;=50000,3,IF(C117&gt;=10000,2,1))))</f>
        <v>5</v>
      </c>
      <c r="Q117">
        <f>IF(B117="TRANSFER",5,IF(B117="CASH_OUT",4,IF(B117="DEBIT",2,1)))</f>
        <v>4</v>
      </c>
      <c r="R117">
        <f>(P117*0.5)+(Q117*0.3)+(N117*0.1)+(M117*0.1)</f>
        <v>3.8000000000000003</v>
      </c>
      <c r="S117" t="str">
        <f t="shared" si="1"/>
        <v>HIGH</v>
      </c>
    </row>
    <row r="118" spans="1:19" x14ac:dyDescent="0.3">
      <c r="A118">
        <v>10</v>
      </c>
      <c r="B118" t="s">
        <v>15</v>
      </c>
      <c r="C118">
        <v>2662734.59</v>
      </c>
      <c r="D118" t="s">
        <v>248</v>
      </c>
      <c r="E118">
        <v>2662734.59</v>
      </c>
      <c r="F118">
        <v>0</v>
      </c>
      <c r="G118" t="s">
        <v>249</v>
      </c>
      <c r="H118">
        <v>0</v>
      </c>
      <c r="I118">
        <v>0</v>
      </c>
      <c r="J118">
        <v>1</v>
      </c>
      <c r="K118">
        <v>0</v>
      </c>
      <c r="L118">
        <v>10</v>
      </c>
      <c r="M118">
        <v>0</v>
      </c>
      <c r="N118">
        <v>1</v>
      </c>
      <c r="O118">
        <v>2662734.59</v>
      </c>
      <c r="P118">
        <f>IF(C118&gt;=200000,5,IF(C118&gt;=100000,4,IF(C118&gt;=50000,3,IF(C118&gt;=10000,2,1))))</f>
        <v>5</v>
      </c>
      <c r="Q118">
        <f>IF(B118="TRANSFER",5,IF(B118="CASH_OUT",4,IF(B118="DEBIT",2,1)))</f>
        <v>5</v>
      </c>
      <c r="R118">
        <f>(P118*0.5)+(Q118*0.3)+(N118*0.1)+(M118*0.1)</f>
        <v>4.0999999999999996</v>
      </c>
      <c r="S118" t="str">
        <f t="shared" si="1"/>
        <v>HIGH</v>
      </c>
    </row>
    <row r="119" spans="1:19" x14ac:dyDescent="0.3">
      <c r="A119">
        <v>10</v>
      </c>
      <c r="B119" t="s">
        <v>18</v>
      </c>
      <c r="C119">
        <v>2662734.59</v>
      </c>
      <c r="D119" t="s">
        <v>250</v>
      </c>
      <c r="E119">
        <v>2662734.59</v>
      </c>
      <c r="F119">
        <v>0</v>
      </c>
      <c r="G119" t="s">
        <v>251</v>
      </c>
      <c r="H119">
        <v>14165.62</v>
      </c>
      <c r="I119">
        <v>2930405.33</v>
      </c>
      <c r="J119">
        <v>1</v>
      </c>
      <c r="K119">
        <v>0</v>
      </c>
      <c r="L119">
        <v>10</v>
      </c>
      <c r="M119">
        <v>0</v>
      </c>
      <c r="N119">
        <v>1</v>
      </c>
      <c r="O119">
        <v>2662734.59</v>
      </c>
      <c r="P119">
        <f>IF(C119&gt;=200000,5,IF(C119&gt;=100000,4,IF(C119&gt;=50000,3,IF(C119&gt;=10000,2,1))))</f>
        <v>5</v>
      </c>
      <c r="Q119">
        <f>IF(B119="TRANSFER",5,IF(B119="CASH_OUT",4,IF(B119="DEBIT",2,1)))</f>
        <v>4</v>
      </c>
      <c r="R119">
        <f>(P119*0.5)+(Q119*0.3)+(N119*0.1)+(M119*0.1)</f>
        <v>3.8000000000000003</v>
      </c>
      <c r="S119" t="str">
        <f t="shared" si="1"/>
        <v>HIGH</v>
      </c>
    </row>
    <row r="120" spans="1:19" x14ac:dyDescent="0.3">
      <c r="A120">
        <v>10</v>
      </c>
      <c r="B120" t="s">
        <v>15</v>
      </c>
      <c r="C120">
        <v>9217.19</v>
      </c>
      <c r="D120" t="s">
        <v>252</v>
      </c>
      <c r="E120">
        <v>9217.19</v>
      </c>
      <c r="F120">
        <v>0</v>
      </c>
      <c r="G120" t="s">
        <v>253</v>
      </c>
      <c r="H120">
        <v>0</v>
      </c>
      <c r="I120">
        <v>96795.6</v>
      </c>
      <c r="J120">
        <v>1</v>
      </c>
      <c r="K120">
        <v>0</v>
      </c>
      <c r="L120">
        <v>10</v>
      </c>
      <c r="M120">
        <v>0</v>
      </c>
      <c r="N120">
        <v>1</v>
      </c>
      <c r="O120">
        <v>9217.19</v>
      </c>
      <c r="P120">
        <f>IF(C120&gt;=200000,5,IF(C120&gt;=100000,4,IF(C120&gt;=50000,3,IF(C120&gt;=10000,2,1))))</f>
        <v>1</v>
      </c>
      <c r="Q120">
        <f>IF(B120="TRANSFER",5,IF(B120="CASH_OUT",4,IF(B120="DEBIT",2,1)))</f>
        <v>5</v>
      </c>
      <c r="R120">
        <f>(P120*0.5)+(Q120*0.3)+(N120*0.1)+(M120*0.1)</f>
        <v>2.1</v>
      </c>
      <c r="S120" t="str">
        <f t="shared" si="1"/>
        <v>MEDIUM</v>
      </c>
    </row>
    <row r="121" spans="1:19" x14ac:dyDescent="0.3">
      <c r="A121">
        <v>10</v>
      </c>
      <c r="B121" t="s">
        <v>18</v>
      </c>
      <c r="C121">
        <v>9217.19</v>
      </c>
      <c r="D121" t="s">
        <v>254</v>
      </c>
      <c r="E121">
        <v>9217.19</v>
      </c>
      <c r="F121">
        <v>0</v>
      </c>
      <c r="G121" t="s">
        <v>255</v>
      </c>
      <c r="H121">
        <v>0</v>
      </c>
      <c r="I121">
        <v>9217.19</v>
      </c>
      <c r="J121">
        <v>1</v>
      </c>
      <c r="K121">
        <v>0</v>
      </c>
      <c r="L121">
        <v>10</v>
      </c>
      <c r="M121">
        <v>0</v>
      </c>
      <c r="N121">
        <v>1</v>
      </c>
      <c r="O121">
        <v>9217.19</v>
      </c>
      <c r="P121">
        <f>IF(C121&gt;=200000,5,IF(C121&gt;=100000,4,IF(C121&gt;=50000,3,IF(C121&gt;=10000,2,1))))</f>
        <v>1</v>
      </c>
      <c r="Q121">
        <f>IF(B121="TRANSFER",5,IF(B121="CASH_OUT",4,IF(B121="DEBIT",2,1)))</f>
        <v>4</v>
      </c>
      <c r="R121">
        <f>(P121*0.5)+(Q121*0.3)+(N121*0.1)+(M121*0.1)</f>
        <v>1.8</v>
      </c>
      <c r="S121" t="str">
        <f t="shared" si="1"/>
        <v>LOW</v>
      </c>
    </row>
    <row r="122" spans="1:19" x14ac:dyDescent="0.3">
      <c r="A122">
        <v>11</v>
      </c>
      <c r="B122" t="s">
        <v>15</v>
      </c>
      <c r="C122">
        <v>2100</v>
      </c>
      <c r="D122" t="s">
        <v>256</v>
      </c>
      <c r="E122">
        <v>2100</v>
      </c>
      <c r="F122">
        <v>0</v>
      </c>
      <c r="G122" t="s">
        <v>257</v>
      </c>
      <c r="H122">
        <v>0</v>
      </c>
      <c r="I122">
        <v>0</v>
      </c>
      <c r="J122">
        <v>1</v>
      </c>
      <c r="K122">
        <v>0</v>
      </c>
      <c r="L122">
        <v>11</v>
      </c>
      <c r="M122">
        <v>0</v>
      </c>
      <c r="N122">
        <v>1</v>
      </c>
      <c r="O122">
        <v>2100</v>
      </c>
      <c r="P122">
        <f>IF(C122&gt;=200000,5,IF(C122&gt;=100000,4,IF(C122&gt;=50000,3,IF(C122&gt;=10000,2,1))))</f>
        <v>1</v>
      </c>
      <c r="Q122">
        <f>IF(B122="TRANSFER",5,IF(B122="CASH_OUT",4,IF(B122="DEBIT",2,1)))</f>
        <v>5</v>
      </c>
      <c r="R122">
        <f>(P122*0.5)+(Q122*0.3)+(N122*0.1)+(M122*0.1)</f>
        <v>2.1</v>
      </c>
      <c r="S122" t="str">
        <f t="shared" si="1"/>
        <v>MEDIUM</v>
      </c>
    </row>
    <row r="123" spans="1:19" x14ac:dyDescent="0.3">
      <c r="A123">
        <v>11</v>
      </c>
      <c r="B123" t="s">
        <v>18</v>
      </c>
      <c r="C123">
        <v>2100</v>
      </c>
      <c r="D123" t="s">
        <v>258</v>
      </c>
      <c r="E123">
        <v>2100</v>
      </c>
      <c r="F123">
        <v>0</v>
      </c>
      <c r="G123" t="s">
        <v>259</v>
      </c>
      <c r="H123">
        <v>112512.48</v>
      </c>
      <c r="I123">
        <v>114612.48</v>
      </c>
      <c r="J123">
        <v>1</v>
      </c>
      <c r="K123">
        <v>0</v>
      </c>
      <c r="L123">
        <v>11</v>
      </c>
      <c r="M123">
        <v>0</v>
      </c>
      <c r="N123">
        <v>1</v>
      </c>
      <c r="O123">
        <v>2100</v>
      </c>
      <c r="P123">
        <f>IF(C123&gt;=200000,5,IF(C123&gt;=100000,4,IF(C123&gt;=50000,3,IF(C123&gt;=10000,2,1))))</f>
        <v>1</v>
      </c>
      <c r="Q123">
        <f>IF(B123="TRANSFER",5,IF(B123="CASH_OUT",4,IF(B123="DEBIT",2,1)))</f>
        <v>4</v>
      </c>
      <c r="R123">
        <f>(P123*0.5)+(Q123*0.3)+(N123*0.1)+(M123*0.1)</f>
        <v>1.8</v>
      </c>
      <c r="S123" t="str">
        <f t="shared" si="1"/>
        <v>LOW</v>
      </c>
    </row>
    <row r="124" spans="1:19" x14ac:dyDescent="0.3">
      <c r="A124">
        <v>11</v>
      </c>
      <c r="B124" t="s">
        <v>15</v>
      </c>
      <c r="C124">
        <v>1933920.8</v>
      </c>
      <c r="D124" t="s">
        <v>260</v>
      </c>
      <c r="E124">
        <v>0</v>
      </c>
      <c r="F124">
        <v>0</v>
      </c>
      <c r="G124" t="s">
        <v>261</v>
      </c>
      <c r="H124">
        <v>1283762.8500000001</v>
      </c>
      <c r="I124">
        <v>3217683.65</v>
      </c>
      <c r="J124">
        <v>1</v>
      </c>
      <c r="K124">
        <v>0</v>
      </c>
      <c r="L124">
        <v>11</v>
      </c>
      <c r="M124">
        <v>0</v>
      </c>
      <c r="N124">
        <v>0</v>
      </c>
      <c r="O124">
        <v>0</v>
      </c>
      <c r="P124">
        <f>IF(C124&gt;=200000,5,IF(C124&gt;=100000,4,IF(C124&gt;=50000,3,IF(C124&gt;=10000,2,1))))</f>
        <v>5</v>
      </c>
      <c r="Q124">
        <f>IF(B124="TRANSFER",5,IF(B124="CASH_OUT",4,IF(B124="DEBIT",2,1)))</f>
        <v>5</v>
      </c>
      <c r="R124">
        <f>(P124*0.5)+(Q124*0.3)+(N124*0.1)+(M124*0.1)</f>
        <v>4</v>
      </c>
      <c r="S124" t="str">
        <f t="shared" si="1"/>
        <v>HIGH</v>
      </c>
    </row>
    <row r="125" spans="1:19" x14ac:dyDescent="0.3">
      <c r="A125">
        <v>11</v>
      </c>
      <c r="B125" t="s">
        <v>15</v>
      </c>
      <c r="C125">
        <v>313418.28000000003</v>
      </c>
      <c r="D125" t="s">
        <v>262</v>
      </c>
      <c r="E125">
        <v>313418.28000000003</v>
      </c>
      <c r="F125">
        <v>0</v>
      </c>
      <c r="G125" t="s">
        <v>263</v>
      </c>
      <c r="H125">
        <v>0</v>
      </c>
      <c r="I125">
        <v>97980.88</v>
      </c>
      <c r="J125">
        <v>1</v>
      </c>
      <c r="K125">
        <v>0</v>
      </c>
      <c r="L125">
        <v>11</v>
      </c>
      <c r="M125">
        <v>0</v>
      </c>
      <c r="N125">
        <v>1</v>
      </c>
      <c r="O125">
        <v>313418.28000000003</v>
      </c>
      <c r="P125">
        <f>IF(C125&gt;=200000,5,IF(C125&gt;=100000,4,IF(C125&gt;=50000,3,IF(C125&gt;=10000,2,1))))</f>
        <v>5</v>
      </c>
      <c r="Q125">
        <f>IF(B125="TRANSFER",5,IF(B125="CASH_OUT",4,IF(B125="DEBIT",2,1)))</f>
        <v>5</v>
      </c>
      <c r="R125">
        <f>(P125*0.5)+(Q125*0.3)+(N125*0.1)+(M125*0.1)</f>
        <v>4.0999999999999996</v>
      </c>
      <c r="S125" t="str">
        <f t="shared" si="1"/>
        <v>HIGH</v>
      </c>
    </row>
    <row r="126" spans="1:19" x14ac:dyDescent="0.3">
      <c r="A126">
        <v>11</v>
      </c>
      <c r="B126" t="s">
        <v>18</v>
      </c>
      <c r="C126">
        <v>313418.28000000003</v>
      </c>
      <c r="D126" t="s">
        <v>264</v>
      </c>
      <c r="E126">
        <v>313418.28000000003</v>
      </c>
      <c r="F126">
        <v>0</v>
      </c>
      <c r="G126" t="s">
        <v>265</v>
      </c>
      <c r="H126">
        <v>688164.64</v>
      </c>
      <c r="I126">
        <v>1029922.17</v>
      </c>
      <c r="J126">
        <v>1</v>
      </c>
      <c r="K126">
        <v>0</v>
      </c>
      <c r="L126">
        <v>11</v>
      </c>
      <c r="M126">
        <v>0</v>
      </c>
      <c r="N126">
        <v>1</v>
      </c>
      <c r="O126">
        <v>313418.28000000003</v>
      </c>
      <c r="P126">
        <f>IF(C126&gt;=200000,5,IF(C126&gt;=100000,4,IF(C126&gt;=50000,3,IF(C126&gt;=10000,2,1))))</f>
        <v>5</v>
      </c>
      <c r="Q126">
        <f>IF(B126="TRANSFER",5,IF(B126="CASH_OUT",4,IF(B126="DEBIT",2,1)))</f>
        <v>4</v>
      </c>
      <c r="R126">
        <f>(P126*0.5)+(Q126*0.3)+(N126*0.1)+(M126*0.1)</f>
        <v>3.8000000000000003</v>
      </c>
      <c r="S126" t="str">
        <f t="shared" si="1"/>
        <v>HIGH</v>
      </c>
    </row>
    <row r="127" spans="1:19" x14ac:dyDescent="0.3">
      <c r="A127">
        <v>11</v>
      </c>
      <c r="B127" t="s">
        <v>15</v>
      </c>
      <c r="C127">
        <v>12461</v>
      </c>
      <c r="D127" t="s">
        <v>266</v>
      </c>
      <c r="E127">
        <v>12461</v>
      </c>
      <c r="F127">
        <v>0</v>
      </c>
      <c r="G127" t="s">
        <v>267</v>
      </c>
      <c r="H127">
        <v>0</v>
      </c>
      <c r="I127">
        <v>0</v>
      </c>
      <c r="J127">
        <v>1</v>
      </c>
      <c r="K127">
        <v>0</v>
      </c>
      <c r="L127">
        <v>11</v>
      </c>
      <c r="M127">
        <v>0</v>
      </c>
      <c r="N127">
        <v>1</v>
      </c>
      <c r="O127">
        <v>12461</v>
      </c>
      <c r="P127">
        <f>IF(C127&gt;=200000,5,IF(C127&gt;=100000,4,IF(C127&gt;=50000,3,IF(C127&gt;=10000,2,1))))</f>
        <v>2</v>
      </c>
      <c r="Q127">
        <f>IF(B127="TRANSFER",5,IF(B127="CASH_OUT",4,IF(B127="DEBIT",2,1)))</f>
        <v>5</v>
      </c>
      <c r="R127">
        <f>(P127*0.5)+(Q127*0.3)+(N127*0.1)+(M127*0.1)</f>
        <v>2.6</v>
      </c>
      <c r="S127" t="str">
        <f t="shared" si="1"/>
        <v>MEDIUM</v>
      </c>
    </row>
    <row r="128" spans="1:19" x14ac:dyDescent="0.3">
      <c r="A128">
        <v>11</v>
      </c>
      <c r="B128" t="s">
        <v>18</v>
      </c>
      <c r="C128">
        <v>12461</v>
      </c>
      <c r="D128" t="s">
        <v>268</v>
      </c>
      <c r="E128">
        <v>12461</v>
      </c>
      <c r="F128">
        <v>0</v>
      </c>
      <c r="G128" t="s">
        <v>269</v>
      </c>
      <c r="H128">
        <v>27964.11</v>
      </c>
      <c r="I128">
        <v>40425.11</v>
      </c>
      <c r="J128">
        <v>1</v>
      </c>
      <c r="K128">
        <v>0</v>
      </c>
      <c r="L128">
        <v>11</v>
      </c>
      <c r="M128">
        <v>0</v>
      </c>
      <c r="N128">
        <v>1</v>
      </c>
      <c r="O128">
        <v>12461</v>
      </c>
      <c r="P128">
        <f>IF(C128&gt;=200000,5,IF(C128&gt;=100000,4,IF(C128&gt;=50000,3,IF(C128&gt;=10000,2,1))))</f>
        <v>2</v>
      </c>
      <c r="Q128">
        <f>IF(B128="TRANSFER",5,IF(B128="CASH_OUT",4,IF(B128="DEBIT",2,1)))</f>
        <v>4</v>
      </c>
      <c r="R128">
        <f>(P128*0.5)+(Q128*0.3)+(N128*0.1)+(M128*0.1)</f>
        <v>2.3000000000000003</v>
      </c>
      <c r="S128" t="str">
        <f t="shared" si="1"/>
        <v>MEDIUM</v>
      </c>
    </row>
    <row r="129" spans="1:19" x14ac:dyDescent="0.3">
      <c r="A129">
        <v>12</v>
      </c>
      <c r="B129" t="s">
        <v>15</v>
      </c>
      <c r="C129">
        <v>19472</v>
      </c>
      <c r="D129" t="s">
        <v>270</v>
      </c>
      <c r="E129">
        <v>19472</v>
      </c>
      <c r="F129">
        <v>0</v>
      </c>
      <c r="G129" t="s">
        <v>271</v>
      </c>
      <c r="H129">
        <v>0</v>
      </c>
      <c r="I129">
        <v>0</v>
      </c>
      <c r="J129">
        <v>1</v>
      </c>
      <c r="K129">
        <v>0</v>
      </c>
      <c r="L129">
        <v>12</v>
      </c>
      <c r="M129">
        <v>0</v>
      </c>
      <c r="N129">
        <v>1</v>
      </c>
      <c r="O129">
        <v>19472</v>
      </c>
      <c r="P129">
        <f>IF(C129&gt;=200000,5,IF(C129&gt;=100000,4,IF(C129&gt;=50000,3,IF(C129&gt;=10000,2,1))))</f>
        <v>2</v>
      </c>
      <c r="Q129">
        <f>IF(B129="TRANSFER",5,IF(B129="CASH_OUT",4,IF(B129="DEBIT",2,1)))</f>
        <v>5</v>
      </c>
      <c r="R129">
        <f>(P129*0.5)+(Q129*0.3)+(N129*0.1)+(M129*0.1)</f>
        <v>2.6</v>
      </c>
      <c r="S129" t="str">
        <f t="shared" si="1"/>
        <v>MEDIUM</v>
      </c>
    </row>
    <row r="130" spans="1:19" x14ac:dyDescent="0.3">
      <c r="A130">
        <v>12</v>
      </c>
      <c r="B130" t="s">
        <v>18</v>
      </c>
      <c r="C130">
        <v>19472</v>
      </c>
      <c r="D130" t="s">
        <v>272</v>
      </c>
      <c r="E130">
        <v>19472</v>
      </c>
      <c r="F130">
        <v>0</v>
      </c>
      <c r="G130" t="s">
        <v>273</v>
      </c>
      <c r="H130">
        <v>0</v>
      </c>
      <c r="I130">
        <v>19472</v>
      </c>
      <c r="J130">
        <v>1</v>
      </c>
      <c r="K130">
        <v>0</v>
      </c>
      <c r="L130">
        <v>12</v>
      </c>
      <c r="M130">
        <v>0</v>
      </c>
      <c r="N130">
        <v>1</v>
      </c>
      <c r="O130">
        <v>19472</v>
      </c>
      <c r="P130">
        <f>IF(C130&gt;=200000,5,IF(C130&gt;=100000,4,IF(C130&gt;=50000,3,IF(C130&gt;=10000,2,1))))</f>
        <v>2</v>
      </c>
      <c r="Q130">
        <f>IF(B130="TRANSFER",5,IF(B130="CASH_OUT",4,IF(B130="DEBIT",2,1)))</f>
        <v>4</v>
      </c>
      <c r="R130">
        <f>(P130*0.5)+(Q130*0.3)+(N130*0.1)+(M130*0.1)</f>
        <v>2.3000000000000003</v>
      </c>
      <c r="S130" t="str">
        <f t="shared" si="1"/>
        <v>MEDIUM</v>
      </c>
    </row>
    <row r="131" spans="1:19" x14ac:dyDescent="0.3">
      <c r="A131">
        <v>12</v>
      </c>
      <c r="B131" t="s">
        <v>15</v>
      </c>
      <c r="C131">
        <v>3964129.99</v>
      </c>
      <c r="D131" t="s">
        <v>274</v>
      </c>
      <c r="E131">
        <v>3964129.99</v>
      </c>
      <c r="F131">
        <v>0</v>
      </c>
      <c r="G131" t="s">
        <v>275</v>
      </c>
      <c r="H131">
        <v>0</v>
      </c>
      <c r="I131">
        <v>0</v>
      </c>
      <c r="J131">
        <v>1</v>
      </c>
      <c r="K131">
        <v>0</v>
      </c>
      <c r="L131">
        <v>12</v>
      </c>
      <c r="M131">
        <v>0</v>
      </c>
      <c r="N131">
        <v>1</v>
      </c>
      <c r="O131">
        <v>3964129.99</v>
      </c>
      <c r="P131">
        <f>IF(C131&gt;=200000,5,IF(C131&gt;=100000,4,IF(C131&gt;=50000,3,IF(C131&gt;=10000,2,1))))</f>
        <v>5</v>
      </c>
      <c r="Q131">
        <f>IF(B131="TRANSFER",5,IF(B131="CASH_OUT",4,IF(B131="DEBIT",2,1)))</f>
        <v>5</v>
      </c>
      <c r="R131">
        <f>(P131*0.5)+(Q131*0.3)+(N131*0.1)+(M131*0.1)</f>
        <v>4.0999999999999996</v>
      </c>
      <c r="S131" t="str">
        <f t="shared" ref="S131:S194" si="2">IF(R131&gt;=3,"HIGH",IF(R131&gt;=2,"MEDIUM","LOW"))</f>
        <v>HIGH</v>
      </c>
    </row>
    <row r="132" spans="1:19" x14ac:dyDescent="0.3">
      <c r="A132">
        <v>12</v>
      </c>
      <c r="B132" t="s">
        <v>18</v>
      </c>
      <c r="C132">
        <v>3964129.99</v>
      </c>
      <c r="D132" t="s">
        <v>276</v>
      </c>
      <c r="E132">
        <v>3964129.99</v>
      </c>
      <c r="F132">
        <v>0</v>
      </c>
      <c r="G132" t="s">
        <v>277</v>
      </c>
      <c r="H132">
        <v>1912955.54</v>
      </c>
      <c r="I132">
        <v>5811064.0700000003</v>
      </c>
      <c r="J132">
        <v>1</v>
      </c>
      <c r="K132">
        <v>0</v>
      </c>
      <c r="L132">
        <v>12</v>
      </c>
      <c r="M132">
        <v>0</v>
      </c>
      <c r="N132">
        <v>1</v>
      </c>
      <c r="O132">
        <v>3964129.99</v>
      </c>
      <c r="P132">
        <f>IF(C132&gt;=200000,5,IF(C132&gt;=100000,4,IF(C132&gt;=50000,3,IF(C132&gt;=10000,2,1))))</f>
        <v>5</v>
      </c>
      <c r="Q132">
        <f>IF(B132="TRANSFER",5,IF(B132="CASH_OUT",4,IF(B132="DEBIT",2,1)))</f>
        <v>4</v>
      </c>
      <c r="R132">
        <f>(P132*0.5)+(Q132*0.3)+(N132*0.1)+(M132*0.1)</f>
        <v>3.8000000000000003</v>
      </c>
      <c r="S132" t="str">
        <f t="shared" si="2"/>
        <v>HIGH</v>
      </c>
    </row>
    <row r="133" spans="1:19" x14ac:dyDescent="0.3">
      <c r="A133">
        <v>12</v>
      </c>
      <c r="B133" t="s">
        <v>15</v>
      </c>
      <c r="C133">
        <v>1041647.06</v>
      </c>
      <c r="D133" t="s">
        <v>278</v>
      </c>
      <c r="E133">
        <v>1041647.06</v>
      </c>
      <c r="F133">
        <v>0</v>
      </c>
      <c r="G133" t="s">
        <v>279</v>
      </c>
      <c r="H133">
        <v>0</v>
      </c>
      <c r="I133">
        <v>0</v>
      </c>
      <c r="J133">
        <v>1</v>
      </c>
      <c r="K133">
        <v>0</v>
      </c>
      <c r="L133">
        <v>12</v>
      </c>
      <c r="M133">
        <v>0</v>
      </c>
      <c r="N133">
        <v>1</v>
      </c>
      <c r="O133">
        <v>1041647.06</v>
      </c>
      <c r="P133">
        <f>IF(C133&gt;=200000,5,IF(C133&gt;=100000,4,IF(C133&gt;=50000,3,IF(C133&gt;=10000,2,1))))</f>
        <v>5</v>
      </c>
      <c r="Q133">
        <f>IF(B133="TRANSFER",5,IF(B133="CASH_OUT",4,IF(B133="DEBIT",2,1)))</f>
        <v>5</v>
      </c>
      <c r="R133">
        <f>(P133*0.5)+(Q133*0.3)+(N133*0.1)+(M133*0.1)</f>
        <v>4.0999999999999996</v>
      </c>
      <c r="S133" t="str">
        <f t="shared" si="2"/>
        <v>HIGH</v>
      </c>
    </row>
    <row r="134" spans="1:19" x14ac:dyDescent="0.3">
      <c r="A134">
        <v>12</v>
      </c>
      <c r="B134" t="s">
        <v>18</v>
      </c>
      <c r="C134">
        <v>1041647.06</v>
      </c>
      <c r="D134" t="s">
        <v>280</v>
      </c>
      <c r="E134">
        <v>1041647.06</v>
      </c>
      <c r="F134">
        <v>0</v>
      </c>
      <c r="G134" t="s">
        <v>281</v>
      </c>
      <c r="H134">
        <v>52730.33</v>
      </c>
      <c r="I134">
        <v>1094377.3899999999</v>
      </c>
      <c r="J134">
        <v>1</v>
      </c>
      <c r="K134">
        <v>0</v>
      </c>
      <c r="L134">
        <v>12</v>
      </c>
      <c r="M134">
        <v>0</v>
      </c>
      <c r="N134">
        <v>1</v>
      </c>
      <c r="O134">
        <v>1041647.06</v>
      </c>
      <c r="P134">
        <f>IF(C134&gt;=200000,5,IF(C134&gt;=100000,4,IF(C134&gt;=50000,3,IF(C134&gt;=10000,2,1))))</f>
        <v>5</v>
      </c>
      <c r="Q134">
        <f>IF(B134="TRANSFER",5,IF(B134="CASH_OUT",4,IF(B134="DEBIT",2,1)))</f>
        <v>4</v>
      </c>
      <c r="R134">
        <f>(P134*0.5)+(Q134*0.3)+(N134*0.1)+(M134*0.1)</f>
        <v>3.8000000000000003</v>
      </c>
      <c r="S134" t="str">
        <f t="shared" si="2"/>
        <v>HIGH</v>
      </c>
    </row>
    <row r="135" spans="1:19" x14ac:dyDescent="0.3">
      <c r="A135">
        <v>12</v>
      </c>
      <c r="B135" t="s">
        <v>15</v>
      </c>
      <c r="C135">
        <v>2066467.64</v>
      </c>
      <c r="D135" t="s">
        <v>282</v>
      </c>
      <c r="E135">
        <v>2066467.64</v>
      </c>
      <c r="F135">
        <v>0</v>
      </c>
      <c r="G135" t="s">
        <v>283</v>
      </c>
      <c r="H135">
        <v>0</v>
      </c>
      <c r="I135">
        <v>81209.81</v>
      </c>
      <c r="J135">
        <v>1</v>
      </c>
      <c r="K135">
        <v>0</v>
      </c>
      <c r="L135">
        <v>12</v>
      </c>
      <c r="M135">
        <v>0</v>
      </c>
      <c r="N135">
        <v>1</v>
      </c>
      <c r="O135">
        <v>2066467.64</v>
      </c>
      <c r="P135">
        <f>IF(C135&gt;=200000,5,IF(C135&gt;=100000,4,IF(C135&gt;=50000,3,IF(C135&gt;=10000,2,1))))</f>
        <v>5</v>
      </c>
      <c r="Q135">
        <f>IF(B135="TRANSFER",5,IF(B135="CASH_OUT",4,IF(B135="DEBIT",2,1)))</f>
        <v>5</v>
      </c>
      <c r="R135">
        <f>(P135*0.5)+(Q135*0.3)+(N135*0.1)+(M135*0.1)</f>
        <v>4.0999999999999996</v>
      </c>
      <c r="S135" t="str">
        <f t="shared" si="2"/>
        <v>HIGH</v>
      </c>
    </row>
    <row r="136" spans="1:19" x14ac:dyDescent="0.3">
      <c r="A136">
        <v>12</v>
      </c>
      <c r="B136" t="s">
        <v>18</v>
      </c>
      <c r="C136">
        <v>2066467.64</v>
      </c>
      <c r="D136" t="s">
        <v>284</v>
      </c>
      <c r="E136">
        <v>2066467.64</v>
      </c>
      <c r="F136">
        <v>0</v>
      </c>
      <c r="G136" t="s">
        <v>285</v>
      </c>
      <c r="H136">
        <v>194510.24</v>
      </c>
      <c r="I136">
        <v>3098566.67</v>
      </c>
      <c r="J136">
        <v>1</v>
      </c>
      <c r="K136">
        <v>0</v>
      </c>
      <c r="L136">
        <v>12</v>
      </c>
      <c r="M136">
        <v>0</v>
      </c>
      <c r="N136">
        <v>1</v>
      </c>
      <c r="O136">
        <v>2066467.64</v>
      </c>
      <c r="P136">
        <f>IF(C136&gt;=200000,5,IF(C136&gt;=100000,4,IF(C136&gt;=50000,3,IF(C136&gt;=10000,2,1))))</f>
        <v>5</v>
      </c>
      <c r="Q136">
        <f>IF(B136="TRANSFER",5,IF(B136="CASH_OUT",4,IF(B136="DEBIT",2,1)))</f>
        <v>4</v>
      </c>
      <c r="R136">
        <f>(P136*0.5)+(Q136*0.3)+(N136*0.1)+(M136*0.1)</f>
        <v>3.8000000000000003</v>
      </c>
      <c r="S136" t="str">
        <f t="shared" si="2"/>
        <v>HIGH</v>
      </c>
    </row>
    <row r="137" spans="1:19" x14ac:dyDescent="0.3">
      <c r="A137">
        <v>12</v>
      </c>
      <c r="B137" t="s">
        <v>18</v>
      </c>
      <c r="C137">
        <v>149668.66</v>
      </c>
      <c r="D137" t="s">
        <v>286</v>
      </c>
      <c r="E137">
        <v>0</v>
      </c>
      <c r="F137">
        <v>0</v>
      </c>
      <c r="G137" t="s">
        <v>287</v>
      </c>
      <c r="H137">
        <v>44170.11</v>
      </c>
      <c r="I137">
        <v>193838.76</v>
      </c>
      <c r="J137">
        <v>1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f>IF(C137&gt;=200000,5,IF(C137&gt;=100000,4,IF(C137&gt;=50000,3,IF(C137&gt;=10000,2,1))))</f>
        <v>4</v>
      </c>
      <c r="Q137">
        <f>IF(B137="TRANSFER",5,IF(B137="CASH_OUT",4,IF(B137="DEBIT",2,1)))</f>
        <v>4</v>
      </c>
      <c r="R137">
        <f>(P137*0.5)+(Q137*0.3)+(N137*0.1)+(M137*0.1)</f>
        <v>3.2</v>
      </c>
      <c r="S137" t="str">
        <f t="shared" si="2"/>
        <v>HIGH</v>
      </c>
    </row>
    <row r="138" spans="1:19" x14ac:dyDescent="0.3">
      <c r="A138">
        <v>12</v>
      </c>
      <c r="B138" t="s">
        <v>15</v>
      </c>
      <c r="C138">
        <v>2007</v>
      </c>
      <c r="D138" t="s">
        <v>288</v>
      </c>
      <c r="E138">
        <v>2007</v>
      </c>
      <c r="F138">
        <v>0</v>
      </c>
      <c r="G138" t="s">
        <v>289</v>
      </c>
      <c r="H138">
        <v>0</v>
      </c>
      <c r="I138">
        <v>0</v>
      </c>
      <c r="J138">
        <v>1</v>
      </c>
      <c r="K138">
        <v>0</v>
      </c>
      <c r="L138">
        <v>12</v>
      </c>
      <c r="M138">
        <v>0</v>
      </c>
      <c r="N138">
        <v>1</v>
      </c>
      <c r="O138">
        <v>2007</v>
      </c>
      <c r="P138">
        <f>IF(C138&gt;=200000,5,IF(C138&gt;=100000,4,IF(C138&gt;=50000,3,IF(C138&gt;=10000,2,1))))</f>
        <v>1</v>
      </c>
      <c r="Q138">
        <f>IF(B138="TRANSFER",5,IF(B138="CASH_OUT",4,IF(B138="DEBIT",2,1)))</f>
        <v>5</v>
      </c>
      <c r="R138">
        <f>(P138*0.5)+(Q138*0.3)+(N138*0.1)+(M138*0.1)</f>
        <v>2.1</v>
      </c>
      <c r="S138" t="str">
        <f t="shared" si="2"/>
        <v>MEDIUM</v>
      </c>
    </row>
    <row r="139" spans="1:19" x14ac:dyDescent="0.3">
      <c r="A139">
        <v>12</v>
      </c>
      <c r="B139" t="s">
        <v>18</v>
      </c>
      <c r="C139">
        <v>2007</v>
      </c>
      <c r="D139" t="s">
        <v>290</v>
      </c>
      <c r="E139">
        <v>2007</v>
      </c>
      <c r="F139">
        <v>0</v>
      </c>
      <c r="G139" t="s">
        <v>291</v>
      </c>
      <c r="H139">
        <v>129917.8</v>
      </c>
      <c r="I139">
        <v>250910.76</v>
      </c>
      <c r="J139">
        <v>1</v>
      </c>
      <c r="K139">
        <v>0</v>
      </c>
      <c r="L139">
        <v>12</v>
      </c>
      <c r="M139">
        <v>0</v>
      </c>
      <c r="N139">
        <v>1</v>
      </c>
      <c r="O139">
        <v>2007</v>
      </c>
      <c r="P139">
        <f>IF(C139&gt;=200000,5,IF(C139&gt;=100000,4,IF(C139&gt;=50000,3,IF(C139&gt;=10000,2,1))))</f>
        <v>1</v>
      </c>
      <c r="Q139">
        <f>IF(B139="TRANSFER",5,IF(B139="CASH_OUT",4,IF(B139="DEBIT",2,1)))</f>
        <v>4</v>
      </c>
      <c r="R139">
        <f>(P139*0.5)+(Q139*0.3)+(N139*0.1)+(M139*0.1)</f>
        <v>1.8</v>
      </c>
      <c r="S139" t="str">
        <f t="shared" si="2"/>
        <v>LOW</v>
      </c>
    </row>
    <row r="140" spans="1:19" x14ac:dyDescent="0.3">
      <c r="A140">
        <v>12</v>
      </c>
      <c r="B140" t="s">
        <v>18</v>
      </c>
      <c r="C140">
        <v>222048.71</v>
      </c>
      <c r="D140" t="s">
        <v>292</v>
      </c>
      <c r="E140">
        <v>0</v>
      </c>
      <c r="F140">
        <v>0</v>
      </c>
      <c r="G140" t="s">
        <v>293</v>
      </c>
      <c r="H140">
        <v>2979</v>
      </c>
      <c r="I140">
        <v>225027.71</v>
      </c>
      <c r="J140">
        <v>1</v>
      </c>
      <c r="K140">
        <v>0</v>
      </c>
      <c r="L140">
        <v>12</v>
      </c>
      <c r="M140">
        <v>0</v>
      </c>
      <c r="N140">
        <v>0</v>
      </c>
      <c r="O140">
        <v>0</v>
      </c>
      <c r="P140">
        <f>IF(C140&gt;=200000,5,IF(C140&gt;=100000,4,IF(C140&gt;=50000,3,IF(C140&gt;=10000,2,1))))</f>
        <v>5</v>
      </c>
      <c r="Q140">
        <f>IF(B140="TRANSFER",5,IF(B140="CASH_OUT",4,IF(B140="DEBIT",2,1)))</f>
        <v>4</v>
      </c>
      <c r="R140">
        <f>(P140*0.5)+(Q140*0.3)+(N140*0.1)+(M140*0.1)</f>
        <v>3.7</v>
      </c>
      <c r="S140" t="str">
        <f t="shared" si="2"/>
        <v>HIGH</v>
      </c>
    </row>
    <row r="141" spans="1:19" x14ac:dyDescent="0.3">
      <c r="A141">
        <v>12</v>
      </c>
      <c r="B141" t="s">
        <v>15</v>
      </c>
      <c r="C141">
        <v>8677</v>
      </c>
      <c r="D141" t="s">
        <v>294</v>
      </c>
      <c r="E141">
        <v>8677</v>
      </c>
      <c r="F141">
        <v>0</v>
      </c>
      <c r="G141" t="s">
        <v>295</v>
      </c>
      <c r="H141">
        <v>0</v>
      </c>
      <c r="I141">
        <v>0</v>
      </c>
      <c r="J141">
        <v>1</v>
      </c>
      <c r="K141">
        <v>0</v>
      </c>
      <c r="L141">
        <v>12</v>
      </c>
      <c r="M141">
        <v>0</v>
      </c>
      <c r="N141">
        <v>1</v>
      </c>
      <c r="O141">
        <v>8677</v>
      </c>
      <c r="P141">
        <f>IF(C141&gt;=200000,5,IF(C141&gt;=100000,4,IF(C141&gt;=50000,3,IF(C141&gt;=10000,2,1))))</f>
        <v>1</v>
      </c>
      <c r="Q141">
        <f>IF(B141="TRANSFER",5,IF(B141="CASH_OUT",4,IF(B141="DEBIT",2,1)))</f>
        <v>5</v>
      </c>
      <c r="R141">
        <f>(P141*0.5)+(Q141*0.3)+(N141*0.1)+(M141*0.1)</f>
        <v>2.1</v>
      </c>
      <c r="S141" t="str">
        <f t="shared" si="2"/>
        <v>MEDIUM</v>
      </c>
    </row>
    <row r="142" spans="1:19" x14ac:dyDescent="0.3">
      <c r="A142">
        <v>12</v>
      </c>
      <c r="B142" t="s">
        <v>18</v>
      </c>
      <c r="C142">
        <v>8677</v>
      </c>
      <c r="D142" t="s">
        <v>296</v>
      </c>
      <c r="E142">
        <v>8677</v>
      </c>
      <c r="F142">
        <v>0</v>
      </c>
      <c r="G142" t="s">
        <v>297</v>
      </c>
      <c r="H142">
        <v>225127.62</v>
      </c>
      <c r="I142">
        <v>233804.62</v>
      </c>
      <c r="J142">
        <v>1</v>
      </c>
      <c r="K142">
        <v>0</v>
      </c>
      <c r="L142">
        <v>12</v>
      </c>
      <c r="M142">
        <v>0</v>
      </c>
      <c r="N142">
        <v>1</v>
      </c>
      <c r="O142">
        <v>8677</v>
      </c>
      <c r="P142">
        <f>IF(C142&gt;=200000,5,IF(C142&gt;=100000,4,IF(C142&gt;=50000,3,IF(C142&gt;=10000,2,1))))</f>
        <v>1</v>
      </c>
      <c r="Q142">
        <f>IF(B142="TRANSFER",5,IF(B142="CASH_OUT",4,IF(B142="DEBIT",2,1)))</f>
        <v>4</v>
      </c>
      <c r="R142">
        <f>(P142*0.5)+(Q142*0.3)+(N142*0.1)+(M142*0.1)</f>
        <v>1.8</v>
      </c>
      <c r="S142" t="str">
        <f t="shared" si="2"/>
        <v>LOW</v>
      </c>
    </row>
    <row r="143" spans="1:19" x14ac:dyDescent="0.3">
      <c r="A143">
        <v>13</v>
      </c>
      <c r="B143" t="s">
        <v>15</v>
      </c>
      <c r="C143">
        <v>408</v>
      </c>
      <c r="D143" t="s">
        <v>298</v>
      </c>
      <c r="E143">
        <v>408</v>
      </c>
      <c r="F143">
        <v>0</v>
      </c>
      <c r="G143" t="s">
        <v>299</v>
      </c>
      <c r="H143">
        <v>0</v>
      </c>
      <c r="I143">
        <v>226013.18</v>
      </c>
      <c r="J143">
        <v>1</v>
      </c>
      <c r="K143">
        <v>0</v>
      </c>
      <c r="L143">
        <v>13</v>
      </c>
      <c r="M143">
        <v>0</v>
      </c>
      <c r="N143">
        <v>1</v>
      </c>
      <c r="O143">
        <v>408</v>
      </c>
      <c r="P143">
        <f>IF(C143&gt;=200000,5,IF(C143&gt;=100000,4,IF(C143&gt;=50000,3,IF(C143&gt;=10000,2,1))))</f>
        <v>1</v>
      </c>
      <c r="Q143">
        <f>IF(B143="TRANSFER",5,IF(B143="CASH_OUT",4,IF(B143="DEBIT",2,1)))</f>
        <v>5</v>
      </c>
      <c r="R143">
        <f>(P143*0.5)+(Q143*0.3)+(N143*0.1)+(M143*0.1)</f>
        <v>2.1</v>
      </c>
      <c r="S143" t="str">
        <f t="shared" si="2"/>
        <v>MEDIUM</v>
      </c>
    </row>
    <row r="144" spans="1:19" x14ac:dyDescent="0.3">
      <c r="A144">
        <v>13</v>
      </c>
      <c r="B144" t="s">
        <v>18</v>
      </c>
      <c r="C144">
        <v>408</v>
      </c>
      <c r="D144" t="s">
        <v>300</v>
      </c>
      <c r="E144">
        <v>408</v>
      </c>
      <c r="F144">
        <v>0</v>
      </c>
      <c r="G144" t="s">
        <v>301</v>
      </c>
      <c r="H144">
        <v>898297.85</v>
      </c>
      <c r="I144">
        <v>1075854.1399999999</v>
      </c>
      <c r="J144">
        <v>1</v>
      </c>
      <c r="K144">
        <v>0</v>
      </c>
      <c r="L144">
        <v>13</v>
      </c>
      <c r="M144">
        <v>0</v>
      </c>
      <c r="N144">
        <v>1</v>
      </c>
      <c r="O144">
        <v>408</v>
      </c>
      <c r="P144">
        <f>IF(C144&gt;=200000,5,IF(C144&gt;=100000,4,IF(C144&gt;=50000,3,IF(C144&gt;=10000,2,1))))</f>
        <v>1</v>
      </c>
      <c r="Q144">
        <f>IF(B144="TRANSFER",5,IF(B144="CASH_OUT",4,IF(B144="DEBIT",2,1)))</f>
        <v>4</v>
      </c>
      <c r="R144">
        <f>(P144*0.5)+(Q144*0.3)+(N144*0.1)+(M144*0.1)</f>
        <v>1.8</v>
      </c>
      <c r="S144" t="str">
        <f t="shared" si="2"/>
        <v>LOW</v>
      </c>
    </row>
    <row r="145" spans="1:19" x14ac:dyDescent="0.3">
      <c r="A145">
        <v>13</v>
      </c>
      <c r="B145" t="s">
        <v>15</v>
      </c>
      <c r="C145">
        <v>48375.02</v>
      </c>
      <c r="D145" t="s">
        <v>302</v>
      </c>
      <c r="E145">
        <v>48375.02</v>
      </c>
      <c r="F145">
        <v>0</v>
      </c>
      <c r="G145" t="s">
        <v>303</v>
      </c>
      <c r="H145">
        <v>0</v>
      </c>
      <c r="I145">
        <v>0</v>
      </c>
      <c r="J145">
        <v>1</v>
      </c>
      <c r="K145">
        <v>0</v>
      </c>
      <c r="L145">
        <v>13</v>
      </c>
      <c r="M145">
        <v>0</v>
      </c>
      <c r="N145">
        <v>1</v>
      </c>
      <c r="O145">
        <v>48375.02</v>
      </c>
      <c r="P145">
        <f>IF(C145&gt;=200000,5,IF(C145&gt;=100000,4,IF(C145&gt;=50000,3,IF(C145&gt;=10000,2,1))))</f>
        <v>2</v>
      </c>
      <c r="Q145">
        <f>IF(B145="TRANSFER",5,IF(B145="CASH_OUT",4,IF(B145="DEBIT",2,1)))</f>
        <v>5</v>
      </c>
      <c r="R145">
        <f>(P145*0.5)+(Q145*0.3)+(N145*0.1)+(M145*0.1)</f>
        <v>2.6</v>
      </c>
      <c r="S145" t="str">
        <f t="shared" si="2"/>
        <v>MEDIUM</v>
      </c>
    </row>
    <row r="146" spans="1:19" x14ac:dyDescent="0.3">
      <c r="A146">
        <v>13</v>
      </c>
      <c r="B146" t="s">
        <v>18</v>
      </c>
      <c r="C146">
        <v>48375.02</v>
      </c>
      <c r="D146" t="s">
        <v>304</v>
      </c>
      <c r="E146">
        <v>48375.02</v>
      </c>
      <c r="F146">
        <v>0</v>
      </c>
      <c r="G146" t="s">
        <v>305</v>
      </c>
      <c r="H146">
        <v>374803.26</v>
      </c>
      <c r="I146">
        <v>658520.32999999996</v>
      </c>
      <c r="J146">
        <v>1</v>
      </c>
      <c r="K146">
        <v>0</v>
      </c>
      <c r="L146">
        <v>13</v>
      </c>
      <c r="M146">
        <v>0</v>
      </c>
      <c r="N146">
        <v>1</v>
      </c>
      <c r="O146">
        <v>48375.02</v>
      </c>
      <c r="P146">
        <f>IF(C146&gt;=200000,5,IF(C146&gt;=100000,4,IF(C146&gt;=50000,3,IF(C146&gt;=10000,2,1))))</f>
        <v>2</v>
      </c>
      <c r="Q146">
        <f>IF(B146="TRANSFER",5,IF(B146="CASH_OUT",4,IF(B146="DEBIT",2,1)))</f>
        <v>4</v>
      </c>
      <c r="R146">
        <f>(P146*0.5)+(Q146*0.3)+(N146*0.1)+(M146*0.1)</f>
        <v>2.3000000000000003</v>
      </c>
      <c r="S146" t="str">
        <f t="shared" si="2"/>
        <v>MEDIUM</v>
      </c>
    </row>
    <row r="147" spans="1:19" x14ac:dyDescent="0.3">
      <c r="A147">
        <v>13</v>
      </c>
      <c r="B147" t="s">
        <v>15</v>
      </c>
      <c r="C147">
        <v>4022667.54</v>
      </c>
      <c r="D147" t="s">
        <v>306</v>
      </c>
      <c r="E147">
        <v>4022667.54</v>
      </c>
      <c r="F147">
        <v>0</v>
      </c>
      <c r="G147" t="s">
        <v>307</v>
      </c>
      <c r="H147">
        <v>0</v>
      </c>
      <c r="I147">
        <v>0</v>
      </c>
      <c r="J147">
        <v>1</v>
      </c>
      <c r="K147">
        <v>0</v>
      </c>
      <c r="L147">
        <v>13</v>
      </c>
      <c r="M147">
        <v>0</v>
      </c>
      <c r="N147">
        <v>1</v>
      </c>
      <c r="O147">
        <v>4022667.54</v>
      </c>
      <c r="P147">
        <f>IF(C147&gt;=200000,5,IF(C147&gt;=100000,4,IF(C147&gt;=50000,3,IF(C147&gt;=10000,2,1))))</f>
        <v>5</v>
      </c>
      <c r="Q147">
        <f>IF(B147="TRANSFER",5,IF(B147="CASH_OUT",4,IF(B147="DEBIT",2,1)))</f>
        <v>5</v>
      </c>
      <c r="R147">
        <f>(P147*0.5)+(Q147*0.3)+(N147*0.1)+(M147*0.1)</f>
        <v>4.0999999999999996</v>
      </c>
      <c r="S147" t="str">
        <f t="shared" si="2"/>
        <v>HIGH</v>
      </c>
    </row>
    <row r="148" spans="1:19" x14ac:dyDescent="0.3">
      <c r="A148">
        <v>13</v>
      </c>
      <c r="B148" t="s">
        <v>18</v>
      </c>
      <c r="C148">
        <v>4022667.54</v>
      </c>
      <c r="D148" t="s">
        <v>308</v>
      </c>
      <c r="E148">
        <v>4022667.54</v>
      </c>
      <c r="F148">
        <v>0</v>
      </c>
      <c r="G148" t="s">
        <v>309</v>
      </c>
      <c r="H148">
        <v>80136.56</v>
      </c>
      <c r="I148">
        <v>4057191.21</v>
      </c>
      <c r="J148">
        <v>1</v>
      </c>
      <c r="K148">
        <v>0</v>
      </c>
      <c r="L148">
        <v>13</v>
      </c>
      <c r="M148">
        <v>0</v>
      </c>
      <c r="N148">
        <v>1</v>
      </c>
      <c r="O148">
        <v>4022667.54</v>
      </c>
      <c r="P148">
        <f>IF(C148&gt;=200000,5,IF(C148&gt;=100000,4,IF(C148&gt;=50000,3,IF(C148&gt;=10000,2,1))))</f>
        <v>5</v>
      </c>
      <c r="Q148">
        <f>IF(B148="TRANSFER",5,IF(B148="CASH_OUT",4,IF(B148="DEBIT",2,1)))</f>
        <v>4</v>
      </c>
      <c r="R148">
        <f>(P148*0.5)+(Q148*0.3)+(N148*0.1)+(M148*0.1)</f>
        <v>3.8000000000000003</v>
      </c>
      <c r="S148" t="str">
        <f t="shared" si="2"/>
        <v>HIGH</v>
      </c>
    </row>
    <row r="149" spans="1:19" x14ac:dyDescent="0.3">
      <c r="A149">
        <v>13</v>
      </c>
      <c r="B149" t="s">
        <v>18</v>
      </c>
      <c r="C149">
        <v>454859.39</v>
      </c>
      <c r="D149" t="s">
        <v>310</v>
      </c>
      <c r="E149">
        <v>0</v>
      </c>
      <c r="F149">
        <v>0</v>
      </c>
      <c r="G149" t="s">
        <v>311</v>
      </c>
      <c r="H149">
        <v>0</v>
      </c>
      <c r="I149">
        <v>454859.39</v>
      </c>
      <c r="J149">
        <v>1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f>IF(C149&gt;=200000,5,IF(C149&gt;=100000,4,IF(C149&gt;=50000,3,IF(C149&gt;=10000,2,1))))</f>
        <v>5</v>
      </c>
      <c r="Q149">
        <f>IF(B149="TRANSFER",5,IF(B149="CASH_OUT",4,IF(B149="DEBIT",2,1)))</f>
        <v>4</v>
      </c>
      <c r="R149">
        <f>(P149*0.5)+(Q149*0.3)+(N149*0.1)+(M149*0.1)</f>
        <v>3.7</v>
      </c>
      <c r="S149" t="str">
        <f t="shared" si="2"/>
        <v>HIGH</v>
      </c>
    </row>
    <row r="150" spans="1:19" x14ac:dyDescent="0.3">
      <c r="A150">
        <v>13</v>
      </c>
      <c r="B150" t="s">
        <v>15</v>
      </c>
      <c r="C150">
        <v>1161495.82</v>
      </c>
      <c r="D150" t="s">
        <v>312</v>
      </c>
      <c r="E150">
        <v>1161495.82</v>
      </c>
      <c r="F150">
        <v>0</v>
      </c>
      <c r="G150" t="s">
        <v>313</v>
      </c>
      <c r="H150">
        <v>0</v>
      </c>
      <c r="I150">
        <v>0</v>
      </c>
      <c r="J150">
        <v>1</v>
      </c>
      <c r="K150">
        <v>0</v>
      </c>
      <c r="L150">
        <v>13</v>
      </c>
      <c r="M150">
        <v>0</v>
      </c>
      <c r="N150">
        <v>1</v>
      </c>
      <c r="O150">
        <v>1161495.82</v>
      </c>
      <c r="P150">
        <f>IF(C150&gt;=200000,5,IF(C150&gt;=100000,4,IF(C150&gt;=50000,3,IF(C150&gt;=10000,2,1))))</f>
        <v>5</v>
      </c>
      <c r="Q150">
        <f>IF(B150="TRANSFER",5,IF(B150="CASH_OUT",4,IF(B150="DEBIT",2,1)))</f>
        <v>5</v>
      </c>
      <c r="R150">
        <f>(P150*0.5)+(Q150*0.3)+(N150*0.1)+(M150*0.1)</f>
        <v>4.0999999999999996</v>
      </c>
      <c r="S150" t="str">
        <f t="shared" si="2"/>
        <v>HIGH</v>
      </c>
    </row>
    <row r="151" spans="1:19" x14ac:dyDescent="0.3">
      <c r="A151">
        <v>13</v>
      </c>
      <c r="B151" t="s">
        <v>18</v>
      </c>
      <c r="C151">
        <v>1161495.82</v>
      </c>
      <c r="D151" t="s">
        <v>314</v>
      </c>
      <c r="E151">
        <v>1161495.82</v>
      </c>
      <c r="F151">
        <v>0</v>
      </c>
      <c r="G151" t="s">
        <v>315</v>
      </c>
      <c r="H151">
        <v>319036.02</v>
      </c>
      <c r="I151">
        <v>1565123.81</v>
      </c>
      <c r="J151">
        <v>1</v>
      </c>
      <c r="K151">
        <v>0</v>
      </c>
      <c r="L151">
        <v>13</v>
      </c>
      <c r="M151">
        <v>0</v>
      </c>
      <c r="N151">
        <v>1</v>
      </c>
      <c r="O151">
        <v>1161495.82</v>
      </c>
      <c r="P151">
        <f>IF(C151&gt;=200000,5,IF(C151&gt;=100000,4,IF(C151&gt;=50000,3,IF(C151&gt;=10000,2,1))))</f>
        <v>5</v>
      </c>
      <c r="Q151">
        <f>IF(B151="TRANSFER",5,IF(B151="CASH_OUT",4,IF(B151="DEBIT",2,1)))</f>
        <v>4</v>
      </c>
      <c r="R151">
        <f>(P151*0.5)+(Q151*0.3)+(N151*0.1)+(M151*0.1)</f>
        <v>3.8000000000000003</v>
      </c>
      <c r="S151" t="str">
        <f t="shared" si="2"/>
        <v>HIGH</v>
      </c>
    </row>
    <row r="152" spans="1:19" x14ac:dyDescent="0.3">
      <c r="A152">
        <v>13</v>
      </c>
      <c r="B152" t="s">
        <v>15</v>
      </c>
      <c r="C152">
        <v>2686564.04</v>
      </c>
      <c r="D152" t="s">
        <v>316</v>
      </c>
      <c r="E152">
        <v>2686564.04</v>
      </c>
      <c r="F152">
        <v>0</v>
      </c>
      <c r="G152" t="s">
        <v>317</v>
      </c>
      <c r="H152">
        <v>0</v>
      </c>
      <c r="I152">
        <v>0</v>
      </c>
      <c r="J152">
        <v>1</v>
      </c>
      <c r="K152">
        <v>0</v>
      </c>
      <c r="L152">
        <v>13</v>
      </c>
      <c r="M152">
        <v>0</v>
      </c>
      <c r="N152">
        <v>1</v>
      </c>
      <c r="O152">
        <v>2686564.04</v>
      </c>
      <c r="P152">
        <f>IF(C152&gt;=200000,5,IF(C152&gt;=100000,4,IF(C152&gt;=50000,3,IF(C152&gt;=10000,2,1))))</f>
        <v>5</v>
      </c>
      <c r="Q152">
        <f>IF(B152="TRANSFER",5,IF(B152="CASH_OUT",4,IF(B152="DEBIT",2,1)))</f>
        <v>5</v>
      </c>
      <c r="R152">
        <f>(P152*0.5)+(Q152*0.3)+(N152*0.1)+(M152*0.1)</f>
        <v>4.0999999999999996</v>
      </c>
      <c r="S152" t="str">
        <f t="shared" si="2"/>
        <v>HIGH</v>
      </c>
    </row>
    <row r="153" spans="1:19" x14ac:dyDescent="0.3">
      <c r="A153">
        <v>13</v>
      </c>
      <c r="B153" t="s">
        <v>18</v>
      </c>
      <c r="C153">
        <v>2686564.04</v>
      </c>
      <c r="D153" t="s">
        <v>318</v>
      </c>
      <c r="E153">
        <v>2686564.04</v>
      </c>
      <c r="F153">
        <v>0</v>
      </c>
      <c r="G153" t="s">
        <v>319</v>
      </c>
      <c r="H153">
        <v>438199.37</v>
      </c>
      <c r="I153">
        <v>3124763.41</v>
      </c>
      <c r="J153">
        <v>1</v>
      </c>
      <c r="K153">
        <v>0</v>
      </c>
      <c r="L153">
        <v>13</v>
      </c>
      <c r="M153">
        <v>0</v>
      </c>
      <c r="N153">
        <v>1</v>
      </c>
      <c r="O153">
        <v>2686564.04</v>
      </c>
      <c r="P153">
        <f>IF(C153&gt;=200000,5,IF(C153&gt;=100000,4,IF(C153&gt;=50000,3,IF(C153&gt;=10000,2,1))))</f>
        <v>5</v>
      </c>
      <c r="Q153">
        <f>IF(B153="TRANSFER",5,IF(B153="CASH_OUT",4,IF(B153="DEBIT",2,1)))</f>
        <v>4</v>
      </c>
      <c r="R153">
        <f>(P153*0.5)+(Q153*0.3)+(N153*0.1)+(M153*0.1)</f>
        <v>3.8000000000000003</v>
      </c>
      <c r="S153" t="str">
        <f t="shared" si="2"/>
        <v>HIGH</v>
      </c>
    </row>
    <row r="154" spans="1:19" x14ac:dyDescent="0.3">
      <c r="A154">
        <v>13</v>
      </c>
      <c r="B154" t="s">
        <v>15</v>
      </c>
      <c r="C154">
        <v>6188514.8099999996</v>
      </c>
      <c r="D154" t="s">
        <v>320</v>
      </c>
      <c r="E154">
        <v>6188514.8099999996</v>
      </c>
      <c r="F154">
        <v>0</v>
      </c>
      <c r="G154" t="s">
        <v>321</v>
      </c>
      <c r="H154">
        <v>0</v>
      </c>
      <c r="I154">
        <v>0</v>
      </c>
      <c r="J154">
        <v>1</v>
      </c>
      <c r="K154">
        <v>0</v>
      </c>
      <c r="L154">
        <v>13</v>
      </c>
      <c r="M154">
        <v>0</v>
      </c>
      <c r="N154">
        <v>1</v>
      </c>
      <c r="O154">
        <v>6188514.8099999996</v>
      </c>
      <c r="P154">
        <f>IF(C154&gt;=200000,5,IF(C154&gt;=100000,4,IF(C154&gt;=50000,3,IF(C154&gt;=10000,2,1))))</f>
        <v>5</v>
      </c>
      <c r="Q154">
        <f>IF(B154="TRANSFER",5,IF(B154="CASH_OUT",4,IF(B154="DEBIT",2,1)))</f>
        <v>5</v>
      </c>
      <c r="R154">
        <f>(P154*0.5)+(Q154*0.3)+(N154*0.1)+(M154*0.1)</f>
        <v>4.0999999999999996</v>
      </c>
      <c r="S154" t="str">
        <f t="shared" si="2"/>
        <v>HIGH</v>
      </c>
    </row>
    <row r="155" spans="1:19" x14ac:dyDescent="0.3">
      <c r="A155">
        <v>13</v>
      </c>
      <c r="B155" t="s">
        <v>18</v>
      </c>
      <c r="C155">
        <v>6188514.8099999996</v>
      </c>
      <c r="D155" t="s">
        <v>322</v>
      </c>
      <c r="E155">
        <v>6188514.8099999996</v>
      </c>
      <c r="F155">
        <v>0</v>
      </c>
      <c r="G155" t="s">
        <v>323</v>
      </c>
      <c r="H155">
        <v>381607.21</v>
      </c>
      <c r="I155">
        <v>6424681.5599999996</v>
      </c>
      <c r="J155">
        <v>1</v>
      </c>
      <c r="K155">
        <v>0</v>
      </c>
      <c r="L155">
        <v>13</v>
      </c>
      <c r="M155">
        <v>0</v>
      </c>
      <c r="N155">
        <v>1</v>
      </c>
      <c r="O155">
        <v>6188514.8099999996</v>
      </c>
      <c r="P155">
        <f>IF(C155&gt;=200000,5,IF(C155&gt;=100000,4,IF(C155&gt;=50000,3,IF(C155&gt;=10000,2,1))))</f>
        <v>5</v>
      </c>
      <c r="Q155">
        <f>IF(B155="TRANSFER",5,IF(B155="CASH_OUT",4,IF(B155="DEBIT",2,1)))</f>
        <v>4</v>
      </c>
      <c r="R155">
        <f>(P155*0.5)+(Q155*0.3)+(N155*0.1)+(M155*0.1)</f>
        <v>3.8000000000000003</v>
      </c>
      <c r="S155" t="str">
        <f t="shared" si="2"/>
        <v>HIGH</v>
      </c>
    </row>
    <row r="156" spans="1:19" x14ac:dyDescent="0.3">
      <c r="A156">
        <v>13</v>
      </c>
      <c r="B156" t="s">
        <v>15</v>
      </c>
      <c r="C156">
        <v>123194.95</v>
      </c>
      <c r="D156" t="s">
        <v>324</v>
      </c>
      <c r="E156">
        <v>79466.45</v>
      </c>
      <c r="F156">
        <v>0</v>
      </c>
      <c r="G156" t="s">
        <v>325</v>
      </c>
      <c r="H156">
        <v>535933.16</v>
      </c>
      <c r="I156">
        <v>263908.84000000003</v>
      </c>
      <c r="J156">
        <v>1</v>
      </c>
      <c r="K156">
        <v>0</v>
      </c>
      <c r="L156">
        <v>13</v>
      </c>
      <c r="M156">
        <v>0</v>
      </c>
      <c r="N156">
        <v>1</v>
      </c>
      <c r="O156">
        <v>79466.45</v>
      </c>
      <c r="P156">
        <f>IF(C156&gt;=200000,5,IF(C156&gt;=100000,4,IF(C156&gt;=50000,3,IF(C156&gt;=10000,2,1))))</f>
        <v>4</v>
      </c>
      <c r="Q156">
        <f>IF(B156="TRANSFER",5,IF(B156="CASH_OUT",4,IF(B156="DEBIT",2,1)))</f>
        <v>5</v>
      </c>
      <c r="R156">
        <f>(P156*0.5)+(Q156*0.3)+(N156*0.1)+(M156*0.1)</f>
        <v>3.6</v>
      </c>
      <c r="S156" t="str">
        <f t="shared" si="2"/>
        <v>HIGH</v>
      </c>
    </row>
    <row r="157" spans="1:19" x14ac:dyDescent="0.3">
      <c r="A157">
        <v>14</v>
      </c>
      <c r="B157" t="s">
        <v>15</v>
      </c>
      <c r="C157">
        <v>2093951.47</v>
      </c>
      <c r="D157" t="s">
        <v>326</v>
      </c>
      <c r="E157">
        <v>2093951.47</v>
      </c>
      <c r="F157">
        <v>0</v>
      </c>
      <c r="G157" t="s">
        <v>327</v>
      </c>
      <c r="H157">
        <v>0</v>
      </c>
      <c r="I157">
        <v>0</v>
      </c>
      <c r="J157">
        <v>1</v>
      </c>
      <c r="K157">
        <v>0</v>
      </c>
      <c r="L157">
        <v>14</v>
      </c>
      <c r="M157">
        <v>0</v>
      </c>
      <c r="N157">
        <v>1</v>
      </c>
      <c r="O157">
        <v>2093951.47</v>
      </c>
      <c r="P157">
        <f>IF(C157&gt;=200000,5,IF(C157&gt;=100000,4,IF(C157&gt;=50000,3,IF(C157&gt;=10000,2,1))))</f>
        <v>5</v>
      </c>
      <c r="Q157">
        <f>IF(B157="TRANSFER",5,IF(B157="CASH_OUT",4,IF(B157="DEBIT",2,1)))</f>
        <v>5</v>
      </c>
      <c r="R157">
        <f>(P157*0.5)+(Q157*0.3)+(N157*0.1)+(M157*0.1)</f>
        <v>4.0999999999999996</v>
      </c>
      <c r="S157" t="str">
        <f t="shared" si="2"/>
        <v>HIGH</v>
      </c>
    </row>
    <row r="158" spans="1:19" x14ac:dyDescent="0.3">
      <c r="A158">
        <v>14</v>
      </c>
      <c r="B158" t="s">
        <v>18</v>
      </c>
      <c r="C158">
        <v>2093951.47</v>
      </c>
      <c r="D158" t="s">
        <v>328</v>
      </c>
      <c r="E158">
        <v>2093951.47</v>
      </c>
      <c r="F158">
        <v>0</v>
      </c>
      <c r="G158" t="s">
        <v>329</v>
      </c>
      <c r="H158">
        <v>0</v>
      </c>
      <c r="I158">
        <v>2093951.47</v>
      </c>
      <c r="J158">
        <v>1</v>
      </c>
      <c r="K158">
        <v>0</v>
      </c>
      <c r="L158">
        <v>14</v>
      </c>
      <c r="M158">
        <v>0</v>
      </c>
      <c r="N158">
        <v>1</v>
      </c>
      <c r="O158">
        <v>2093951.47</v>
      </c>
      <c r="P158">
        <f>IF(C158&gt;=200000,5,IF(C158&gt;=100000,4,IF(C158&gt;=50000,3,IF(C158&gt;=10000,2,1))))</f>
        <v>5</v>
      </c>
      <c r="Q158">
        <f>IF(B158="TRANSFER",5,IF(B158="CASH_OUT",4,IF(B158="DEBIT",2,1)))</f>
        <v>4</v>
      </c>
      <c r="R158">
        <f>(P158*0.5)+(Q158*0.3)+(N158*0.1)+(M158*0.1)</f>
        <v>3.8000000000000003</v>
      </c>
      <c r="S158" t="str">
        <f t="shared" si="2"/>
        <v>HIGH</v>
      </c>
    </row>
    <row r="159" spans="1:19" x14ac:dyDescent="0.3">
      <c r="A159">
        <v>14</v>
      </c>
      <c r="B159" t="s">
        <v>15</v>
      </c>
      <c r="C159">
        <v>143032</v>
      </c>
      <c r="D159" t="s">
        <v>330</v>
      </c>
      <c r="E159">
        <v>143032</v>
      </c>
      <c r="F159">
        <v>0</v>
      </c>
      <c r="G159" t="s">
        <v>331</v>
      </c>
      <c r="H159">
        <v>0</v>
      </c>
      <c r="I159">
        <v>0</v>
      </c>
      <c r="J159">
        <v>1</v>
      </c>
      <c r="K159">
        <v>0</v>
      </c>
      <c r="L159">
        <v>14</v>
      </c>
      <c r="M159">
        <v>0</v>
      </c>
      <c r="N159">
        <v>1</v>
      </c>
      <c r="O159">
        <v>143032</v>
      </c>
      <c r="P159">
        <f>IF(C159&gt;=200000,5,IF(C159&gt;=100000,4,IF(C159&gt;=50000,3,IF(C159&gt;=10000,2,1))))</f>
        <v>4</v>
      </c>
      <c r="Q159">
        <f>IF(B159="TRANSFER",5,IF(B159="CASH_OUT",4,IF(B159="DEBIT",2,1)))</f>
        <v>5</v>
      </c>
      <c r="R159">
        <f>(P159*0.5)+(Q159*0.3)+(N159*0.1)+(M159*0.1)</f>
        <v>3.6</v>
      </c>
      <c r="S159" t="str">
        <f t="shared" si="2"/>
        <v>HIGH</v>
      </c>
    </row>
    <row r="160" spans="1:19" x14ac:dyDescent="0.3">
      <c r="A160">
        <v>14</v>
      </c>
      <c r="B160" t="s">
        <v>18</v>
      </c>
      <c r="C160">
        <v>143032</v>
      </c>
      <c r="D160" t="s">
        <v>332</v>
      </c>
      <c r="E160">
        <v>143032</v>
      </c>
      <c r="F160">
        <v>0</v>
      </c>
      <c r="G160" t="s">
        <v>333</v>
      </c>
      <c r="H160">
        <v>814654.61</v>
      </c>
      <c r="I160">
        <v>1020323.73</v>
      </c>
      <c r="J160">
        <v>1</v>
      </c>
      <c r="K160">
        <v>0</v>
      </c>
      <c r="L160">
        <v>14</v>
      </c>
      <c r="M160">
        <v>0</v>
      </c>
      <c r="N160">
        <v>1</v>
      </c>
      <c r="O160">
        <v>143032</v>
      </c>
      <c r="P160">
        <f>IF(C160&gt;=200000,5,IF(C160&gt;=100000,4,IF(C160&gt;=50000,3,IF(C160&gt;=10000,2,1))))</f>
        <v>4</v>
      </c>
      <c r="Q160">
        <f>IF(B160="TRANSFER",5,IF(B160="CASH_OUT",4,IF(B160="DEBIT",2,1)))</f>
        <v>4</v>
      </c>
      <c r="R160">
        <f>(P160*0.5)+(Q160*0.3)+(N160*0.1)+(M160*0.1)</f>
        <v>3.3000000000000003</v>
      </c>
      <c r="S160" t="str">
        <f t="shared" si="2"/>
        <v>HIGH</v>
      </c>
    </row>
    <row r="161" spans="1:19" x14ac:dyDescent="0.3">
      <c r="A161">
        <v>14</v>
      </c>
      <c r="B161" t="s">
        <v>15</v>
      </c>
      <c r="C161">
        <v>2927005.15</v>
      </c>
      <c r="D161" t="s">
        <v>334</v>
      </c>
      <c r="E161">
        <v>2927005.15</v>
      </c>
      <c r="F161">
        <v>0</v>
      </c>
      <c r="G161" t="s">
        <v>335</v>
      </c>
      <c r="H161">
        <v>0</v>
      </c>
      <c r="I161">
        <v>0</v>
      </c>
      <c r="J161">
        <v>1</v>
      </c>
      <c r="K161">
        <v>0</v>
      </c>
      <c r="L161">
        <v>14</v>
      </c>
      <c r="M161">
        <v>0</v>
      </c>
      <c r="N161">
        <v>1</v>
      </c>
      <c r="O161">
        <v>2927005.15</v>
      </c>
      <c r="P161">
        <f>IF(C161&gt;=200000,5,IF(C161&gt;=100000,4,IF(C161&gt;=50000,3,IF(C161&gt;=10000,2,1))))</f>
        <v>5</v>
      </c>
      <c r="Q161">
        <f>IF(B161="TRANSFER",5,IF(B161="CASH_OUT",4,IF(B161="DEBIT",2,1)))</f>
        <v>5</v>
      </c>
      <c r="R161">
        <f>(P161*0.5)+(Q161*0.3)+(N161*0.1)+(M161*0.1)</f>
        <v>4.0999999999999996</v>
      </c>
      <c r="S161" t="str">
        <f t="shared" si="2"/>
        <v>HIGH</v>
      </c>
    </row>
    <row r="162" spans="1:19" x14ac:dyDescent="0.3">
      <c r="A162">
        <v>14</v>
      </c>
      <c r="B162" t="s">
        <v>18</v>
      </c>
      <c r="C162">
        <v>2927005.15</v>
      </c>
      <c r="D162" t="s">
        <v>336</v>
      </c>
      <c r="E162">
        <v>2927005.15</v>
      </c>
      <c r="F162">
        <v>0</v>
      </c>
      <c r="G162" t="s">
        <v>337</v>
      </c>
      <c r="H162">
        <v>0</v>
      </c>
      <c r="I162">
        <v>2994420.07</v>
      </c>
      <c r="J162">
        <v>1</v>
      </c>
      <c r="K162">
        <v>0</v>
      </c>
      <c r="L162">
        <v>14</v>
      </c>
      <c r="M162">
        <v>0</v>
      </c>
      <c r="N162">
        <v>1</v>
      </c>
      <c r="O162">
        <v>2927005.15</v>
      </c>
      <c r="P162">
        <f>IF(C162&gt;=200000,5,IF(C162&gt;=100000,4,IF(C162&gt;=50000,3,IF(C162&gt;=10000,2,1))))</f>
        <v>5</v>
      </c>
      <c r="Q162">
        <f>IF(B162="TRANSFER",5,IF(B162="CASH_OUT",4,IF(B162="DEBIT",2,1)))</f>
        <v>4</v>
      </c>
      <c r="R162">
        <f>(P162*0.5)+(Q162*0.3)+(N162*0.1)+(M162*0.1)</f>
        <v>3.8000000000000003</v>
      </c>
      <c r="S162" t="str">
        <f t="shared" si="2"/>
        <v>HIGH</v>
      </c>
    </row>
    <row r="163" spans="1:19" x14ac:dyDescent="0.3">
      <c r="A163">
        <v>14</v>
      </c>
      <c r="B163" t="s">
        <v>15</v>
      </c>
      <c r="C163">
        <v>1832319.42</v>
      </c>
      <c r="D163" t="s">
        <v>338</v>
      </c>
      <c r="E163">
        <v>1832319.42</v>
      </c>
      <c r="F163">
        <v>0</v>
      </c>
      <c r="G163" t="s">
        <v>339</v>
      </c>
      <c r="H163">
        <v>0</v>
      </c>
      <c r="I163">
        <v>0</v>
      </c>
      <c r="J163">
        <v>1</v>
      </c>
      <c r="K163">
        <v>0</v>
      </c>
      <c r="L163">
        <v>14</v>
      </c>
      <c r="M163">
        <v>0</v>
      </c>
      <c r="N163">
        <v>1</v>
      </c>
      <c r="O163">
        <v>1832319.42</v>
      </c>
      <c r="P163">
        <f>IF(C163&gt;=200000,5,IF(C163&gt;=100000,4,IF(C163&gt;=50000,3,IF(C163&gt;=10000,2,1))))</f>
        <v>5</v>
      </c>
      <c r="Q163">
        <f>IF(B163="TRANSFER",5,IF(B163="CASH_OUT",4,IF(B163="DEBIT",2,1)))</f>
        <v>5</v>
      </c>
      <c r="R163">
        <f>(P163*0.5)+(Q163*0.3)+(N163*0.1)+(M163*0.1)</f>
        <v>4.0999999999999996</v>
      </c>
      <c r="S163" t="str">
        <f t="shared" si="2"/>
        <v>HIGH</v>
      </c>
    </row>
    <row r="164" spans="1:19" x14ac:dyDescent="0.3">
      <c r="A164">
        <v>14</v>
      </c>
      <c r="B164" t="s">
        <v>18</v>
      </c>
      <c r="C164">
        <v>1832319.42</v>
      </c>
      <c r="D164" t="s">
        <v>340</v>
      </c>
      <c r="E164">
        <v>1832319.42</v>
      </c>
      <c r="F164">
        <v>0</v>
      </c>
      <c r="G164" t="s">
        <v>341</v>
      </c>
      <c r="H164">
        <v>43962.42</v>
      </c>
      <c r="I164">
        <v>2440139.69</v>
      </c>
      <c r="J164">
        <v>1</v>
      </c>
      <c r="K164">
        <v>0</v>
      </c>
      <c r="L164">
        <v>14</v>
      </c>
      <c r="M164">
        <v>0</v>
      </c>
      <c r="N164">
        <v>1</v>
      </c>
      <c r="O164">
        <v>1832319.42</v>
      </c>
      <c r="P164">
        <f>IF(C164&gt;=200000,5,IF(C164&gt;=100000,4,IF(C164&gt;=50000,3,IF(C164&gt;=10000,2,1))))</f>
        <v>5</v>
      </c>
      <c r="Q164">
        <f>IF(B164="TRANSFER",5,IF(B164="CASH_OUT",4,IF(B164="DEBIT",2,1)))</f>
        <v>4</v>
      </c>
      <c r="R164">
        <f>(P164*0.5)+(Q164*0.3)+(N164*0.1)+(M164*0.1)</f>
        <v>3.8000000000000003</v>
      </c>
      <c r="S164" t="str">
        <f t="shared" si="2"/>
        <v>HIGH</v>
      </c>
    </row>
    <row r="165" spans="1:19" x14ac:dyDescent="0.3">
      <c r="A165">
        <v>14</v>
      </c>
      <c r="B165" t="s">
        <v>15</v>
      </c>
      <c r="C165">
        <v>1561891.66</v>
      </c>
      <c r="D165" t="s">
        <v>342</v>
      </c>
      <c r="E165">
        <v>1561891.66</v>
      </c>
      <c r="F165">
        <v>0</v>
      </c>
      <c r="G165" t="s">
        <v>343</v>
      </c>
      <c r="H165">
        <v>0</v>
      </c>
      <c r="I165">
        <v>0</v>
      </c>
      <c r="J165">
        <v>1</v>
      </c>
      <c r="K165">
        <v>0</v>
      </c>
      <c r="L165">
        <v>14</v>
      </c>
      <c r="M165">
        <v>0</v>
      </c>
      <c r="N165">
        <v>1</v>
      </c>
      <c r="O165">
        <v>1561891.66</v>
      </c>
      <c r="P165">
        <f>IF(C165&gt;=200000,5,IF(C165&gt;=100000,4,IF(C165&gt;=50000,3,IF(C165&gt;=10000,2,1))))</f>
        <v>5</v>
      </c>
      <c r="Q165">
        <f>IF(B165="TRANSFER",5,IF(B165="CASH_OUT",4,IF(B165="DEBIT",2,1)))</f>
        <v>5</v>
      </c>
      <c r="R165">
        <f>(P165*0.5)+(Q165*0.3)+(N165*0.1)+(M165*0.1)</f>
        <v>4.0999999999999996</v>
      </c>
      <c r="S165" t="str">
        <f t="shared" si="2"/>
        <v>HIGH</v>
      </c>
    </row>
    <row r="166" spans="1:19" x14ac:dyDescent="0.3">
      <c r="A166">
        <v>14</v>
      </c>
      <c r="B166" t="s">
        <v>18</v>
      </c>
      <c r="C166">
        <v>1561891.66</v>
      </c>
      <c r="D166" t="s">
        <v>344</v>
      </c>
      <c r="E166">
        <v>1561891.66</v>
      </c>
      <c r="F166">
        <v>0</v>
      </c>
      <c r="G166" t="s">
        <v>345</v>
      </c>
      <c r="H166">
        <v>3471928.95</v>
      </c>
      <c r="I166">
        <v>6443177.5599999996</v>
      </c>
      <c r="J166">
        <v>1</v>
      </c>
      <c r="K166">
        <v>0</v>
      </c>
      <c r="L166">
        <v>14</v>
      </c>
      <c r="M166">
        <v>0</v>
      </c>
      <c r="N166">
        <v>1</v>
      </c>
      <c r="O166">
        <v>1561891.66</v>
      </c>
      <c r="P166">
        <f>IF(C166&gt;=200000,5,IF(C166&gt;=100000,4,IF(C166&gt;=50000,3,IF(C166&gt;=10000,2,1))))</f>
        <v>5</v>
      </c>
      <c r="Q166">
        <f>IF(B166="TRANSFER",5,IF(B166="CASH_OUT",4,IF(B166="DEBIT",2,1)))</f>
        <v>4</v>
      </c>
      <c r="R166">
        <f>(P166*0.5)+(Q166*0.3)+(N166*0.1)+(M166*0.1)</f>
        <v>3.8000000000000003</v>
      </c>
      <c r="S166" t="str">
        <f t="shared" si="2"/>
        <v>HIGH</v>
      </c>
    </row>
    <row r="167" spans="1:19" x14ac:dyDescent="0.3">
      <c r="A167">
        <v>14</v>
      </c>
      <c r="B167" t="s">
        <v>15</v>
      </c>
      <c r="C167">
        <v>65488.05</v>
      </c>
      <c r="D167" t="s">
        <v>346</v>
      </c>
      <c r="E167">
        <v>65488.05</v>
      </c>
      <c r="F167">
        <v>0</v>
      </c>
      <c r="G167" t="s">
        <v>347</v>
      </c>
      <c r="H167">
        <v>0</v>
      </c>
      <c r="I167">
        <v>0</v>
      </c>
      <c r="J167">
        <v>1</v>
      </c>
      <c r="K167">
        <v>0</v>
      </c>
      <c r="L167">
        <v>14</v>
      </c>
      <c r="M167">
        <v>0</v>
      </c>
      <c r="N167">
        <v>1</v>
      </c>
      <c r="O167">
        <v>65488.05</v>
      </c>
      <c r="P167">
        <f>IF(C167&gt;=200000,5,IF(C167&gt;=100000,4,IF(C167&gt;=50000,3,IF(C167&gt;=10000,2,1))))</f>
        <v>3</v>
      </c>
      <c r="Q167">
        <f>IF(B167="TRANSFER",5,IF(B167="CASH_OUT",4,IF(B167="DEBIT",2,1)))</f>
        <v>5</v>
      </c>
      <c r="R167">
        <f>(P167*0.5)+(Q167*0.3)+(N167*0.1)+(M167*0.1)</f>
        <v>3.1</v>
      </c>
      <c r="S167" t="str">
        <f t="shared" si="2"/>
        <v>HIGH</v>
      </c>
    </row>
    <row r="168" spans="1:19" x14ac:dyDescent="0.3">
      <c r="A168">
        <v>14</v>
      </c>
      <c r="B168" t="s">
        <v>18</v>
      </c>
      <c r="C168">
        <v>65488.05</v>
      </c>
      <c r="D168" t="s">
        <v>348</v>
      </c>
      <c r="E168">
        <v>65488.05</v>
      </c>
      <c r="F168">
        <v>0</v>
      </c>
      <c r="G168" t="s">
        <v>349</v>
      </c>
      <c r="H168">
        <v>0</v>
      </c>
      <c r="I168">
        <v>65488.05</v>
      </c>
      <c r="J168">
        <v>1</v>
      </c>
      <c r="K168">
        <v>0</v>
      </c>
      <c r="L168">
        <v>14</v>
      </c>
      <c r="M168">
        <v>0</v>
      </c>
      <c r="N168">
        <v>1</v>
      </c>
      <c r="O168">
        <v>65488.05</v>
      </c>
      <c r="P168">
        <f>IF(C168&gt;=200000,5,IF(C168&gt;=100000,4,IF(C168&gt;=50000,3,IF(C168&gt;=10000,2,1))))</f>
        <v>3</v>
      </c>
      <c r="Q168">
        <f>IF(B168="TRANSFER",5,IF(B168="CASH_OUT",4,IF(B168="DEBIT",2,1)))</f>
        <v>4</v>
      </c>
      <c r="R168">
        <f>(P168*0.5)+(Q168*0.3)+(N168*0.1)+(M168*0.1)</f>
        <v>2.8000000000000003</v>
      </c>
      <c r="S168" t="str">
        <f t="shared" si="2"/>
        <v>MEDIUM</v>
      </c>
    </row>
    <row r="169" spans="1:19" x14ac:dyDescent="0.3">
      <c r="A169">
        <v>15</v>
      </c>
      <c r="B169" t="s">
        <v>15</v>
      </c>
      <c r="C169">
        <v>696763.08</v>
      </c>
      <c r="D169" t="s">
        <v>350</v>
      </c>
      <c r="E169">
        <v>696763.08</v>
      </c>
      <c r="F169">
        <v>0</v>
      </c>
      <c r="G169" t="s">
        <v>351</v>
      </c>
      <c r="H169">
        <v>0</v>
      </c>
      <c r="I169">
        <v>69861.259999999995</v>
      </c>
      <c r="J169">
        <v>1</v>
      </c>
      <c r="K169">
        <v>0</v>
      </c>
      <c r="L169">
        <v>15</v>
      </c>
      <c r="M169">
        <v>0</v>
      </c>
      <c r="N169">
        <v>1</v>
      </c>
      <c r="O169">
        <v>696763.08</v>
      </c>
      <c r="P169">
        <f>IF(C169&gt;=200000,5,IF(C169&gt;=100000,4,IF(C169&gt;=50000,3,IF(C169&gt;=10000,2,1))))</f>
        <v>5</v>
      </c>
      <c r="Q169">
        <f>IF(B169="TRANSFER",5,IF(B169="CASH_OUT",4,IF(B169="DEBIT",2,1)))</f>
        <v>5</v>
      </c>
      <c r="R169">
        <f>(P169*0.5)+(Q169*0.3)+(N169*0.1)+(M169*0.1)</f>
        <v>4.0999999999999996</v>
      </c>
      <c r="S169" t="str">
        <f t="shared" si="2"/>
        <v>HIGH</v>
      </c>
    </row>
    <row r="170" spans="1:19" x14ac:dyDescent="0.3">
      <c r="A170">
        <v>15</v>
      </c>
      <c r="B170" t="s">
        <v>18</v>
      </c>
      <c r="C170">
        <v>696763.08</v>
      </c>
      <c r="D170" t="s">
        <v>352</v>
      </c>
      <c r="E170">
        <v>696763.08</v>
      </c>
      <c r="F170">
        <v>0</v>
      </c>
      <c r="G170" t="s">
        <v>353</v>
      </c>
      <c r="H170">
        <v>366114.58</v>
      </c>
      <c r="I170">
        <v>1347073.81</v>
      </c>
      <c r="J170">
        <v>1</v>
      </c>
      <c r="K170">
        <v>0</v>
      </c>
      <c r="L170">
        <v>15</v>
      </c>
      <c r="M170">
        <v>0</v>
      </c>
      <c r="N170">
        <v>1</v>
      </c>
      <c r="O170">
        <v>696763.08</v>
      </c>
      <c r="P170">
        <f>IF(C170&gt;=200000,5,IF(C170&gt;=100000,4,IF(C170&gt;=50000,3,IF(C170&gt;=10000,2,1))))</f>
        <v>5</v>
      </c>
      <c r="Q170">
        <f>IF(B170="TRANSFER",5,IF(B170="CASH_OUT",4,IF(B170="DEBIT",2,1)))</f>
        <v>4</v>
      </c>
      <c r="R170">
        <f>(P170*0.5)+(Q170*0.3)+(N170*0.1)+(M170*0.1)</f>
        <v>3.8000000000000003</v>
      </c>
      <c r="S170" t="str">
        <f t="shared" si="2"/>
        <v>HIGH</v>
      </c>
    </row>
    <row r="171" spans="1:19" x14ac:dyDescent="0.3">
      <c r="A171">
        <v>15</v>
      </c>
      <c r="B171" t="s">
        <v>15</v>
      </c>
      <c r="C171">
        <v>119</v>
      </c>
      <c r="D171" t="s">
        <v>354</v>
      </c>
      <c r="E171">
        <v>119</v>
      </c>
      <c r="F171">
        <v>0</v>
      </c>
      <c r="G171" t="s">
        <v>355</v>
      </c>
      <c r="H171">
        <v>0</v>
      </c>
      <c r="I171">
        <v>0</v>
      </c>
      <c r="J171">
        <v>1</v>
      </c>
      <c r="K171">
        <v>0</v>
      </c>
      <c r="L171">
        <v>15</v>
      </c>
      <c r="M171">
        <v>0</v>
      </c>
      <c r="N171">
        <v>1</v>
      </c>
      <c r="O171">
        <v>119</v>
      </c>
      <c r="P171">
        <f>IF(C171&gt;=200000,5,IF(C171&gt;=100000,4,IF(C171&gt;=50000,3,IF(C171&gt;=10000,2,1))))</f>
        <v>1</v>
      </c>
      <c r="Q171">
        <f>IF(B171="TRANSFER",5,IF(B171="CASH_OUT",4,IF(B171="DEBIT",2,1)))</f>
        <v>5</v>
      </c>
      <c r="R171">
        <f>(P171*0.5)+(Q171*0.3)+(N171*0.1)+(M171*0.1)</f>
        <v>2.1</v>
      </c>
      <c r="S171" t="str">
        <f t="shared" si="2"/>
        <v>MEDIUM</v>
      </c>
    </row>
    <row r="172" spans="1:19" x14ac:dyDescent="0.3">
      <c r="A172">
        <v>15</v>
      </c>
      <c r="B172" t="s">
        <v>18</v>
      </c>
      <c r="C172">
        <v>119</v>
      </c>
      <c r="D172" t="s">
        <v>356</v>
      </c>
      <c r="E172">
        <v>119</v>
      </c>
      <c r="F172">
        <v>0</v>
      </c>
      <c r="G172" t="s">
        <v>357</v>
      </c>
      <c r="H172">
        <v>4844060.13</v>
      </c>
      <c r="I172">
        <v>4844179.13</v>
      </c>
      <c r="J172">
        <v>1</v>
      </c>
      <c r="K172">
        <v>0</v>
      </c>
      <c r="L172">
        <v>15</v>
      </c>
      <c r="M172">
        <v>0</v>
      </c>
      <c r="N172">
        <v>1</v>
      </c>
      <c r="O172">
        <v>119</v>
      </c>
      <c r="P172">
        <f>IF(C172&gt;=200000,5,IF(C172&gt;=100000,4,IF(C172&gt;=50000,3,IF(C172&gt;=10000,2,1))))</f>
        <v>1</v>
      </c>
      <c r="Q172">
        <f>IF(B172="TRANSFER",5,IF(B172="CASH_OUT",4,IF(B172="DEBIT",2,1)))</f>
        <v>4</v>
      </c>
      <c r="R172">
        <f>(P172*0.5)+(Q172*0.3)+(N172*0.1)+(M172*0.1)</f>
        <v>1.8</v>
      </c>
      <c r="S172" t="str">
        <f t="shared" si="2"/>
        <v>LOW</v>
      </c>
    </row>
    <row r="173" spans="1:19" x14ac:dyDescent="0.3">
      <c r="A173">
        <v>15</v>
      </c>
      <c r="B173" t="s">
        <v>15</v>
      </c>
      <c r="C173">
        <v>128473.62</v>
      </c>
      <c r="D173" t="s">
        <v>358</v>
      </c>
      <c r="E173">
        <v>128473.62</v>
      </c>
      <c r="F173">
        <v>0</v>
      </c>
      <c r="G173" t="s">
        <v>359</v>
      </c>
      <c r="H173">
        <v>0</v>
      </c>
      <c r="I173">
        <v>0</v>
      </c>
      <c r="J173">
        <v>1</v>
      </c>
      <c r="K173">
        <v>0</v>
      </c>
      <c r="L173">
        <v>15</v>
      </c>
      <c r="M173">
        <v>0</v>
      </c>
      <c r="N173">
        <v>1</v>
      </c>
      <c r="O173">
        <v>128473.62</v>
      </c>
      <c r="P173">
        <f>IF(C173&gt;=200000,5,IF(C173&gt;=100000,4,IF(C173&gt;=50000,3,IF(C173&gt;=10000,2,1))))</f>
        <v>4</v>
      </c>
      <c r="Q173">
        <f>IF(B173="TRANSFER",5,IF(B173="CASH_OUT",4,IF(B173="DEBIT",2,1)))</f>
        <v>5</v>
      </c>
      <c r="R173">
        <f>(P173*0.5)+(Q173*0.3)+(N173*0.1)+(M173*0.1)</f>
        <v>3.6</v>
      </c>
      <c r="S173" t="str">
        <f t="shared" si="2"/>
        <v>HIGH</v>
      </c>
    </row>
    <row r="174" spans="1:19" x14ac:dyDescent="0.3">
      <c r="A174">
        <v>15</v>
      </c>
      <c r="B174" t="s">
        <v>18</v>
      </c>
      <c r="C174">
        <v>128473.62</v>
      </c>
      <c r="D174" t="s">
        <v>360</v>
      </c>
      <c r="E174">
        <v>128473.62</v>
      </c>
      <c r="F174">
        <v>0</v>
      </c>
      <c r="G174" t="s">
        <v>361</v>
      </c>
      <c r="H174">
        <v>0</v>
      </c>
      <c r="I174">
        <v>128473.62</v>
      </c>
      <c r="J174">
        <v>1</v>
      </c>
      <c r="K174">
        <v>0</v>
      </c>
      <c r="L174">
        <v>15</v>
      </c>
      <c r="M174">
        <v>0</v>
      </c>
      <c r="N174">
        <v>1</v>
      </c>
      <c r="O174">
        <v>128473.62</v>
      </c>
      <c r="P174">
        <f>IF(C174&gt;=200000,5,IF(C174&gt;=100000,4,IF(C174&gt;=50000,3,IF(C174&gt;=10000,2,1))))</f>
        <v>4</v>
      </c>
      <c r="Q174">
        <f>IF(B174="TRANSFER",5,IF(B174="CASH_OUT",4,IF(B174="DEBIT",2,1)))</f>
        <v>4</v>
      </c>
      <c r="R174">
        <f>(P174*0.5)+(Q174*0.3)+(N174*0.1)+(M174*0.1)</f>
        <v>3.3000000000000003</v>
      </c>
      <c r="S174" t="str">
        <f t="shared" si="2"/>
        <v>HIGH</v>
      </c>
    </row>
    <row r="175" spans="1:19" x14ac:dyDescent="0.3">
      <c r="A175">
        <v>15</v>
      </c>
      <c r="B175" t="s">
        <v>15</v>
      </c>
      <c r="C175">
        <v>248056.41</v>
      </c>
      <c r="D175" t="s">
        <v>362</v>
      </c>
      <c r="E175">
        <v>248056.41</v>
      </c>
      <c r="F175">
        <v>0</v>
      </c>
      <c r="G175" t="s">
        <v>363</v>
      </c>
      <c r="H175">
        <v>0</v>
      </c>
      <c r="I175">
        <v>0</v>
      </c>
      <c r="J175">
        <v>1</v>
      </c>
      <c r="K175">
        <v>0</v>
      </c>
      <c r="L175">
        <v>15</v>
      </c>
      <c r="M175">
        <v>0</v>
      </c>
      <c r="N175">
        <v>1</v>
      </c>
      <c r="O175">
        <v>248056.41</v>
      </c>
      <c r="P175">
        <f>IF(C175&gt;=200000,5,IF(C175&gt;=100000,4,IF(C175&gt;=50000,3,IF(C175&gt;=10000,2,1))))</f>
        <v>5</v>
      </c>
      <c r="Q175">
        <f>IF(B175="TRANSFER",5,IF(B175="CASH_OUT",4,IF(B175="DEBIT",2,1)))</f>
        <v>5</v>
      </c>
      <c r="R175">
        <f>(P175*0.5)+(Q175*0.3)+(N175*0.1)+(M175*0.1)</f>
        <v>4.0999999999999996</v>
      </c>
      <c r="S175" t="str">
        <f t="shared" si="2"/>
        <v>HIGH</v>
      </c>
    </row>
    <row r="176" spans="1:19" x14ac:dyDescent="0.3">
      <c r="A176">
        <v>15</v>
      </c>
      <c r="B176" t="s">
        <v>18</v>
      </c>
      <c r="C176">
        <v>248056.41</v>
      </c>
      <c r="D176" t="s">
        <v>364</v>
      </c>
      <c r="E176">
        <v>248056.41</v>
      </c>
      <c r="F176">
        <v>0</v>
      </c>
      <c r="G176" t="s">
        <v>365</v>
      </c>
      <c r="H176">
        <v>0</v>
      </c>
      <c r="I176">
        <v>201427.47</v>
      </c>
      <c r="J176">
        <v>1</v>
      </c>
      <c r="K176">
        <v>0</v>
      </c>
      <c r="L176">
        <v>15</v>
      </c>
      <c r="M176">
        <v>0</v>
      </c>
      <c r="N176">
        <v>1</v>
      </c>
      <c r="O176">
        <v>248056.41</v>
      </c>
      <c r="P176">
        <f>IF(C176&gt;=200000,5,IF(C176&gt;=100000,4,IF(C176&gt;=50000,3,IF(C176&gt;=10000,2,1))))</f>
        <v>5</v>
      </c>
      <c r="Q176">
        <f>IF(B176="TRANSFER",5,IF(B176="CASH_OUT",4,IF(B176="DEBIT",2,1)))</f>
        <v>4</v>
      </c>
      <c r="R176">
        <f>(P176*0.5)+(Q176*0.3)+(N176*0.1)+(M176*0.1)</f>
        <v>3.8000000000000003</v>
      </c>
      <c r="S176" t="str">
        <f t="shared" si="2"/>
        <v>HIGH</v>
      </c>
    </row>
    <row r="177" spans="1:19" x14ac:dyDescent="0.3">
      <c r="A177">
        <v>15</v>
      </c>
      <c r="B177" t="s">
        <v>15</v>
      </c>
      <c r="C177">
        <v>164500.81</v>
      </c>
      <c r="D177" t="s">
        <v>366</v>
      </c>
      <c r="E177">
        <v>164500.81</v>
      </c>
      <c r="F177">
        <v>0</v>
      </c>
      <c r="G177" t="s">
        <v>367</v>
      </c>
      <c r="H177">
        <v>0</v>
      </c>
      <c r="I177">
        <v>0</v>
      </c>
      <c r="J177">
        <v>1</v>
      </c>
      <c r="K177">
        <v>0</v>
      </c>
      <c r="L177">
        <v>15</v>
      </c>
      <c r="M177">
        <v>0</v>
      </c>
      <c r="N177">
        <v>1</v>
      </c>
      <c r="O177">
        <v>164500.81</v>
      </c>
      <c r="P177">
        <f>IF(C177&gt;=200000,5,IF(C177&gt;=100000,4,IF(C177&gt;=50000,3,IF(C177&gt;=10000,2,1))))</f>
        <v>4</v>
      </c>
      <c r="Q177">
        <f>IF(B177="TRANSFER",5,IF(B177="CASH_OUT",4,IF(B177="DEBIT",2,1)))</f>
        <v>5</v>
      </c>
      <c r="R177">
        <f>(P177*0.5)+(Q177*0.3)+(N177*0.1)+(M177*0.1)</f>
        <v>3.6</v>
      </c>
      <c r="S177" t="str">
        <f t="shared" si="2"/>
        <v>HIGH</v>
      </c>
    </row>
    <row r="178" spans="1:19" x14ac:dyDescent="0.3">
      <c r="A178">
        <v>15</v>
      </c>
      <c r="B178" t="s">
        <v>18</v>
      </c>
      <c r="C178">
        <v>164500.81</v>
      </c>
      <c r="D178" t="s">
        <v>368</v>
      </c>
      <c r="E178">
        <v>164500.81</v>
      </c>
      <c r="F178">
        <v>0</v>
      </c>
      <c r="G178" t="s">
        <v>369</v>
      </c>
      <c r="H178">
        <v>685636.21</v>
      </c>
      <c r="I178">
        <v>850137.02</v>
      </c>
      <c r="J178">
        <v>1</v>
      </c>
      <c r="K178">
        <v>0</v>
      </c>
      <c r="L178">
        <v>15</v>
      </c>
      <c r="M178">
        <v>0</v>
      </c>
      <c r="N178">
        <v>1</v>
      </c>
      <c r="O178">
        <v>164500.81</v>
      </c>
      <c r="P178">
        <f>IF(C178&gt;=200000,5,IF(C178&gt;=100000,4,IF(C178&gt;=50000,3,IF(C178&gt;=10000,2,1))))</f>
        <v>4</v>
      </c>
      <c r="Q178">
        <f>IF(B178="TRANSFER",5,IF(B178="CASH_OUT",4,IF(B178="DEBIT",2,1)))</f>
        <v>4</v>
      </c>
      <c r="R178">
        <f>(P178*0.5)+(Q178*0.3)+(N178*0.1)+(M178*0.1)</f>
        <v>3.3000000000000003</v>
      </c>
      <c r="S178" t="str">
        <f t="shared" si="2"/>
        <v>HIGH</v>
      </c>
    </row>
    <row r="179" spans="1:19" x14ac:dyDescent="0.3">
      <c r="A179">
        <v>15</v>
      </c>
      <c r="B179" t="s">
        <v>15</v>
      </c>
      <c r="C179">
        <v>212089.74</v>
      </c>
      <c r="D179" t="s">
        <v>370</v>
      </c>
      <c r="E179">
        <v>212089.74</v>
      </c>
      <c r="F179">
        <v>0</v>
      </c>
      <c r="G179" t="s">
        <v>371</v>
      </c>
      <c r="H179">
        <v>0</v>
      </c>
      <c r="I179">
        <v>0</v>
      </c>
      <c r="J179">
        <v>1</v>
      </c>
      <c r="K179">
        <v>0</v>
      </c>
      <c r="L179">
        <v>15</v>
      </c>
      <c r="M179">
        <v>0</v>
      </c>
      <c r="N179">
        <v>1</v>
      </c>
      <c r="O179">
        <v>212089.74</v>
      </c>
      <c r="P179">
        <f>IF(C179&gt;=200000,5,IF(C179&gt;=100000,4,IF(C179&gt;=50000,3,IF(C179&gt;=10000,2,1))))</f>
        <v>5</v>
      </c>
      <c r="Q179">
        <f>IF(B179="TRANSFER",5,IF(B179="CASH_OUT",4,IF(B179="DEBIT",2,1)))</f>
        <v>5</v>
      </c>
      <c r="R179">
        <f>(P179*0.5)+(Q179*0.3)+(N179*0.1)+(M179*0.1)</f>
        <v>4.0999999999999996</v>
      </c>
      <c r="S179" t="str">
        <f t="shared" si="2"/>
        <v>HIGH</v>
      </c>
    </row>
    <row r="180" spans="1:19" x14ac:dyDescent="0.3">
      <c r="A180">
        <v>15</v>
      </c>
      <c r="B180" t="s">
        <v>18</v>
      </c>
      <c r="C180">
        <v>212089.74</v>
      </c>
      <c r="D180" t="s">
        <v>372</v>
      </c>
      <c r="E180">
        <v>212089.74</v>
      </c>
      <c r="F180">
        <v>0</v>
      </c>
      <c r="G180" t="s">
        <v>373</v>
      </c>
      <c r="H180">
        <v>257758.48</v>
      </c>
      <c r="I180">
        <v>469848.23</v>
      </c>
      <c r="J180">
        <v>1</v>
      </c>
      <c r="K180">
        <v>0</v>
      </c>
      <c r="L180">
        <v>15</v>
      </c>
      <c r="M180">
        <v>0</v>
      </c>
      <c r="N180">
        <v>1</v>
      </c>
      <c r="O180">
        <v>212089.74</v>
      </c>
      <c r="P180">
        <f>IF(C180&gt;=200000,5,IF(C180&gt;=100000,4,IF(C180&gt;=50000,3,IF(C180&gt;=10000,2,1))))</f>
        <v>5</v>
      </c>
      <c r="Q180">
        <f>IF(B180="TRANSFER",5,IF(B180="CASH_OUT",4,IF(B180="DEBIT",2,1)))</f>
        <v>4</v>
      </c>
      <c r="R180">
        <f>(P180*0.5)+(Q180*0.3)+(N180*0.1)+(M180*0.1)</f>
        <v>3.8000000000000003</v>
      </c>
      <c r="S180" t="str">
        <f t="shared" si="2"/>
        <v>HIGH</v>
      </c>
    </row>
    <row r="181" spans="1:19" x14ac:dyDescent="0.3">
      <c r="A181">
        <v>15</v>
      </c>
      <c r="B181" t="s">
        <v>18</v>
      </c>
      <c r="C181">
        <v>95428.32</v>
      </c>
      <c r="D181" t="s">
        <v>374</v>
      </c>
      <c r="E181">
        <v>0</v>
      </c>
      <c r="F181">
        <v>0</v>
      </c>
      <c r="G181" t="s">
        <v>375</v>
      </c>
      <c r="H181">
        <v>0</v>
      </c>
      <c r="I181">
        <v>95428.32</v>
      </c>
      <c r="J181">
        <v>1</v>
      </c>
      <c r="K181">
        <v>0</v>
      </c>
      <c r="L181">
        <v>15</v>
      </c>
      <c r="M181">
        <v>0</v>
      </c>
      <c r="N181">
        <v>0</v>
      </c>
      <c r="O181">
        <v>0</v>
      </c>
      <c r="P181">
        <f>IF(C181&gt;=200000,5,IF(C181&gt;=100000,4,IF(C181&gt;=50000,3,IF(C181&gt;=10000,2,1))))</f>
        <v>3</v>
      </c>
      <c r="Q181">
        <f>IF(B181="TRANSFER",5,IF(B181="CASH_OUT",4,IF(B181="DEBIT",2,1)))</f>
        <v>4</v>
      </c>
      <c r="R181">
        <f>(P181*0.5)+(Q181*0.3)+(N181*0.1)+(M181*0.1)</f>
        <v>2.7</v>
      </c>
      <c r="S181" t="str">
        <f t="shared" si="2"/>
        <v>MEDIUM</v>
      </c>
    </row>
    <row r="182" spans="1:19" x14ac:dyDescent="0.3">
      <c r="A182">
        <v>15</v>
      </c>
      <c r="B182" t="s">
        <v>18</v>
      </c>
      <c r="C182">
        <v>39713.279999999999</v>
      </c>
      <c r="D182" t="s">
        <v>376</v>
      </c>
      <c r="E182">
        <v>0</v>
      </c>
      <c r="F182">
        <v>0</v>
      </c>
      <c r="G182" t="s">
        <v>377</v>
      </c>
      <c r="H182">
        <v>1274866.51</v>
      </c>
      <c r="I182">
        <v>1314579.79</v>
      </c>
      <c r="J182">
        <v>1</v>
      </c>
      <c r="K182">
        <v>0</v>
      </c>
      <c r="L182">
        <v>15</v>
      </c>
      <c r="M182">
        <v>0</v>
      </c>
      <c r="N182">
        <v>0</v>
      </c>
      <c r="O182">
        <v>0</v>
      </c>
      <c r="P182">
        <f>IF(C182&gt;=200000,5,IF(C182&gt;=100000,4,IF(C182&gt;=50000,3,IF(C182&gt;=10000,2,1))))</f>
        <v>2</v>
      </c>
      <c r="Q182">
        <f>IF(B182="TRANSFER",5,IF(B182="CASH_OUT",4,IF(B182="DEBIT",2,1)))</f>
        <v>4</v>
      </c>
      <c r="R182">
        <f>(P182*0.5)+(Q182*0.3)+(N182*0.1)+(M182*0.1)</f>
        <v>2.2000000000000002</v>
      </c>
      <c r="S182" t="str">
        <f t="shared" si="2"/>
        <v>MEDIUM</v>
      </c>
    </row>
    <row r="183" spans="1:19" x14ac:dyDescent="0.3">
      <c r="A183">
        <v>15</v>
      </c>
      <c r="B183" t="s">
        <v>15</v>
      </c>
      <c r="C183">
        <v>170</v>
      </c>
      <c r="D183" t="s">
        <v>378</v>
      </c>
      <c r="E183">
        <v>170</v>
      </c>
      <c r="F183">
        <v>0</v>
      </c>
      <c r="G183" t="s">
        <v>379</v>
      </c>
      <c r="H183">
        <v>0</v>
      </c>
      <c r="I183">
        <v>0</v>
      </c>
      <c r="J183">
        <v>1</v>
      </c>
      <c r="K183">
        <v>0</v>
      </c>
      <c r="L183">
        <v>15</v>
      </c>
      <c r="M183">
        <v>0</v>
      </c>
      <c r="N183">
        <v>1</v>
      </c>
      <c r="O183">
        <v>170</v>
      </c>
      <c r="P183">
        <f>IF(C183&gt;=200000,5,IF(C183&gt;=100000,4,IF(C183&gt;=50000,3,IF(C183&gt;=10000,2,1))))</f>
        <v>1</v>
      </c>
      <c r="Q183">
        <f>IF(B183="TRANSFER",5,IF(B183="CASH_OUT",4,IF(B183="DEBIT",2,1)))</f>
        <v>5</v>
      </c>
      <c r="R183">
        <f>(P183*0.5)+(Q183*0.3)+(N183*0.1)+(M183*0.1)</f>
        <v>2.1</v>
      </c>
      <c r="S183" t="str">
        <f t="shared" si="2"/>
        <v>MEDIUM</v>
      </c>
    </row>
    <row r="184" spans="1:19" x14ac:dyDescent="0.3">
      <c r="A184">
        <v>15</v>
      </c>
      <c r="B184" t="s">
        <v>18</v>
      </c>
      <c r="C184">
        <v>170</v>
      </c>
      <c r="D184" t="s">
        <v>380</v>
      </c>
      <c r="E184">
        <v>170</v>
      </c>
      <c r="F184">
        <v>0</v>
      </c>
      <c r="G184" t="s">
        <v>297</v>
      </c>
      <c r="H184">
        <v>413421.36</v>
      </c>
      <c r="I184">
        <v>345764.15</v>
      </c>
      <c r="J184">
        <v>1</v>
      </c>
      <c r="K184">
        <v>0</v>
      </c>
      <c r="L184">
        <v>15</v>
      </c>
      <c r="M184">
        <v>0</v>
      </c>
      <c r="N184">
        <v>1</v>
      </c>
      <c r="O184">
        <v>170</v>
      </c>
      <c r="P184">
        <f>IF(C184&gt;=200000,5,IF(C184&gt;=100000,4,IF(C184&gt;=50000,3,IF(C184&gt;=10000,2,1))))</f>
        <v>1</v>
      </c>
      <c r="Q184">
        <f>IF(B184="TRANSFER",5,IF(B184="CASH_OUT",4,IF(B184="DEBIT",2,1)))</f>
        <v>4</v>
      </c>
      <c r="R184">
        <f>(P184*0.5)+(Q184*0.3)+(N184*0.1)+(M184*0.1)</f>
        <v>1.8</v>
      </c>
      <c r="S184" t="str">
        <f t="shared" si="2"/>
        <v>LOW</v>
      </c>
    </row>
    <row r="185" spans="1:19" x14ac:dyDescent="0.3">
      <c r="A185">
        <v>15</v>
      </c>
      <c r="B185" t="s">
        <v>15</v>
      </c>
      <c r="C185">
        <v>747282.4</v>
      </c>
      <c r="D185" t="s">
        <v>381</v>
      </c>
      <c r="E185">
        <v>747282.4</v>
      </c>
      <c r="F185">
        <v>0</v>
      </c>
      <c r="G185" t="s">
        <v>382</v>
      </c>
      <c r="H185">
        <v>0</v>
      </c>
      <c r="I185">
        <v>0</v>
      </c>
      <c r="J185">
        <v>1</v>
      </c>
      <c r="K185">
        <v>0</v>
      </c>
      <c r="L185">
        <v>15</v>
      </c>
      <c r="M185">
        <v>0</v>
      </c>
      <c r="N185">
        <v>1</v>
      </c>
      <c r="O185">
        <v>747282.4</v>
      </c>
      <c r="P185">
        <f>IF(C185&gt;=200000,5,IF(C185&gt;=100000,4,IF(C185&gt;=50000,3,IF(C185&gt;=10000,2,1))))</f>
        <v>5</v>
      </c>
      <c r="Q185">
        <f>IF(B185="TRANSFER",5,IF(B185="CASH_OUT",4,IF(B185="DEBIT",2,1)))</f>
        <v>5</v>
      </c>
      <c r="R185">
        <f>(P185*0.5)+(Q185*0.3)+(N185*0.1)+(M185*0.1)</f>
        <v>4.0999999999999996</v>
      </c>
      <c r="S185" t="str">
        <f t="shared" si="2"/>
        <v>HIGH</v>
      </c>
    </row>
    <row r="186" spans="1:19" x14ac:dyDescent="0.3">
      <c r="A186">
        <v>15</v>
      </c>
      <c r="B186" t="s">
        <v>18</v>
      </c>
      <c r="C186">
        <v>747282.4</v>
      </c>
      <c r="D186" t="s">
        <v>383</v>
      </c>
      <c r="E186">
        <v>747282.4</v>
      </c>
      <c r="F186">
        <v>0</v>
      </c>
      <c r="G186" t="s">
        <v>384</v>
      </c>
      <c r="H186">
        <v>5340917.82</v>
      </c>
      <c r="I186">
        <v>6088200.2199999997</v>
      </c>
      <c r="J186">
        <v>1</v>
      </c>
      <c r="K186">
        <v>0</v>
      </c>
      <c r="L186">
        <v>15</v>
      </c>
      <c r="M186">
        <v>0</v>
      </c>
      <c r="N186">
        <v>1</v>
      </c>
      <c r="O186">
        <v>747282.4</v>
      </c>
      <c r="P186">
        <f>IF(C186&gt;=200000,5,IF(C186&gt;=100000,4,IF(C186&gt;=50000,3,IF(C186&gt;=10000,2,1))))</f>
        <v>5</v>
      </c>
      <c r="Q186">
        <f>IF(B186="TRANSFER",5,IF(B186="CASH_OUT",4,IF(B186="DEBIT",2,1)))</f>
        <v>4</v>
      </c>
      <c r="R186">
        <f>(P186*0.5)+(Q186*0.3)+(N186*0.1)+(M186*0.1)</f>
        <v>3.8000000000000003</v>
      </c>
      <c r="S186" t="str">
        <f t="shared" si="2"/>
        <v>HIGH</v>
      </c>
    </row>
    <row r="187" spans="1:19" x14ac:dyDescent="0.3">
      <c r="A187">
        <v>15</v>
      </c>
      <c r="B187" t="s">
        <v>15</v>
      </c>
      <c r="C187">
        <v>59385.67</v>
      </c>
      <c r="D187" t="s">
        <v>385</v>
      </c>
      <c r="E187">
        <v>59385.67</v>
      </c>
      <c r="F187">
        <v>0</v>
      </c>
      <c r="G187" t="s">
        <v>386</v>
      </c>
      <c r="H187">
        <v>0</v>
      </c>
      <c r="I187">
        <v>0</v>
      </c>
      <c r="J187">
        <v>1</v>
      </c>
      <c r="K187">
        <v>0</v>
      </c>
      <c r="L187">
        <v>15</v>
      </c>
      <c r="M187">
        <v>0</v>
      </c>
      <c r="N187">
        <v>1</v>
      </c>
      <c r="O187">
        <v>59385.67</v>
      </c>
      <c r="P187">
        <f>IF(C187&gt;=200000,5,IF(C187&gt;=100000,4,IF(C187&gt;=50000,3,IF(C187&gt;=10000,2,1))))</f>
        <v>3</v>
      </c>
      <c r="Q187">
        <f>IF(B187="TRANSFER",5,IF(B187="CASH_OUT",4,IF(B187="DEBIT",2,1)))</f>
        <v>5</v>
      </c>
      <c r="R187">
        <f>(P187*0.5)+(Q187*0.3)+(N187*0.1)+(M187*0.1)</f>
        <v>3.1</v>
      </c>
      <c r="S187" t="str">
        <f t="shared" si="2"/>
        <v>HIGH</v>
      </c>
    </row>
    <row r="188" spans="1:19" x14ac:dyDescent="0.3">
      <c r="A188">
        <v>15</v>
      </c>
      <c r="B188" t="s">
        <v>18</v>
      </c>
      <c r="C188">
        <v>59385.67</v>
      </c>
      <c r="D188" t="s">
        <v>387</v>
      </c>
      <c r="E188">
        <v>59385.67</v>
      </c>
      <c r="F188">
        <v>0</v>
      </c>
      <c r="G188" t="s">
        <v>388</v>
      </c>
      <c r="H188">
        <v>74371</v>
      </c>
      <c r="I188">
        <v>133756.67000000001</v>
      </c>
      <c r="J188">
        <v>1</v>
      </c>
      <c r="K188">
        <v>0</v>
      </c>
      <c r="L188">
        <v>15</v>
      </c>
      <c r="M188">
        <v>0</v>
      </c>
      <c r="N188">
        <v>1</v>
      </c>
      <c r="O188">
        <v>59385.67</v>
      </c>
      <c r="P188">
        <f>IF(C188&gt;=200000,5,IF(C188&gt;=100000,4,IF(C188&gt;=50000,3,IF(C188&gt;=10000,2,1))))</f>
        <v>3</v>
      </c>
      <c r="Q188">
        <f>IF(B188="TRANSFER",5,IF(B188="CASH_OUT",4,IF(B188="DEBIT",2,1)))</f>
        <v>4</v>
      </c>
      <c r="R188">
        <f>(P188*0.5)+(Q188*0.3)+(N188*0.1)+(M188*0.1)</f>
        <v>2.8000000000000003</v>
      </c>
      <c r="S188" t="str">
        <f t="shared" si="2"/>
        <v>MEDIUM</v>
      </c>
    </row>
    <row r="189" spans="1:19" x14ac:dyDescent="0.3">
      <c r="A189">
        <v>16</v>
      </c>
      <c r="B189" t="s">
        <v>15</v>
      </c>
      <c r="C189">
        <v>2198224.71</v>
      </c>
      <c r="D189" t="s">
        <v>389</v>
      </c>
      <c r="E189">
        <v>2198224.71</v>
      </c>
      <c r="F189">
        <v>0</v>
      </c>
      <c r="G189" t="s">
        <v>390</v>
      </c>
      <c r="H189">
        <v>0</v>
      </c>
      <c r="I189">
        <v>0</v>
      </c>
      <c r="J189">
        <v>1</v>
      </c>
      <c r="K189">
        <v>0</v>
      </c>
      <c r="L189">
        <v>16</v>
      </c>
      <c r="M189">
        <v>0</v>
      </c>
      <c r="N189">
        <v>1</v>
      </c>
      <c r="O189">
        <v>2198224.71</v>
      </c>
      <c r="P189">
        <f>IF(C189&gt;=200000,5,IF(C189&gt;=100000,4,IF(C189&gt;=50000,3,IF(C189&gt;=10000,2,1))))</f>
        <v>5</v>
      </c>
      <c r="Q189">
        <f>IF(B189="TRANSFER",5,IF(B189="CASH_OUT",4,IF(B189="DEBIT",2,1)))</f>
        <v>5</v>
      </c>
      <c r="R189">
        <f>(P189*0.5)+(Q189*0.3)+(N189*0.1)+(M189*0.1)</f>
        <v>4.0999999999999996</v>
      </c>
      <c r="S189" t="str">
        <f t="shared" si="2"/>
        <v>HIGH</v>
      </c>
    </row>
    <row r="190" spans="1:19" x14ac:dyDescent="0.3">
      <c r="A190">
        <v>16</v>
      </c>
      <c r="B190" t="s">
        <v>18</v>
      </c>
      <c r="C190">
        <v>2198224.71</v>
      </c>
      <c r="D190" t="s">
        <v>391</v>
      </c>
      <c r="E190">
        <v>2198224.71</v>
      </c>
      <c r="F190">
        <v>0</v>
      </c>
      <c r="G190" t="s">
        <v>392</v>
      </c>
      <c r="H190">
        <v>0</v>
      </c>
      <c r="I190">
        <v>2198224.71</v>
      </c>
      <c r="J190">
        <v>1</v>
      </c>
      <c r="K190">
        <v>0</v>
      </c>
      <c r="L190">
        <v>16</v>
      </c>
      <c r="M190">
        <v>0</v>
      </c>
      <c r="N190">
        <v>1</v>
      </c>
      <c r="O190">
        <v>2198224.71</v>
      </c>
      <c r="P190">
        <f>IF(C190&gt;=200000,5,IF(C190&gt;=100000,4,IF(C190&gt;=50000,3,IF(C190&gt;=10000,2,1))))</f>
        <v>5</v>
      </c>
      <c r="Q190">
        <f>IF(B190="TRANSFER",5,IF(B190="CASH_OUT",4,IF(B190="DEBIT",2,1)))</f>
        <v>4</v>
      </c>
      <c r="R190">
        <f>(P190*0.5)+(Q190*0.3)+(N190*0.1)+(M190*0.1)</f>
        <v>3.8000000000000003</v>
      </c>
      <c r="S190" t="str">
        <f t="shared" si="2"/>
        <v>HIGH</v>
      </c>
    </row>
    <row r="191" spans="1:19" x14ac:dyDescent="0.3">
      <c r="A191">
        <v>16</v>
      </c>
      <c r="B191" t="s">
        <v>15</v>
      </c>
      <c r="C191">
        <v>828720.89</v>
      </c>
      <c r="D191" t="s">
        <v>393</v>
      </c>
      <c r="E191">
        <v>828720.89</v>
      </c>
      <c r="F191">
        <v>0</v>
      </c>
      <c r="G191" t="s">
        <v>394</v>
      </c>
      <c r="H191">
        <v>0</v>
      </c>
      <c r="I191">
        <v>0</v>
      </c>
      <c r="J191">
        <v>1</v>
      </c>
      <c r="K191">
        <v>0</v>
      </c>
      <c r="L191">
        <v>16</v>
      </c>
      <c r="M191">
        <v>0</v>
      </c>
      <c r="N191">
        <v>1</v>
      </c>
      <c r="O191">
        <v>828720.89</v>
      </c>
      <c r="P191">
        <f>IF(C191&gt;=200000,5,IF(C191&gt;=100000,4,IF(C191&gt;=50000,3,IF(C191&gt;=10000,2,1))))</f>
        <v>5</v>
      </c>
      <c r="Q191">
        <f>IF(B191="TRANSFER",5,IF(B191="CASH_OUT",4,IF(B191="DEBIT",2,1)))</f>
        <v>5</v>
      </c>
      <c r="R191">
        <f>(P191*0.5)+(Q191*0.3)+(N191*0.1)+(M191*0.1)</f>
        <v>4.0999999999999996</v>
      </c>
      <c r="S191" t="str">
        <f t="shared" si="2"/>
        <v>HIGH</v>
      </c>
    </row>
    <row r="192" spans="1:19" x14ac:dyDescent="0.3">
      <c r="A192">
        <v>16</v>
      </c>
      <c r="B192" t="s">
        <v>18</v>
      </c>
      <c r="C192">
        <v>828720.89</v>
      </c>
      <c r="D192" t="s">
        <v>395</v>
      </c>
      <c r="E192">
        <v>828720.89</v>
      </c>
      <c r="F192">
        <v>0</v>
      </c>
      <c r="G192" t="s">
        <v>396</v>
      </c>
      <c r="H192">
        <v>9142622.5899999999</v>
      </c>
      <c r="I192">
        <v>10200000</v>
      </c>
      <c r="J192">
        <v>1</v>
      </c>
      <c r="K192">
        <v>0</v>
      </c>
      <c r="L192">
        <v>16</v>
      </c>
      <c r="M192">
        <v>0</v>
      </c>
      <c r="N192">
        <v>1</v>
      </c>
      <c r="O192">
        <v>828720.89</v>
      </c>
      <c r="P192">
        <f>IF(C192&gt;=200000,5,IF(C192&gt;=100000,4,IF(C192&gt;=50000,3,IF(C192&gt;=10000,2,1))))</f>
        <v>5</v>
      </c>
      <c r="Q192">
        <f>IF(B192="TRANSFER",5,IF(B192="CASH_OUT",4,IF(B192="DEBIT",2,1)))</f>
        <v>4</v>
      </c>
      <c r="R192">
        <f>(P192*0.5)+(Q192*0.3)+(N192*0.1)+(M192*0.1)</f>
        <v>3.8000000000000003</v>
      </c>
      <c r="S192" t="str">
        <f t="shared" si="2"/>
        <v>HIGH</v>
      </c>
    </row>
    <row r="193" spans="1:19" x14ac:dyDescent="0.3">
      <c r="A193">
        <v>16</v>
      </c>
      <c r="B193" t="s">
        <v>15</v>
      </c>
      <c r="C193">
        <v>2701905.3</v>
      </c>
      <c r="D193" t="s">
        <v>397</v>
      </c>
      <c r="E193">
        <v>2701905.3</v>
      </c>
      <c r="F193">
        <v>0</v>
      </c>
      <c r="G193" t="s">
        <v>398</v>
      </c>
      <c r="H193">
        <v>0</v>
      </c>
      <c r="I193">
        <v>0</v>
      </c>
      <c r="J193">
        <v>1</v>
      </c>
      <c r="K193">
        <v>0</v>
      </c>
      <c r="L193">
        <v>16</v>
      </c>
      <c r="M193">
        <v>0</v>
      </c>
      <c r="N193">
        <v>1</v>
      </c>
      <c r="O193">
        <v>2701905.3</v>
      </c>
      <c r="P193">
        <f>IF(C193&gt;=200000,5,IF(C193&gt;=100000,4,IF(C193&gt;=50000,3,IF(C193&gt;=10000,2,1))))</f>
        <v>5</v>
      </c>
      <c r="Q193">
        <f>IF(B193="TRANSFER",5,IF(B193="CASH_OUT",4,IF(B193="DEBIT",2,1)))</f>
        <v>5</v>
      </c>
      <c r="R193">
        <f>(P193*0.5)+(Q193*0.3)+(N193*0.1)+(M193*0.1)</f>
        <v>4.0999999999999996</v>
      </c>
      <c r="S193" t="str">
        <f t="shared" si="2"/>
        <v>HIGH</v>
      </c>
    </row>
    <row r="194" spans="1:19" x14ac:dyDescent="0.3">
      <c r="A194">
        <v>16</v>
      </c>
      <c r="B194" t="s">
        <v>18</v>
      </c>
      <c r="C194">
        <v>2701905.3</v>
      </c>
      <c r="D194" t="s">
        <v>399</v>
      </c>
      <c r="E194">
        <v>2701905.3</v>
      </c>
      <c r="F194">
        <v>0</v>
      </c>
      <c r="G194" t="s">
        <v>400</v>
      </c>
      <c r="H194">
        <v>57418</v>
      </c>
      <c r="I194">
        <v>2759323.3</v>
      </c>
      <c r="J194">
        <v>1</v>
      </c>
      <c r="K194">
        <v>0</v>
      </c>
      <c r="L194">
        <v>16</v>
      </c>
      <c r="M194">
        <v>0</v>
      </c>
      <c r="N194">
        <v>1</v>
      </c>
      <c r="O194">
        <v>2701905.3</v>
      </c>
      <c r="P194">
        <f>IF(C194&gt;=200000,5,IF(C194&gt;=100000,4,IF(C194&gt;=50000,3,IF(C194&gt;=10000,2,1))))</f>
        <v>5</v>
      </c>
      <c r="Q194">
        <f>IF(B194="TRANSFER",5,IF(B194="CASH_OUT",4,IF(B194="DEBIT",2,1)))</f>
        <v>4</v>
      </c>
      <c r="R194">
        <f>(P194*0.5)+(Q194*0.3)+(N194*0.1)+(M194*0.1)</f>
        <v>3.8000000000000003</v>
      </c>
      <c r="S194" t="str">
        <f t="shared" si="2"/>
        <v>HIGH</v>
      </c>
    </row>
    <row r="195" spans="1:19" x14ac:dyDescent="0.3">
      <c r="A195">
        <v>16</v>
      </c>
      <c r="B195" t="s">
        <v>15</v>
      </c>
      <c r="C195">
        <v>31074</v>
      </c>
      <c r="D195" t="s">
        <v>401</v>
      </c>
      <c r="E195">
        <v>31074</v>
      </c>
      <c r="F195">
        <v>0</v>
      </c>
      <c r="G195" t="s">
        <v>402</v>
      </c>
      <c r="H195">
        <v>0</v>
      </c>
      <c r="I195">
        <v>0</v>
      </c>
      <c r="J195">
        <v>1</v>
      </c>
      <c r="K195">
        <v>0</v>
      </c>
      <c r="L195">
        <v>16</v>
      </c>
      <c r="M195">
        <v>0</v>
      </c>
      <c r="N195">
        <v>1</v>
      </c>
      <c r="O195">
        <v>31074</v>
      </c>
      <c r="P195">
        <f>IF(C195&gt;=200000,5,IF(C195&gt;=100000,4,IF(C195&gt;=50000,3,IF(C195&gt;=10000,2,1))))</f>
        <v>2</v>
      </c>
      <c r="Q195">
        <f>IF(B195="TRANSFER",5,IF(B195="CASH_OUT",4,IF(B195="DEBIT",2,1)))</f>
        <v>5</v>
      </c>
      <c r="R195">
        <f>(P195*0.5)+(Q195*0.3)+(N195*0.1)+(M195*0.1)</f>
        <v>2.6</v>
      </c>
      <c r="S195" t="str">
        <f t="shared" ref="S195:S258" si="3">IF(R195&gt;=3,"HIGH",IF(R195&gt;=2,"MEDIUM","LOW"))</f>
        <v>MEDIUM</v>
      </c>
    </row>
    <row r="196" spans="1:19" x14ac:dyDescent="0.3">
      <c r="A196">
        <v>16</v>
      </c>
      <c r="B196" t="s">
        <v>18</v>
      </c>
      <c r="C196">
        <v>31074</v>
      </c>
      <c r="D196" t="s">
        <v>403</v>
      </c>
      <c r="E196">
        <v>31074</v>
      </c>
      <c r="F196">
        <v>0</v>
      </c>
      <c r="G196" t="s">
        <v>404</v>
      </c>
      <c r="H196">
        <v>0</v>
      </c>
      <c r="I196">
        <v>31074</v>
      </c>
      <c r="J196">
        <v>1</v>
      </c>
      <c r="K196">
        <v>0</v>
      </c>
      <c r="L196">
        <v>16</v>
      </c>
      <c r="M196">
        <v>0</v>
      </c>
      <c r="N196">
        <v>1</v>
      </c>
      <c r="O196">
        <v>31074</v>
      </c>
      <c r="P196">
        <f>IF(C196&gt;=200000,5,IF(C196&gt;=100000,4,IF(C196&gt;=50000,3,IF(C196&gt;=10000,2,1))))</f>
        <v>2</v>
      </c>
      <c r="Q196">
        <f>IF(B196="TRANSFER",5,IF(B196="CASH_OUT",4,IF(B196="DEBIT",2,1)))</f>
        <v>4</v>
      </c>
      <c r="R196">
        <f>(P196*0.5)+(Q196*0.3)+(N196*0.1)+(M196*0.1)</f>
        <v>2.3000000000000003</v>
      </c>
      <c r="S196" t="str">
        <f t="shared" si="3"/>
        <v>MEDIUM</v>
      </c>
    </row>
    <row r="197" spans="1:19" x14ac:dyDescent="0.3">
      <c r="A197">
        <v>16</v>
      </c>
      <c r="B197" t="s">
        <v>15</v>
      </c>
      <c r="C197">
        <v>121626.82</v>
      </c>
      <c r="D197" t="s">
        <v>405</v>
      </c>
      <c r="E197">
        <v>121626.82</v>
      </c>
      <c r="F197">
        <v>0</v>
      </c>
      <c r="G197" t="s">
        <v>406</v>
      </c>
      <c r="H197">
        <v>0</v>
      </c>
      <c r="I197">
        <v>0</v>
      </c>
      <c r="J197">
        <v>1</v>
      </c>
      <c r="K197">
        <v>0</v>
      </c>
      <c r="L197">
        <v>16</v>
      </c>
      <c r="M197">
        <v>0</v>
      </c>
      <c r="N197">
        <v>1</v>
      </c>
      <c r="O197">
        <v>121626.82</v>
      </c>
      <c r="P197">
        <f>IF(C197&gt;=200000,5,IF(C197&gt;=100000,4,IF(C197&gt;=50000,3,IF(C197&gt;=10000,2,1))))</f>
        <v>4</v>
      </c>
      <c r="Q197">
        <f>IF(B197="TRANSFER",5,IF(B197="CASH_OUT",4,IF(B197="DEBIT",2,1)))</f>
        <v>5</v>
      </c>
      <c r="R197">
        <f>(P197*0.5)+(Q197*0.3)+(N197*0.1)+(M197*0.1)</f>
        <v>3.6</v>
      </c>
      <c r="S197" t="str">
        <f t="shared" si="3"/>
        <v>HIGH</v>
      </c>
    </row>
    <row r="198" spans="1:19" x14ac:dyDescent="0.3">
      <c r="A198">
        <v>16</v>
      </c>
      <c r="B198" t="s">
        <v>18</v>
      </c>
      <c r="C198">
        <v>121626.82</v>
      </c>
      <c r="D198" t="s">
        <v>407</v>
      </c>
      <c r="E198">
        <v>121626.82</v>
      </c>
      <c r="F198">
        <v>0</v>
      </c>
      <c r="G198" t="s">
        <v>408</v>
      </c>
      <c r="H198">
        <v>653744.34</v>
      </c>
      <c r="I198">
        <v>775371.16</v>
      </c>
      <c r="J198">
        <v>1</v>
      </c>
      <c r="K198">
        <v>0</v>
      </c>
      <c r="L198">
        <v>16</v>
      </c>
      <c r="M198">
        <v>0</v>
      </c>
      <c r="N198">
        <v>1</v>
      </c>
      <c r="O198">
        <v>121626.82</v>
      </c>
      <c r="P198">
        <f>IF(C198&gt;=200000,5,IF(C198&gt;=100000,4,IF(C198&gt;=50000,3,IF(C198&gt;=10000,2,1))))</f>
        <v>4</v>
      </c>
      <c r="Q198">
        <f>IF(B198="TRANSFER",5,IF(B198="CASH_OUT",4,IF(B198="DEBIT",2,1)))</f>
        <v>4</v>
      </c>
      <c r="R198">
        <f>(P198*0.5)+(Q198*0.3)+(N198*0.1)+(M198*0.1)</f>
        <v>3.3000000000000003</v>
      </c>
      <c r="S198" t="str">
        <f t="shared" si="3"/>
        <v>HIGH</v>
      </c>
    </row>
    <row r="199" spans="1:19" x14ac:dyDescent="0.3">
      <c r="A199">
        <v>17</v>
      </c>
      <c r="B199" t="s">
        <v>15</v>
      </c>
      <c r="C199">
        <v>1639676.27</v>
      </c>
      <c r="D199" t="s">
        <v>409</v>
      </c>
      <c r="E199">
        <v>1639676.27</v>
      </c>
      <c r="F199">
        <v>0</v>
      </c>
      <c r="G199" t="s">
        <v>410</v>
      </c>
      <c r="H199">
        <v>0</v>
      </c>
      <c r="I199">
        <v>0</v>
      </c>
      <c r="J199">
        <v>1</v>
      </c>
      <c r="K199">
        <v>0</v>
      </c>
      <c r="L199">
        <v>17</v>
      </c>
      <c r="M199">
        <v>0</v>
      </c>
      <c r="N199">
        <v>1</v>
      </c>
      <c r="O199">
        <v>1639676.27</v>
      </c>
      <c r="P199">
        <f>IF(C199&gt;=200000,5,IF(C199&gt;=100000,4,IF(C199&gt;=50000,3,IF(C199&gt;=10000,2,1))))</f>
        <v>5</v>
      </c>
      <c r="Q199">
        <f>IF(B199="TRANSFER",5,IF(B199="CASH_OUT",4,IF(B199="DEBIT",2,1)))</f>
        <v>5</v>
      </c>
      <c r="R199">
        <f>(P199*0.5)+(Q199*0.3)+(N199*0.1)+(M199*0.1)</f>
        <v>4.0999999999999996</v>
      </c>
      <c r="S199" t="str">
        <f t="shared" si="3"/>
        <v>HIGH</v>
      </c>
    </row>
    <row r="200" spans="1:19" x14ac:dyDescent="0.3">
      <c r="A200">
        <v>17</v>
      </c>
      <c r="B200" t="s">
        <v>18</v>
      </c>
      <c r="C200">
        <v>1639676.27</v>
      </c>
      <c r="D200" t="s">
        <v>411</v>
      </c>
      <c r="E200">
        <v>1639676.27</v>
      </c>
      <c r="F200">
        <v>0</v>
      </c>
      <c r="G200" t="s">
        <v>412</v>
      </c>
      <c r="H200">
        <v>448954.92</v>
      </c>
      <c r="I200">
        <v>2198318.48</v>
      </c>
      <c r="J200">
        <v>1</v>
      </c>
      <c r="K200">
        <v>0</v>
      </c>
      <c r="L200">
        <v>17</v>
      </c>
      <c r="M200">
        <v>0</v>
      </c>
      <c r="N200">
        <v>1</v>
      </c>
      <c r="O200">
        <v>1639676.27</v>
      </c>
      <c r="P200">
        <f>IF(C200&gt;=200000,5,IF(C200&gt;=100000,4,IF(C200&gt;=50000,3,IF(C200&gt;=10000,2,1))))</f>
        <v>5</v>
      </c>
      <c r="Q200">
        <f>IF(B200="TRANSFER",5,IF(B200="CASH_OUT",4,IF(B200="DEBIT",2,1)))</f>
        <v>4</v>
      </c>
      <c r="R200">
        <f>(P200*0.5)+(Q200*0.3)+(N200*0.1)+(M200*0.1)</f>
        <v>3.8000000000000003</v>
      </c>
      <c r="S200" t="str">
        <f t="shared" si="3"/>
        <v>HIGH</v>
      </c>
    </row>
    <row r="201" spans="1:19" x14ac:dyDescent="0.3">
      <c r="A201">
        <v>17</v>
      </c>
      <c r="B201" t="s">
        <v>15</v>
      </c>
      <c r="C201">
        <v>305627</v>
      </c>
      <c r="D201" t="s">
        <v>413</v>
      </c>
      <c r="E201">
        <v>305627</v>
      </c>
      <c r="F201">
        <v>0</v>
      </c>
      <c r="G201" t="s">
        <v>414</v>
      </c>
      <c r="H201">
        <v>0</v>
      </c>
      <c r="I201">
        <v>0</v>
      </c>
      <c r="J201">
        <v>1</v>
      </c>
      <c r="K201">
        <v>0</v>
      </c>
      <c r="L201">
        <v>17</v>
      </c>
      <c r="M201">
        <v>0</v>
      </c>
      <c r="N201">
        <v>1</v>
      </c>
      <c r="O201">
        <v>305627</v>
      </c>
      <c r="P201">
        <f>IF(C201&gt;=200000,5,IF(C201&gt;=100000,4,IF(C201&gt;=50000,3,IF(C201&gt;=10000,2,1))))</f>
        <v>5</v>
      </c>
      <c r="Q201">
        <f>IF(B201="TRANSFER",5,IF(B201="CASH_OUT",4,IF(B201="DEBIT",2,1)))</f>
        <v>5</v>
      </c>
      <c r="R201">
        <f>(P201*0.5)+(Q201*0.3)+(N201*0.1)+(M201*0.1)</f>
        <v>4.0999999999999996</v>
      </c>
      <c r="S201" t="str">
        <f t="shared" si="3"/>
        <v>HIGH</v>
      </c>
    </row>
    <row r="202" spans="1:19" x14ac:dyDescent="0.3">
      <c r="A202">
        <v>17</v>
      </c>
      <c r="B202" t="s">
        <v>18</v>
      </c>
      <c r="C202">
        <v>305627</v>
      </c>
      <c r="D202" t="s">
        <v>415</v>
      </c>
      <c r="E202">
        <v>305627</v>
      </c>
      <c r="F202">
        <v>0</v>
      </c>
      <c r="G202" t="s">
        <v>416</v>
      </c>
      <c r="H202">
        <v>7699847.1600000001</v>
      </c>
      <c r="I202">
        <v>8005474.1600000001</v>
      </c>
      <c r="J202">
        <v>1</v>
      </c>
      <c r="K202">
        <v>0</v>
      </c>
      <c r="L202">
        <v>17</v>
      </c>
      <c r="M202">
        <v>0</v>
      </c>
      <c r="N202">
        <v>1</v>
      </c>
      <c r="O202">
        <v>305627</v>
      </c>
      <c r="P202">
        <f>IF(C202&gt;=200000,5,IF(C202&gt;=100000,4,IF(C202&gt;=50000,3,IF(C202&gt;=10000,2,1))))</f>
        <v>5</v>
      </c>
      <c r="Q202">
        <f>IF(B202="TRANSFER",5,IF(B202="CASH_OUT",4,IF(B202="DEBIT",2,1)))</f>
        <v>4</v>
      </c>
      <c r="R202">
        <f>(P202*0.5)+(Q202*0.3)+(N202*0.1)+(M202*0.1)</f>
        <v>3.8000000000000003</v>
      </c>
      <c r="S202" t="str">
        <f t="shared" si="3"/>
        <v>HIGH</v>
      </c>
    </row>
    <row r="203" spans="1:19" x14ac:dyDescent="0.3">
      <c r="A203">
        <v>17</v>
      </c>
      <c r="B203" t="s">
        <v>15</v>
      </c>
      <c r="C203">
        <v>195351.76</v>
      </c>
      <c r="D203" t="s">
        <v>417</v>
      </c>
      <c r="E203">
        <v>195351.76</v>
      </c>
      <c r="F203">
        <v>0</v>
      </c>
      <c r="G203" t="s">
        <v>418</v>
      </c>
      <c r="H203">
        <v>0</v>
      </c>
      <c r="I203">
        <v>0</v>
      </c>
      <c r="J203">
        <v>1</v>
      </c>
      <c r="K203">
        <v>0</v>
      </c>
      <c r="L203">
        <v>17</v>
      </c>
      <c r="M203">
        <v>0</v>
      </c>
      <c r="N203">
        <v>1</v>
      </c>
      <c r="O203">
        <v>195351.76</v>
      </c>
      <c r="P203">
        <f>IF(C203&gt;=200000,5,IF(C203&gt;=100000,4,IF(C203&gt;=50000,3,IF(C203&gt;=10000,2,1))))</f>
        <v>4</v>
      </c>
      <c r="Q203">
        <f>IF(B203="TRANSFER",5,IF(B203="CASH_OUT",4,IF(B203="DEBIT",2,1)))</f>
        <v>5</v>
      </c>
      <c r="R203">
        <f>(P203*0.5)+(Q203*0.3)+(N203*0.1)+(M203*0.1)</f>
        <v>3.6</v>
      </c>
      <c r="S203" t="str">
        <f t="shared" si="3"/>
        <v>HIGH</v>
      </c>
    </row>
    <row r="204" spans="1:19" x14ac:dyDescent="0.3">
      <c r="A204">
        <v>17</v>
      </c>
      <c r="B204" t="s">
        <v>18</v>
      </c>
      <c r="C204">
        <v>195351.76</v>
      </c>
      <c r="D204" t="s">
        <v>419</v>
      </c>
      <c r="E204">
        <v>195351.76</v>
      </c>
      <c r="F204">
        <v>0</v>
      </c>
      <c r="G204" t="s">
        <v>420</v>
      </c>
      <c r="H204">
        <v>156408.25</v>
      </c>
      <c r="I204">
        <v>265841</v>
      </c>
      <c r="J204">
        <v>1</v>
      </c>
      <c r="K204">
        <v>0</v>
      </c>
      <c r="L204">
        <v>17</v>
      </c>
      <c r="M204">
        <v>0</v>
      </c>
      <c r="N204">
        <v>1</v>
      </c>
      <c r="O204">
        <v>195351.76</v>
      </c>
      <c r="P204">
        <f>IF(C204&gt;=200000,5,IF(C204&gt;=100000,4,IF(C204&gt;=50000,3,IF(C204&gt;=10000,2,1))))</f>
        <v>4</v>
      </c>
      <c r="Q204">
        <f>IF(B204="TRANSFER",5,IF(B204="CASH_OUT",4,IF(B204="DEBIT",2,1)))</f>
        <v>4</v>
      </c>
      <c r="R204">
        <f>(P204*0.5)+(Q204*0.3)+(N204*0.1)+(M204*0.1)</f>
        <v>3.3000000000000003</v>
      </c>
      <c r="S204" t="str">
        <f t="shared" si="3"/>
        <v>HIGH</v>
      </c>
    </row>
    <row r="205" spans="1:19" x14ac:dyDescent="0.3">
      <c r="A205">
        <v>17</v>
      </c>
      <c r="B205" t="s">
        <v>18</v>
      </c>
      <c r="C205">
        <v>42062.82</v>
      </c>
      <c r="D205" t="s">
        <v>421</v>
      </c>
      <c r="E205">
        <v>340830.43</v>
      </c>
      <c r="F205">
        <v>298767.61</v>
      </c>
      <c r="G205" t="s">
        <v>422</v>
      </c>
      <c r="H205">
        <v>398931.35</v>
      </c>
      <c r="I205">
        <v>678419.64</v>
      </c>
      <c r="J205">
        <v>1</v>
      </c>
      <c r="K205">
        <v>0</v>
      </c>
      <c r="L205">
        <v>17</v>
      </c>
      <c r="M205">
        <v>0</v>
      </c>
      <c r="N205">
        <v>0</v>
      </c>
      <c r="O205">
        <v>42062.820000000007</v>
      </c>
      <c r="P205">
        <f>IF(C205&gt;=200000,5,IF(C205&gt;=100000,4,IF(C205&gt;=50000,3,IF(C205&gt;=10000,2,1))))</f>
        <v>2</v>
      </c>
      <c r="Q205">
        <f>IF(B205="TRANSFER",5,IF(B205="CASH_OUT",4,IF(B205="DEBIT",2,1)))</f>
        <v>4</v>
      </c>
      <c r="R205">
        <f>(P205*0.5)+(Q205*0.3)+(N205*0.1)+(M205*0.1)</f>
        <v>2.2000000000000002</v>
      </c>
      <c r="S205" t="str">
        <f t="shared" si="3"/>
        <v>MEDIUM</v>
      </c>
    </row>
    <row r="206" spans="1:19" x14ac:dyDescent="0.3">
      <c r="A206">
        <v>18</v>
      </c>
      <c r="B206" t="s">
        <v>15</v>
      </c>
      <c r="C206">
        <v>295664.18</v>
      </c>
      <c r="D206" t="s">
        <v>423</v>
      </c>
      <c r="E206">
        <v>295664.18</v>
      </c>
      <c r="F206">
        <v>0</v>
      </c>
      <c r="G206" t="s">
        <v>424</v>
      </c>
      <c r="H206">
        <v>0</v>
      </c>
      <c r="I206">
        <v>0</v>
      </c>
      <c r="J206">
        <v>1</v>
      </c>
      <c r="K206">
        <v>0</v>
      </c>
      <c r="L206">
        <v>18</v>
      </c>
      <c r="M206">
        <v>0</v>
      </c>
      <c r="N206">
        <v>1</v>
      </c>
      <c r="O206">
        <v>295664.18</v>
      </c>
      <c r="P206">
        <f>IF(C206&gt;=200000,5,IF(C206&gt;=100000,4,IF(C206&gt;=50000,3,IF(C206&gt;=10000,2,1))))</f>
        <v>5</v>
      </c>
      <c r="Q206">
        <f>IF(B206="TRANSFER",5,IF(B206="CASH_OUT",4,IF(B206="DEBIT",2,1)))</f>
        <v>5</v>
      </c>
      <c r="R206">
        <f>(P206*0.5)+(Q206*0.3)+(N206*0.1)+(M206*0.1)</f>
        <v>4.0999999999999996</v>
      </c>
      <c r="S206" t="str">
        <f t="shared" si="3"/>
        <v>HIGH</v>
      </c>
    </row>
    <row r="207" spans="1:19" x14ac:dyDescent="0.3">
      <c r="A207">
        <v>18</v>
      </c>
      <c r="B207" t="s">
        <v>18</v>
      </c>
      <c r="C207">
        <v>295664.18</v>
      </c>
      <c r="D207" t="s">
        <v>425</v>
      </c>
      <c r="E207">
        <v>295664.18</v>
      </c>
      <c r="F207">
        <v>0</v>
      </c>
      <c r="G207" t="s">
        <v>396</v>
      </c>
      <c r="H207">
        <v>10200000</v>
      </c>
      <c r="I207">
        <v>10500000</v>
      </c>
      <c r="J207">
        <v>1</v>
      </c>
      <c r="K207">
        <v>0</v>
      </c>
      <c r="L207">
        <v>18</v>
      </c>
      <c r="M207">
        <v>0</v>
      </c>
      <c r="N207">
        <v>1</v>
      </c>
      <c r="O207">
        <v>295664.18</v>
      </c>
      <c r="P207">
        <f>IF(C207&gt;=200000,5,IF(C207&gt;=100000,4,IF(C207&gt;=50000,3,IF(C207&gt;=10000,2,1))))</f>
        <v>5</v>
      </c>
      <c r="Q207">
        <f>IF(B207="TRANSFER",5,IF(B207="CASH_OUT",4,IF(B207="DEBIT",2,1)))</f>
        <v>4</v>
      </c>
      <c r="R207">
        <f>(P207*0.5)+(Q207*0.3)+(N207*0.1)+(M207*0.1)</f>
        <v>3.8000000000000003</v>
      </c>
      <c r="S207" t="str">
        <f t="shared" si="3"/>
        <v>HIGH</v>
      </c>
    </row>
    <row r="208" spans="1:19" x14ac:dyDescent="0.3">
      <c r="A208">
        <v>18</v>
      </c>
      <c r="B208" t="s">
        <v>15</v>
      </c>
      <c r="C208">
        <v>307739.18</v>
      </c>
      <c r="D208" t="s">
        <v>426</v>
      </c>
      <c r="E208">
        <v>307739.18</v>
      </c>
      <c r="F208">
        <v>0</v>
      </c>
      <c r="G208" t="s">
        <v>427</v>
      </c>
      <c r="H208">
        <v>0</v>
      </c>
      <c r="I208">
        <v>0</v>
      </c>
      <c r="J208">
        <v>1</v>
      </c>
      <c r="K208">
        <v>0</v>
      </c>
      <c r="L208">
        <v>18</v>
      </c>
      <c r="M208">
        <v>0</v>
      </c>
      <c r="N208">
        <v>1</v>
      </c>
      <c r="O208">
        <v>307739.18</v>
      </c>
      <c r="P208">
        <f>IF(C208&gt;=200000,5,IF(C208&gt;=100000,4,IF(C208&gt;=50000,3,IF(C208&gt;=10000,2,1))))</f>
        <v>5</v>
      </c>
      <c r="Q208">
        <f>IF(B208="TRANSFER",5,IF(B208="CASH_OUT",4,IF(B208="DEBIT",2,1)))</f>
        <v>5</v>
      </c>
      <c r="R208">
        <f>(P208*0.5)+(Q208*0.3)+(N208*0.1)+(M208*0.1)</f>
        <v>4.0999999999999996</v>
      </c>
      <c r="S208" t="str">
        <f t="shared" si="3"/>
        <v>HIGH</v>
      </c>
    </row>
    <row r="209" spans="1:19" x14ac:dyDescent="0.3">
      <c r="A209">
        <v>18</v>
      </c>
      <c r="B209" t="s">
        <v>18</v>
      </c>
      <c r="C209">
        <v>307739.18</v>
      </c>
      <c r="D209" t="s">
        <v>428</v>
      </c>
      <c r="E209">
        <v>307739.18</v>
      </c>
      <c r="F209">
        <v>0</v>
      </c>
      <c r="G209" t="s">
        <v>429</v>
      </c>
      <c r="H209">
        <v>25326</v>
      </c>
      <c r="I209">
        <v>838246.41</v>
      </c>
      <c r="J209">
        <v>1</v>
      </c>
      <c r="K209">
        <v>0</v>
      </c>
      <c r="L209">
        <v>18</v>
      </c>
      <c r="M209">
        <v>0</v>
      </c>
      <c r="N209">
        <v>1</v>
      </c>
      <c r="O209">
        <v>307739.18</v>
      </c>
      <c r="P209">
        <f>IF(C209&gt;=200000,5,IF(C209&gt;=100000,4,IF(C209&gt;=50000,3,IF(C209&gt;=10000,2,1))))</f>
        <v>5</v>
      </c>
      <c r="Q209">
        <f>IF(B209="TRANSFER",5,IF(B209="CASH_OUT",4,IF(B209="DEBIT",2,1)))</f>
        <v>4</v>
      </c>
      <c r="R209">
        <f>(P209*0.5)+(Q209*0.3)+(N209*0.1)+(M209*0.1)</f>
        <v>3.8000000000000003</v>
      </c>
      <c r="S209" t="str">
        <f t="shared" si="3"/>
        <v>HIGH</v>
      </c>
    </row>
    <row r="210" spans="1:19" x14ac:dyDescent="0.3">
      <c r="A210">
        <v>18</v>
      </c>
      <c r="B210" t="s">
        <v>18</v>
      </c>
      <c r="C210">
        <v>314251.58</v>
      </c>
      <c r="D210" t="s">
        <v>430</v>
      </c>
      <c r="E210">
        <v>75956.47</v>
      </c>
      <c r="F210">
        <v>0</v>
      </c>
      <c r="G210" t="s">
        <v>431</v>
      </c>
      <c r="H210">
        <v>7962205.25</v>
      </c>
      <c r="I210">
        <v>8276456.8399999999</v>
      </c>
      <c r="J210">
        <v>1</v>
      </c>
      <c r="K210">
        <v>0</v>
      </c>
      <c r="L210">
        <v>18</v>
      </c>
      <c r="M210">
        <v>0</v>
      </c>
      <c r="N210">
        <v>1</v>
      </c>
      <c r="O210">
        <v>75956.47</v>
      </c>
      <c r="P210">
        <f>IF(C210&gt;=200000,5,IF(C210&gt;=100000,4,IF(C210&gt;=50000,3,IF(C210&gt;=10000,2,1))))</f>
        <v>5</v>
      </c>
      <c r="Q210">
        <f>IF(B210="TRANSFER",5,IF(B210="CASH_OUT",4,IF(B210="DEBIT",2,1)))</f>
        <v>4</v>
      </c>
      <c r="R210">
        <f>(P210*0.5)+(Q210*0.3)+(N210*0.1)+(M210*0.1)</f>
        <v>3.8000000000000003</v>
      </c>
      <c r="S210" t="str">
        <f t="shared" si="3"/>
        <v>HIGH</v>
      </c>
    </row>
    <row r="211" spans="1:19" x14ac:dyDescent="0.3">
      <c r="A211">
        <v>18</v>
      </c>
      <c r="B211" t="s">
        <v>15</v>
      </c>
      <c r="C211">
        <v>1102133.8999999999</v>
      </c>
      <c r="D211" t="s">
        <v>432</v>
      </c>
      <c r="E211">
        <v>1102133.8999999999</v>
      </c>
      <c r="F211">
        <v>0</v>
      </c>
      <c r="G211" t="s">
        <v>433</v>
      </c>
      <c r="H211">
        <v>0</v>
      </c>
      <c r="I211">
        <v>746575.95</v>
      </c>
      <c r="J211">
        <v>1</v>
      </c>
      <c r="K211">
        <v>0</v>
      </c>
      <c r="L211">
        <v>18</v>
      </c>
      <c r="M211">
        <v>0</v>
      </c>
      <c r="N211">
        <v>1</v>
      </c>
      <c r="O211">
        <v>1102133.8999999999</v>
      </c>
      <c r="P211">
        <f>IF(C211&gt;=200000,5,IF(C211&gt;=100000,4,IF(C211&gt;=50000,3,IF(C211&gt;=10000,2,1))))</f>
        <v>5</v>
      </c>
      <c r="Q211">
        <f>IF(B211="TRANSFER",5,IF(B211="CASH_OUT",4,IF(B211="DEBIT",2,1)))</f>
        <v>5</v>
      </c>
      <c r="R211">
        <f>(P211*0.5)+(Q211*0.3)+(N211*0.1)+(M211*0.1)</f>
        <v>4.0999999999999996</v>
      </c>
      <c r="S211" t="str">
        <f t="shared" si="3"/>
        <v>HIGH</v>
      </c>
    </row>
    <row r="212" spans="1:19" x14ac:dyDescent="0.3">
      <c r="A212">
        <v>18</v>
      </c>
      <c r="B212" t="s">
        <v>18</v>
      </c>
      <c r="C212">
        <v>1102133.8999999999</v>
      </c>
      <c r="D212" t="s">
        <v>434</v>
      </c>
      <c r="E212">
        <v>1102133.8999999999</v>
      </c>
      <c r="F212">
        <v>0</v>
      </c>
      <c r="G212" t="s">
        <v>435</v>
      </c>
      <c r="H212">
        <v>306228.56</v>
      </c>
      <c r="I212">
        <v>1408362.45</v>
      </c>
      <c r="J212">
        <v>1</v>
      </c>
      <c r="K212">
        <v>0</v>
      </c>
      <c r="L212">
        <v>18</v>
      </c>
      <c r="M212">
        <v>0</v>
      </c>
      <c r="N212">
        <v>1</v>
      </c>
      <c r="O212">
        <v>1102133.8999999999</v>
      </c>
      <c r="P212">
        <f>IF(C212&gt;=200000,5,IF(C212&gt;=100000,4,IF(C212&gt;=50000,3,IF(C212&gt;=10000,2,1))))</f>
        <v>5</v>
      </c>
      <c r="Q212">
        <f>IF(B212="TRANSFER",5,IF(B212="CASH_OUT",4,IF(B212="DEBIT",2,1)))</f>
        <v>4</v>
      </c>
      <c r="R212">
        <f>(P212*0.5)+(Q212*0.3)+(N212*0.1)+(M212*0.1)</f>
        <v>3.8000000000000003</v>
      </c>
      <c r="S212" t="str">
        <f t="shared" si="3"/>
        <v>HIGH</v>
      </c>
    </row>
    <row r="213" spans="1:19" x14ac:dyDescent="0.3">
      <c r="A213">
        <v>18</v>
      </c>
      <c r="B213" t="s">
        <v>15</v>
      </c>
      <c r="C213">
        <v>1144089.3700000001</v>
      </c>
      <c r="D213" t="s">
        <v>436</v>
      </c>
      <c r="E213">
        <v>1144089.3700000001</v>
      </c>
      <c r="F213">
        <v>0</v>
      </c>
      <c r="G213" t="s">
        <v>437</v>
      </c>
      <c r="H213">
        <v>0</v>
      </c>
      <c r="I213">
        <v>0</v>
      </c>
      <c r="J213">
        <v>1</v>
      </c>
      <c r="K213">
        <v>0</v>
      </c>
      <c r="L213">
        <v>18</v>
      </c>
      <c r="M213">
        <v>0</v>
      </c>
      <c r="N213">
        <v>1</v>
      </c>
      <c r="O213">
        <v>1144089.3700000001</v>
      </c>
      <c r="P213">
        <f>IF(C213&gt;=200000,5,IF(C213&gt;=100000,4,IF(C213&gt;=50000,3,IF(C213&gt;=10000,2,1))))</f>
        <v>5</v>
      </c>
      <c r="Q213">
        <f>IF(B213="TRANSFER",5,IF(B213="CASH_OUT",4,IF(B213="DEBIT",2,1)))</f>
        <v>5</v>
      </c>
      <c r="R213">
        <f>(P213*0.5)+(Q213*0.3)+(N213*0.1)+(M213*0.1)</f>
        <v>4.0999999999999996</v>
      </c>
      <c r="S213" t="str">
        <f t="shared" si="3"/>
        <v>HIGH</v>
      </c>
    </row>
    <row r="214" spans="1:19" x14ac:dyDescent="0.3">
      <c r="A214">
        <v>18</v>
      </c>
      <c r="B214" t="s">
        <v>18</v>
      </c>
      <c r="C214">
        <v>1144089.3700000001</v>
      </c>
      <c r="D214" t="s">
        <v>438</v>
      </c>
      <c r="E214">
        <v>1144089.3700000001</v>
      </c>
      <c r="F214">
        <v>0</v>
      </c>
      <c r="G214" t="s">
        <v>439</v>
      </c>
      <c r="H214">
        <v>2502877.2599999998</v>
      </c>
      <c r="I214">
        <v>3879210.29</v>
      </c>
      <c r="J214">
        <v>1</v>
      </c>
      <c r="K214">
        <v>0</v>
      </c>
      <c r="L214">
        <v>18</v>
      </c>
      <c r="M214">
        <v>0</v>
      </c>
      <c r="N214">
        <v>1</v>
      </c>
      <c r="O214">
        <v>1144089.3700000001</v>
      </c>
      <c r="P214">
        <f>IF(C214&gt;=200000,5,IF(C214&gt;=100000,4,IF(C214&gt;=50000,3,IF(C214&gt;=10000,2,1))))</f>
        <v>5</v>
      </c>
      <c r="Q214">
        <f>IF(B214="TRANSFER",5,IF(B214="CASH_OUT",4,IF(B214="DEBIT",2,1)))</f>
        <v>4</v>
      </c>
      <c r="R214">
        <f>(P214*0.5)+(Q214*0.3)+(N214*0.1)+(M214*0.1)</f>
        <v>3.8000000000000003</v>
      </c>
      <c r="S214" t="str">
        <f t="shared" si="3"/>
        <v>HIGH</v>
      </c>
    </row>
    <row r="215" spans="1:19" x14ac:dyDescent="0.3">
      <c r="A215">
        <v>18</v>
      </c>
      <c r="B215" t="s">
        <v>15</v>
      </c>
      <c r="C215">
        <v>1974352.3</v>
      </c>
      <c r="D215" t="s">
        <v>440</v>
      </c>
      <c r="E215">
        <v>1974352.3</v>
      </c>
      <c r="F215">
        <v>0</v>
      </c>
      <c r="G215" t="s">
        <v>441</v>
      </c>
      <c r="H215">
        <v>0</v>
      </c>
      <c r="I215">
        <v>0</v>
      </c>
      <c r="J215">
        <v>1</v>
      </c>
      <c r="K215">
        <v>0</v>
      </c>
      <c r="L215">
        <v>18</v>
      </c>
      <c r="M215">
        <v>0</v>
      </c>
      <c r="N215">
        <v>1</v>
      </c>
      <c r="O215">
        <v>1974352.3</v>
      </c>
      <c r="P215">
        <f>IF(C215&gt;=200000,5,IF(C215&gt;=100000,4,IF(C215&gt;=50000,3,IF(C215&gt;=10000,2,1))))</f>
        <v>5</v>
      </c>
      <c r="Q215">
        <f>IF(B215="TRANSFER",5,IF(B215="CASH_OUT",4,IF(B215="DEBIT",2,1)))</f>
        <v>5</v>
      </c>
      <c r="R215">
        <f>(P215*0.5)+(Q215*0.3)+(N215*0.1)+(M215*0.1)</f>
        <v>4.0999999999999996</v>
      </c>
      <c r="S215" t="str">
        <f t="shared" si="3"/>
        <v>HIGH</v>
      </c>
    </row>
    <row r="216" spans="1:19" x14ac:dyDescent="0.3">
      <c r="A216">
        <v>18</v>
      </c>
      <c r="B216" t="s">
        <v>18</v>
      </c>
      <c r="C216">
        <v>1974352.3</v>
      </c>
      <c r="D216" t="s">
        <v>442</v>
      </c>
      <c r="E216">
        <v>1974352.3</v>
      </c>
      <c r="F216">
        <v>0</v>
      </c>
      <c r="G216" t="s">
        <v>443</v>
      </c>
      <c r="H216">
        <v>15531.71</v>
      </c>
      <c r="I216">
        <v>1989884.01</v>
      </c>
      <c r="J216">
        <v>1</v>
      </c>
      <c r="K216">
        <v>0</v>
      </c>
      <c r="L216">
        <v>18</v>
      </c>
      <c r="M216">
        <v>0</v>
      </c>
      <c r="N216">
        <v>1</v>
      </c>
      <c r="O216">
        <v>1974352.3</v>
      </c>
      <c r="P216">
        <f>IF(C216&gt;=200000,5,IF(C216&gt;=100000,4,IF(C216&gt;=50000,3,IF(C216&gt;=10000,2,1))))</f>
        <v>5</v>
      </c>
      <c r="Q216">
        <f>IF(B216="TRANSFER",5,IF(B216="CASH_OUT",4,IF(B216="DEBIT",2,1)))</f>
        <v>4</v>
      </c>
      <c r="R216">
        <f>(P216*0.5)+(Q216*0.3)+(N216*0.1)+(M216*0.1)</f>
        <v>3.8000000000000003</v>
      </c>
      <c r="S216" t="str">
        <f t="shared" si="3"/>
        <v>HIGH</v>
      </c>
    </row>
    <row r="217" spans="1:19" x14ac:dyDescent="0.3">
      <c r="A217">
        <v>18</v>
      </c>
      <c r="B217" t="s">
        <v>15</v>
      </c>
      <c r="C217">
        <v>11481</v>
      </c>
      <c r="D217" t="s">
        <v>444</v>
      </c>
      <c r="E217">
        <v>11481</v>
      </c>
      <c r="F217">
        <v>0</v>
      </c>
      <c r="G217" t="s">
        <v>445</v>
      </c>
      <c r="H217">
        <v>0</v>
      </c>
      <c r="I217">
        <v>263492.28000000003</v>
      </c>
      <c r="J217">
        <v>1</v>
      </c>
      <c r="K217">
        <v>0</v>
      </c>
      <c r="L217">
        <v>18</v>
      </c>
      <c r="M217">
        <v>0</v>
      </c>
      <c r="N217">
        <v>1</v>
      </c>
      <c r="O217">
        <v>11481</v>
      </c>
      <c r="P217">
        <f>IF(C217&gt;=200000,5,IF(C217&gt;=100000,4,IF(C217&gt;=50000,3,IF(C217&gt;=10000,2,1))))</f>
        <v>2</v>
      </c>
      <c r="Q217">
        <f>IF(B217="TRANSFER",5,IF(B217="CASH_OUT",4,IF(B217="DEBIT",2,1)))</f>
        <v>5</v>
      </c>
      <c r="R217">
        <f>(P217*0.5)+(Q217*0.3)+(N217*0.1)+(M217*0.1)</f>
        <v>2.6</v>
      </c>
      <c r="S217" t="str">
        <f t="shared" si="3"/>
        <v>MEDIUM</v>
      </c>
    </row>
    <row r="218" spans="1:19" x14ac:dyDescent="0.3">
      <c r="A218">
        <v>18</v>
      </c>
      <c r="B218" t="s">
        <v>18</v>
      </c>
      <c r="C218">
        <v>11481</v>
      </c>
      <c r="D218" t="s">
        <v>446</v>
      </c>
      <c r="E218">
        <v>11481</v>
      </c>
      <c r="F218">
        <v>0</v>
      </c>
      <c r="G218" t="s">
        <v>447</v>
      </c>
      <c r="H218">
        <v>761417.61</v>
      </c>
      <c r="I218">
        <v>1765080.5</v>
      </c>
      <c r="J218">
        <v>1</v>
      </c>
      <c r="K218">
        <v>0</v>
      </c>
      <c r="L218">
        <v>18</v>
      </c>
      <c r="M218">
        <v>0</v>
      </c>
      <c r="N218">
        <v>1</v>
      </c>
      <c r="O218">
        <v>11481</v>
      </c>
      <c r="P218">
        <f>IF(C218&gt;=200000,5,IF(C218&gt;=100000,4,IF(C218&gt;=50000,3,IF(C218&gt;=10000,2,1))))</f>
        <v>2</v>
      </c>
      <c r="Q218">
        <f>IF(B218="TRANSFER",5,IF(B218="CASH_OUT",4,IF(B218="DEBIT",2,1)))</f>
        <v>4</v>
      </c>
      <c r="R218">
        <f>(P218*0.5)+(Q218*0.3)+(N218*0.1)+(M218*0.1)</f>
        <v>2.3000000000000003</v>
      </c>
      <c r="S218" t="str">
        <f t="shared" si="3"/>
        <v>MEDIUM</v>
      </c>
    </row>
    <row r="219" spans="1:19" x14ac:dyDescent="0.3">
      <c r="A219">
        <v>18</v>
      </c>
      <c r="B219" t="s">
        <v>18</v>
      </c>
      <c r="C219">
        <v>508782.2</v>
      </c>
      <c r="D219" t="s">
        <v>448</v>
      </c>
      <c r="E219">
        <v>0</v>
      </c>
      <c r="F219">
        <v>0</v>
      </c>
      <c r="G219" t="s">
        <v>449</v>
      </c>
      <c r="H219">
        <v>1082007.6499999999</v>
      </c>
      <c r="I219">
        <v>1590789.85</v>
      </c>
      <c r="J219">
        <v>1</v>
      </c>
      <c r="K219">
        <v>0</v>
      </c>
      <c r="L219">
        <v>18</v>
      </c>
      <c r="M219">
        <v>0</v>
      </c>
      <c r="N219">
        <v>0</v>
      </c>
      <c r="O219">
        <v>0</v>
      </c>
      <c r="P219">
        <f>IF(C219&gt;=200000,5,IF(C219&gt;=100000,4,IF(C219&gt;=50000,3,IF(C219&gt;=10000,2,1))))</f>
        <v>5</v>
      </c>
      <c r="Q219">
        <f>IF(B219="TRANSFER",5,IF(B219="CASH_OUT",4,IF(B219="DEBIT",2,1)))</f>
        <v>4</v>
      </c>
      <c r="R219">
        <f>(P219*0.5)+(Q219*0.3)+(N219*0.1)+(M219*0.1)</f>
        <v>3.7</v>
      </c>
      <c r="S219" t="str">
        <f t="shared" si="3"/>
        <v>HIGH</v>
      </c>
    </row>
    <row r="220" spans="1:19" x14ac:dyDescent="0.3">
      <c r="A220">
        <v>18</v>
      </c>
      <c r="B220" t="s">
        <v>15</v>
      </c>
      <c r="C220">
        <v>9131</v>
      </c>
      <c r="D220" t="s">
        <v>450</v>
      </c>
      <c r="E220">
        <v>9131</v>
      </c>
      <c r="F220">
        <v>0</v>
      </c>
      <c r="G220" t="s">
        <v>451</v>
      </c>
      <c r="H220">
        <v>0</v>
      </c>
      <c r="I220">
        <v>0</v>
      </c>
      <c r="J220">
        <v>1</v>
      </c>
      <c r="K220">
        <v>0</v>
      </c>
      <c r="L220">
        <v>18</v>
      </c>
      <c r="M220">
        <v>0</v>
      </c>
      <c r="N220">
        <v>1</v>
      </c>
      <c r="O220">
        <v>9131</v>
      </c>
      <c r="P220">
        <f>IF(C220&gt;=200000,5,IF(C220&gt;=100000,4,IF(C220&gt;=50000,3,IF(C220&gt;=10000,2,1))))</f>
        <v>1</v>
      </c>
      <c r="Q220">
        <f>IF(B220="TRANSFER",5,IF(B220="CASH_OUT",4,IF(B220="DEBIT",2,1)))</f>
        <v>5</v>
      </c>
      <c r="R220">
        <f>(P220*0.5)+(Q220*0.3)+(N220*0.1)+(M220*0.1)</f>
        <v>2.1</v>
      </c>
      <c r="S220" t="str">
        <f t="shared" si="3"/>
        <v>MEDIUM</v>
      </c>
    </row>
    <row r="221" spans="1:19" x14ac:dyDescent="0.3">
      <c r="A221">
        <v>18</v>
      </c>
      <c r="B221" t="s">
        <v>18</v>
      </c>
      <c r="C221">
        <v>9131</v>
      </c>
      <c r="D221" t="s">
        <v>452</v>
      </c>
      <c r="E221">
        <v>9131</v>
      </c>
      <c r="F221">
        <v>0</v>
      </c>
      <c r="G221" t="s">
        <v>453</v>
      </c>
      <c r="H221">
        <v>133084.01999999999</v>
      </c>
      <c r="I221">
        <v>142215.01999999999</v>
      </c>
      <c r="J221">
        <v>1</v>
      </c>
      <c r="K221">
        <v>0</v>
      </c>
      <c r="L221">
        <v>18</v>
      </c>
      <c r="M221">
        <v>0</v>
      </c>
      <c r="N221">
        <v>1</v>
      </c>
      <c r="O221">
        <v>9131</v>
      </c>
      <c r="P221">
        <f>IF(C221&gt;=200000,5,IF(C221&gt;=100000,4,IF(C221&gt;=50000,3,IF(C221&gt;=10000,2,1))))</f>
        <v>1</v>
      </c>
      <c r="Q221">
        <f>IF(B221="TRANSFER",5,IF(B221="CASH_OUT",4,IF(B221="DEBIT",2,1)))</f>
        <v>4</v>
      </c>
      <c r="R221">
        <f>(P221*0.5)+(Q221*0.3)+(N221*0.1)+(M221*0.1)</f>
        <v>1.8</v>
      </c>
      <c r="S221" t="str">
        <f t="shared" si="3"/>
        <v>LOW</v>
      </c>
    </row>
    <row r="222" spans="1:19" x14ac:dyDescent="0.3">
      <c r="A222">
        <v>19</v>
      </c>
      <c r="B222" t="s">
        <v>15</v>
      </c>
      <c r="C222">
        <v>143660.10999999999</v>
      </c>
      <c r="D222" t="s">
        <v>454</v>
      </c>
      <c r="E222">
        <v>143660.10999999999</v>
      </c>
      <c r="F222">
        <v>0</v>
      </c>
      <c r="G222" t="s">
        <v>455</v>
      </c>
      <c r="H222">
        <v>0</v>
      </c>
      <c r="I222">
        <v>0</v>
      </c>
      <c r="J222">
        <v>1</v>
      </c>
      <c r="K222">
        <v>0</v>
      </c>
      <c r="L222">
        <v>19</v>
      </c>
      <c r="M222">
        <v>0</v>
      </c>
      <c r="N222">
        <v>1</v>
      </c>
      <c r="O222">
        <v>143660.10999999999</v>
      </c>
      <c r="P222">
        <f>IF(C222&gt;=200000,5,IF(C222&gt;=100000,4,IF(C222&gt;=50000,3,IF(C222&gt;=10000,2,1))))</f>
        <v>4</v>
      </c>
      <c r="Q222">
        <f>IF(B222="TRANSFER",5,IF(B222="CASH_OUT",4,IF(B222="DEBIT",2,1)))</f>
        <v>5</v>
      </c>
      <c r="R222">
        <f>(P222*0.5)+(Q222*0.3)+(N222*0.1)+(M222*0.1)</f>
        <v>3.6</v>
      </c>
      <c r="S222" t="str">
        <f t="shared" si="3"/>
        <v>HIGH</v>
      </c>
    </row>
    <row r="223" spans="1:19" x14ac:dyDescent="0.3">
      <c r="A223">
        <v>19</v>
      </c>
      <c r="B223" t="s">
        <v>18</v>
      </c>
      <c r="C223">
        <v>143660.10999999999</v>
      </c>
      <c r="D223" t="s">
        <v>456</v>
      </c>
      <c r="E223">
        <v>143660.10999999999</v>
      </c>
      <c r="F223">
        <v>0</v>
      </c>
      <c r="G223" t="s">
        <v>457</v>
      </c>
      <c r="H223">
        <v>0</v>
      </c>
      <c r="I223">
        <v>143660.10999999999</v>
      </c>
      <c r="J223">
        <v>1</v>
      </c>
      <c r="K223">
        <v>0</v>
      </c>
      <c r="L223">
        <v>19</v>
      </c>
      <c r="M223">
        <v>0</v>
      </c>
      <c r="N223">
        <v>1</v>
      </c>
      <c r="O223">
        <v>143660.10999999999</v>
      </c>
      <c r="P223">
        <f>IF(C223&gt;=200000,5,IF(C223&gt;=100000,4,IF(C223&gt;=50000,3,IF(C223&gt;=10000,2,1))))</f>
        <v>4</v>
      </c>
      <c r="Q223">
        <f>IF(B223="TRANSFER",5,IF(B223="CASH_OUT",4,IF(B223="DEBIT",2,1)))</f>
        <v>4</v>
      </c>
      <c r="R223">
        <f>(P223*0.5)+(Q223*0.3)+(N223*0.1)+(M223*0.1)</f>
        <v>3.3000000000000003</v>
      </c>
      <c r="S223" t="str">
        <f t="shared" si="3"/>
        <v>HIGH</v>
      </c>
    </row>
    <row r="224" spans="1:19" x14ac:dyDescent="0.3">
      <c r="A224">
        <v>19</v>
      </c>
      <c r="B224" t="s">
        <v>15</v>
      </c>
      <c r="C224">
        <v>3477438.49</v>
      </c>
      <c r="D224" t="s">
        <v>458</v>
      </c>
      <c r="E224">
        <v>3477438.49</v>
      </c>
      <c r="F224">
        <v>0</v>
      </c>
      <c r="G224" t="s">
        <v>459</v>
      </c>
      <c r="H224">
        <v>0</v>
      </c>
      <c r="I224">
        <v>0</v>
      </c>
      <c r="J224">
        <v>1</v>
      </c>
      <c r="K224">
        <v>0</v>
      </c>
      <c r="L224">
        <v>19</v>
      </c>
      <c r="M224">
        <v>0</v>
      </c>
      <c r="N224">
        <v>1</v>
      </c>
      <c r="O224">
        <v>3477438.49</v>
      </c>
      <c r="P224">
        <f>IF(C224&gt;=200000,5,IF(C224&gt;=100000,4,IF(C224&gt;=50000,3,IF(C224&gt;=10000,2,1))))</f>
        <v>5</v>
      </c>
      <c r="Q224">
        <f>IF(B224="TRANSFER",5,IF(B224="CASH_OUT",4,IF(B224="DEBIT",2,1)))</f>
        <v>5</v>
      </c>
      <c r="R224">
        <f>(P224*0.5)+(Q224*0.3)+(N224*0.1)+(M224*0.1)</f>
        <v>4.0999999999999996</v>
      </c>
      <c r="S224" t="str">
        <f t="shared" si="3"/>
        <v>HIGH</v>
      </c>
    </row>
    <row r="225" spans="1:19" x14ac:dyDescent="0.3">
      <c r="A225">
        <v>19</v>
      </c>
      <c r="B225" t="s">
        <v>18</v>
      </c>
      <c r="C225">
        <v>3477438.49</v>
      </c>
      <c r="D225" t="s">
        <v>460</v>
      </c>
      <c r="E225">
        <v>3477438.49</v>
      </c>
      <c r="F225">
        <v>0</v>
      </c>
      <c r="G225" t="s">
        <v>461</v>
      </c>
      <c r="H225">
        <v>0</v>
      </c>
      <c r="I225">
        <v>3477438.49</v>
      </c>
      <c r="J225">
        <v>1</v>
      </c>
      <c r="K225">
        <v>0</v>
      </c>
      <c r="L225">
        <v>19</v>
      </c>
      <c r="M225">
        <v>0</v>
      </c>
      <c r="N225">
        <v>1</v>
      </c>
      <c r="O225">
        <v>3477438.49</v>
      </c>
      <c r="P225">
        <f>IF(C225&gt;=200000,5,IF(C225&gt;=100000,4,IF(C225&gt;=50000,3,IF(C225&gt;=10000,2,1))))</f>
        <v>5</v>
      </c>
      <c r="Q225">
        <f>IF(B225="TRANSFER",5,IF(B225="CASH_OUT",4,IF(B225="DEBIT",2,1)))</f>
        <v>4</v>
      </c>
      <c r="R225">
        <f>(P225*0.5)+(Q225*0.3)+(N225*0.1)+(M225*0.1)</f>
        <v>3.8000000000000003</v>
      </c>
      <c r="S225" t="str">
        <f t="shared" si="3"/>
        <v>HIGH</v>
      </c>
    </row>
    <row r="226" spans="1:19" x14ac:dyDescent="0.3">
      <c r="A226">
        <v>19</v>
      </c>
      <c r="B226" t="s">
        <v>18</v>
      </c>
      <c r="C226">
        <v>122101.57</v>
      </c>
      <c r="D226" t="s">
        <v>462</v>
      </c>
      <c r="E226">
        <v>0</v>
      </c>
      <c r="F226">
        <v>0</v>
      </c>
      <c r="G226" t="s">
        <v>463</v>
      </c>
      <c r="H226">
        <v>0</v>
      </c>
      <c r="I226">
        <v>639940.19999999995</v>
      </c>
      <c r="J226">
        <v>1</v>
      </c>
      <c r="K226">
        <v>0</v>
      </c>
      <c r="L226">
        <v>19</v>
      </c>
      <c r="M226">
        <v>0</v>
      </c>
      <c r="N226">
        <v>0</v>
      </c>
      <c r="O226">
        <v>0</v>
      </c>
      <c r="P226">
        <f>IF(C226&gt;=200000,5,IF(C226&gt;=100000,4,IF(C226&gt;=50000,3,IF(C226&gt;=10000,2,1))))</f>
        <v>4</v>
      </c>
      <c r="Q226">
        <f>IF(B226="TRANSFER",5,IF(B226="CASH_OUT",4,IF(B226="DEBIT",2,1)))</f>
        <v>4</v>
      </c>
      <c r="R226">
        <f>(P226*0.5)+(Q226*0.3)+(N226*0.1)+(M226*0.1)</f>
        <v>3.2</v>
      </c>
      <c r="S226" t="str">
        <f t="shared" si="3"/>
        <v>HIGH</v>
      </c>
    </row>
    <row r="227" spans="1:19" x14ac:dyDescent="0.3">
      <c r="A227">
        <v>19</v>
      </c>
      <c r="B227" t="s">
        <v>15</v>
      </c>
      <c r="C227">
        <v>161939.35999999999</v>
      </c>
      <c r="D227" t="s">
        <v>464</v>
      </c>
      <c r="E227">
        <v>161939.35999999999</v>
      </c>
      <c r="F227">
        <v>0</v>
      </c>
      <c r="G227" t="s">
        <v>465</v>
      </c>
      <c r="H227">
        <v>0</v>
      </c>
      <c r="I227">
        <v>0</v>
      </c>
      <c r="J227">
        <v>1</v>
      </c>
      <c r="K227">
        <v>0</v>
      </c>
      <c r="L227">
        <v>19</v>
      </c>
      <c r="M227">
        <v>0</v>
      </c>
      <c r="N227">
        <v>1</v>
      </c>
      <c r="O227">
        <v>161939.35999999999</v>
      </c>
      <c r="P227">
        <f>IF(C227&gt;=200000,5,IF(C227&gt;=100000,4,IF(C227&gt;=50000,3,IF(C227&gt;=10000,2,1))))</f>
        <v>4</v>
      </c>
      <c r="Q227">
        <f>IF(B227="TRANSFER",5,IF(B227="CASH_OUT",4,IF(B227="DEBIT",2,1)))</f>
        <v>5</v>
      </c>
      <c r="R227">
        <f>(P227*0.5)+(Q227*0.3)+(N227*0.1)+(M227*0.1)</f>
        <v>3.6</v>
      </c>
      <c r="S227" t="str">
        <f t="shared" si="3"/>
        <v>HIGH</v>
      </c>
    </row>
    <row r="228" spans="1:19" x14ac:dyDescent="0.3">
      <c r="A228">
        <v>19</v>
      </c>
      <c r="B228" t="s">
        <v>18</v>
      </c>
      <c r="C228">
        <v>161939.35999999999</v>
      </c>
      <c r="D228" t="s">
        <v>466</v>
      </c>
      <c r="E228">
        <v>161939.35999999999</v>
      </c>
      <c r="F228">
        <v>0</v>
      </c>
      <c r="G228" t="s">
        <v>467</v>
      </c>
      <c r="H228">
        <v>628935.02</v>
      </c>
      <c r="I228">
        <v>851972.34</v>
      </c>
      <c r="J228">
        <v>1</v>
      </c>
      <c r="K228">
        <v>0</v>
      </c>
      <c r="L228">
        <v>19</v>
      </c>
      <c r="M228">
        <v>0</v>
      </c>
      <c r="N228">
        <v>1</v>
      </c>
      <c r="O228">
        <v>161939.35999999999</v>
      </c>
      <c r="P228">
        <f>IF(C228&gt;=200000,5,IF(C228&gt;=100000,4,IF(C228&gt;=50000,3,IF(C228&gt;=10000,2,1))))</f>
        <v>4</v>
      </c>
      <c r="Q228">
        <f>IF(B228="TRANSFER",5,IF(B228="CASH_OUT",4,IF(B228="DEBIT",2,1)))</f>
        <v>4</v>
      </c>
      <c r="R228">
        <f>(P228*0.5)+(Q228*0.3)+(N228*0.1)+(M228*0.1)</f>
        <v>3.3000000000000003</v>
      </c>
      <c r="S228" t="str">
        <f t="shared" si="3"/>
        <v>HIGH</v>
      </c>
    </row>
    <row r="229" spans="1:19" x14ac:dyDescent="0.3">
      <c r="A229">
        <v>19</v>
      </c>
      <c r="B229" t="s">
        <v>15</v>
      </c>
      <c r="C229">
        <v>10000000</v>
      </c>
      <c r="D229" t="s">
        <v>468</v>
      </c>
      <c r="E229">
        <v>11900000</v>
      </c>
      <c r="F229">
        <v>1861008.32</v>
      </c>
      <c r="G229" t="s">
        <v>469</v>
      </c>
      <c r="H229">
        <v>0</v>
      </c>
      <c r="I229">
        <v>0</v>
      </c>
      <c r="J229">
        <v>1</v>
      </c>
      <c r="K229">
        <v>0</v>
      </c>
      <c r="L229">
        <v>19</v>
      </c>
      <c r="M229">
        <v>1</v>
      </c>
      <c r="N229">
        <v>0</v>
      </c>
      <c r="O229">
        <v>10038991.68</v>
      </c>
      <c r="P229">
        <f>IF(C229&gt;=200000,5,IF(C229&gt;=100000,4,IF(C229&gt;=50000,3,IF(C229&gt;=10000,2,1))))</f>
        <v>5</v>
      </c>
      <c r="Q229">
        <f>IF(B229="TRANSFER",5,IF(B229="CASH_OUT",4,IF(B229="DEBIT",2,1)))</f>
        <v>5</v>
      </c>
      <c r="R229">
        <f>(P229*0.5)+(Q229*0.3)+(N229*0.1)+(M229*0.1)</f>
        <v>4.0999999999999996</v>
      </c>
      <c r="S229" t="str">
        <f t="shared" si="3"/>
        <v>HIGH</v>
      </c>
    </row>
    <row r="230" spans="1:19" x14ac:dyDescent="0.3">
      <c r="A230">
        <v>19</v>
      </c>
      <c r="B230" t="s">
        <v>18</v>
      </c>
      <c r="C230">
        <v>10000000</v>
      </c>
      <c r="D230" t="s">
        <v>470</v>
      </c>
      <c r="E230">
        <v>10000000</v>
      </c>
      <c r="F230">
        <v>0</v>
      </c>
      <c r="G230" t="s">
        <v>471</v>
      </c>
      <c r="H230">
        <v>504326.62</v>
      </c>
      <c r="I230">
        <v>10300000</v>
      </c>
      <c r="J230">
        <v>1</v>
      </c>
      <c r="K230">
        <v>0</v>
      </c>
      <c r="L230">
        <v>19</v>
      </c>
      <c r="M230">
        <v>1</v>
      </c>
      <c r="N230">
        <v>1</v>
      </c>
      <c r="O230">
        <v>10000000</v>
      </c>
      <c r="P230">
        <f>IF(C230&gt;=200000,5,IF(C230&gt;=100000,4,IF(C230&gt;=50000,3,IF(C230&gt;=10000,2,1))))</f>
        <v>5</v>
      </c>
      <c r="Q230">
        <f>IF(B230="TRANSFER",5,IF(B230="CASH_OUT",4,IF(B230="DEBIT",2,1)))</f>
        <v>4</v>
      </c>
      <c r="R230">
        <f>(P230*0.5)+(Q230*0.3)+(N230*0.1)+(M230*0.1)</f>
        <v>3.9000000000000004</v>
      </c>
      <c r="S230" t="str">
        <f t="shared" si="3"/>
        <v>HIGH</v>
      </c>
    </row>
    <row r="231" spans="1:19" x14ac:dyDescent="0.3">
      <c r="A231">
        <v>19</v>
      </c>
      <c r="B231" t="s">
        <v>15</v>
      </c>
      <c r="C231">
        <v>1861008.32</v>
      </c>
      <c r="D231" t="s">
        <v>472</v>
      </c>
      <c r="E231">
        <v>1861008.32</v>
      </c>
      <c r="F231">
        <v>0</v>
      </c>
      <c r="G231" t="s">
        <v>473</v>
      </c>
      <c r="H231">
        <v>0</v>
      </c>
      <c r="I231">
        <v>0</v>
      </c>
      <c r="J231">
        <v>1</v>
      </c>
      <c r="K231">
        <v>0</v>
      </c>
      <c r="L231">
        <v>19</v>
      </c>
      <c r="M231">
        <v>0</v>
      </c>
      <c r="N231">
        <v>1</v>
      </c>
      <c r="O231">
        <v>1861008.32</v>
      </c>
      <c r="P231">
        <f>IF(C231&gt;=200000,5,IF(C231&gt;=100000,4,IF(C231&gt;=50000,3,IF(C231&gt;=10000,2,1))))</f>
        <v>5</v>
      </c>
      <c r="Q231">
        <f>IF(B231="TRANSFER",5,IF(B231="CASH_OUT",4,IF(B231="DEBIT",2,1)))</f>
        <v>5</v>
      </c>
      <c r="R231">
        <f>(P231*0.5)+(Q231*0.3)+(N231*0.1)+(M231*0.1)</f>
        <v>4.0999999999999996</v>
      </c>
      <c r="S231" t="str">
        <f t="shared" si="3"/>
        <v>HIGH</v>
      </c>
    </row>
    <row r="232" spans="1:19" x14ac:dyDescent="0.3">
      <c r="A232">
        <v>19</v>
      </c>
      <c r="B232" t="s">
        <v>18</v>
      </c>
      <c r="C232">
        <v>1861008.32</v>
      </c>
      <c r="D232" t="s">
        <v>474</v>
      </c>
      <c r="E232">
        <v>1861008.32</v>
      </c>
      <c r="F232">
        <v>0</v>
      </c>
      <c r="G232" t="s">
        <v>475</v>
      </c>
      <c r="H232">
        <v>0</v>
      </c>
      <c r="I232">
        <v>1789942.62</v>
      </c>
      <c r="J232">
        <v>1</v>
      </c>
      <c r="K232">
        <v>0</v>
      </c>
      <c r="L232">
        <v>19</v>
      </c>
      <c r="M232">
        <v>0</v>
      </c>
      <c r="N232">
        <v>1</v>
      </c>
      <c r="O232">
        <v>1861008.32</v>
      </c>
      <c r="P232">
        <f>IF(C232&gt;=200000,5,IF(C232&gt;=100000,4,IF(C232&gt;=50000,3,IF(C232&gt;=10000,2,1))))</f>
        <v>5</v>
      </c>
      <c r="Q232">
        <f>IF(B232="TRANSFER",5,IF(B232="CASH_OUT",4,IF(B232="DEBIT",2,1)))</f>
        <v>4</v>
      </c>
      <c r="R232">
        <f>(P232*0.5)+(Q232*0.3)+(N232*0.1)+(M232*0.1)</f>
        <v>3.8000000000000003</v>
      </c>
      <c r="S232" t="str">
        <f t="shared" si="3"/>
        <v>HIGH</v>
      </c>
    </row>
    <row r="233" spans="1:19" x14ac:dyDescent="0.3">
      <c r="A233">
        <v>20</v>
      </c>
      <c r="B233" t="s">
        <v>15</v>
      </c>
      <c r="C233">
        <v>16614.82</v>
      </c>
      <c r="D233" t="s">
        <v>476</v>
      </c>
      <c r="E233">
        <v>16614.82</v>
      </c>
      <c r="F233">
        <v>0</v>
      </c>
      <c r="G233" t="s">
        <v>477</v>
      </c>
      <c r="H233">
        <v>0</v>
      </c>
      <c r="I233">
        <v>0</v>
      </c>
      <c r="J233">
        <v>1</v>
      </c>
      <c r="K233">
        <v>0</v>
      </c>
      <c r="L233">
        <v>20</v>
      </c>
      <c r="M233">
        <v>0</v>
      </c>
      <c r="N233">
        <v>1</v>
      </c>
      <c r="O233">
        <v>16614.82</v>
      </c>
      <c r="P233">
        <f>IF(C233&gt;=200000,5,IF(C233&gt;=100000,4,IF(C233&gt;=50000,3,IF(C233&gt;=10000,2,1))))</f>
        <v>2</v>
      </c>
      <c r="Q233">
        <f>IF(B233="TRANSFER",5,IF(B233="CASH_OUT",4,IF(B233="DEBIT",2,1)))</f>
        <v>5</v>
      </c>
      <c r="R233">
        <f>(P233*0.5)+(Q233*0.3)+(N233*0.1)+(M233*0.1)</f>
        <v>2.6</v>
      </c>
      <c r="S233" t="str">
        <f t="shared" si="3"/>
        <v>MEDIUM</v>
      </c>
    </row>
    <row r="234" spans="1:19" x14ac:dyDescent="0.3">
      <c r="A234">
        <v>20</v>
      </c>
      <c r="B234" t="s">
        <v>18</v>
      </c>
      <c r="C234">
        <v>16614.82</v>
      </c>
      <c r="D234" t="s">
        <v>478</v>
      </c>
      <c r="E234">
        <v>16614.82</v>
      </c>
      <c r="F234">
        <v>0</v>
      </c>
      <c r="G234" t="s">
        <v>479</v>
      </c>
      <c r="H234">
        <v>904409.29</v>
      </c>
      <c r="I234">
        <v>921024.11</v>
      </c>
      <c r="J234">
        <v>1</v>
      </c>
      <c r="K234">
        <v>0</v>
      </c>
      <c r="L234">
        <v>20</v>
      </c>
      <c r="M234">
        <v>0</v>
      </c>
      <c r="N234">
        <v>1</v>
      </c>
      <c r="O234">
        <v>16614.82</v>
      </c>
      <c r="P234">
        <f>IF(C234&gt;=200000,5,IF(C234&gt;=100000,4,IF(C234&gt;=50000,3,IF(C234&gt;=10000,2,1))))</f>
        <v>2</v>
      </c>
      <c r="Q234">
        <f>IF(B234="TRANSFER",5,IF(B234="CASH_OUT",4,IF(B234="DEBIT",2,1)))</f>
        <v>4</v>
      </c>
      <c r="R234">
        <f>(P234*0.5)+(Q234*0.3)+(N234*0.1)+(M234*0.1)</f>
        <v>2.3000000000000003</v>
      </c>
      <c r="S234" t="str">
        <f t="shared" si="3"/>
        <v>MEDIUM</v>
      </c>
    </row>
    <row r="235" spans="1:19" x14ac:dyDescent="0.3">
      <c r="A235">
        <v>20</v>
      </c>
      <c r="B235" t="s">
        <v>15</v>
      </c>
      <c r="C235">
        <v>448025.06</v>
      </c>
      <c r="D235" t="s">
        <v>480</v>
      </c>
      <c r="E235">
        <v>448025.06</v>
      </c>
      <c r="F235">
        <v>0</v>
      </c>
      <c r="G235" t="s">
        <v>481</v>
      </c>
      <c r="H235">
        <v>0</v>
      </c>
      <c r="I235">
        <v>0</v>
      </c>
      <c r="J235">
        <v>1</v>
      </c>
      <c r="K235">
        <v>0</v>
      </c>
      <c r="L235">
        <v>20</v>
      </c>
      <c r="M235">
        <v>0</v>
      </c>
      <c r="N235">
        <v>1</v>
      </c>
      <c r="O235">
        <v>448025.06</v>
      </c>
      <c r="P235">
        <f>IF(C235&gt;=200000,5,IF(C235&gt;=100000,4,IF(C235&gt;=50000,3,IF(C235&gt;=10000,2,1))))</f>
        <v>5</v>
      </c>
      <c r="Q235">
        <f>IF(B235="TRANSFER",5,IF(B235="CASH_OUT",4,IF(B235="DEBIT",2,1)))</f>
        <v>5</v>
      </c>
      <c r="R235">
        <f>(P235*0.5)+(Q235*0.3)+(N235*0.1)+(M235*0.1)</f>
        <v>4.0999999999999996</v>
      </c>
      <c r="S235" t="str">
        <f t="shared" si="3"/>
        <v>HIGH</v>
      </c>
    </row>
    <row r="236" spans="1:19" x14ac:dyDescent="0.3">
      <c r="A236">
        <v>20</v>
      </c>
      <c r="B236" t="s">
        <v>18</v>
      </c>
      <c r="C236">
        <v>448025.06</v>
      </c>
      <c r="D236" t="s">
        <v>482</v>
      </c>
      <c r="E236">
        <v>448025.06</v>
      </c>
      <c r="F236">
        <v>0</v>
      </c>
      <c r="G236" t="s">
        <v>483</v>
      </c>
      <c r="H236">
        <v>71679.929999999993</v>
      </c>
      <c r="I236">
        <v>519704.99</v>
      </c>
      <c r="J236">
        <v>1</v>
      </c>
      <c r="K236">
        <v>0</v>
      </c>
      <c r="L236">
        <v>20</v>
      </c>
      <c r="M236">
        <v>0</v>
      </c>
      <c r="N236">
        <v>1</v>
      </c>
      <c r="O236">
        <v>448025.06</v>
      </c>
      <c r="P236">
        <f>IF(C236&gt;=200000,5,IF(C236&gt;=100000,4,IF(C236&gt;=50000,3,IF(C236&gt;=10000,2,1))))</f>
        <v>5</v>
      </c>
      <c r="Q236">
        <f>IF(B236="TRANSFER",5,IF(B236="CASH_OUT",4,IF(B236="DEBIT",2,1)))</f>
        <v>4</v>
      </c>
      <c r="R236">
        <f>(P236*0.5)+(Q236*0.3)+(N236*0.1)+(M236*0.1)</f>
        <v>3.8000000000000003</v>
      </c>
      <c r="S236" t="str">
        <f t="shared" si="3"/>
        <v>HIGH</v>
      </c>
    </row>
    <row r="237" spans="1:19" x14ac:dyDescent="0.3">
      <c r="A237">
        <v>21</v>
      </c>
      <c r="B237" t="s">
        <v>15</v>
      </c>
      <c r="C237">
        <v>785323</v>
      </c>
      <c r="D237" t="s">
        <v>484</v>
      </c>
      <c r="E237">
        <v>785323</v>
      </c>
      <c r="F237">
        <v>0</v>
      </c>
      <c r="G237" t="s">
        <v>485</v>
      </c>
      <c r="H237">
        <v>0</v>
      </c>
      <c r="I237">
        <v>0</v>
      </c>
      <c r="J237">
        <v>1</v>
      </c>
      <c r="K237">
        <v>0</v>
      </c>
      <c r="L237">
        <v>21</v>
      </c>
      <c r="M237">
        <v>0</v>
      </c>
      <c r="N237">
        <v>1</v>
      </c>
      <c r="O237">
        <v>785323</v>
      </c>
      <c r="P237">
        <f>IF(C237&gt;=200000,5,IF(C237&gt;=100000,4,IF(C237&gt;=50000,3,IF(C237&gt;=10000,2,1))))</f>
        <v>5</v>
      </c>
      <c r="Q237">
        <f>IF(B237="TRANSFER",5,IF(B237="CASH_OUT",4,IF(B237="DEBIT",2,1)))</f>
        <v>5</v>
      </c>
      <c r="R237">
        <f>(P237*0.5)+(Q237*0.3)+(N237*0.1)+(M237*0.1)</f>
        <v>4.0999999999999996</v>
      </c>
      <c r="S237" t="str">
        <f t="shared" si="3"/>
        <v>HIGH</v>
      </c>
    </row>
    <row r="238" spans="1:19" x14ac:dyDescent="0.3">
      <c r="A238">
        <v>21</v>
      </c>
      <c r="B238" t="s">
        <v>18</v>
      </c>
      <c r="C238">
        <v>785323</v>
      </c>
      <c r="D238" t="s">
        <v>486</v>
      </c>
      <c r="E238">
        <v>785323</v>
      </c>
      <c r="F238">
        <v>0</v>
      </c>
      <c r="G238" t="s">
        <v>487</v>
      </c>
      <c r="H238">
        <v>803839.25</v>
      </c>
      <c r="I238">
        <v>1720783.92</v>
      </c>
      <c r="J238">
        <v>1</v>
      </c>
      <c r="K238">
        <v>0</v>
      </c>
      <c r="L238">
        <v>21</v>
      </c>
      <c r="M238">
        <v>0</v>
      </c>
      <c r="N238">
        <v>1</v>
      </c>
      <c r="O238">
        <v>785323</v>
      </c>
      <c r="P238">
        <f>IF(C238&gt;=200000,5,IF(C238&gt;=100000,4,IF(C238&gt;=50000,3,IF(C238&gt;=10000,2,1))))</f>
        <v>5</v>
      </c>
      <c r="Q238">
        <f>IF(B238="TRANSFER",5,IF(B238="CASH_OUT",4,IF(B238="DEBIT",2,1)))</f>
        <v>4</v>
      </c>
      <c r="R238">
        <f>(P238*0.5)+(Q238*0.3)+(N238*0.1)+(M238*0.1)</f>
        <v>3.8000000000000003</v>
      </c>
      <c r="S238" t="str">
        <f t="shared" si="3"/>
        <v>HIGH</v>
      </c>
    </row>
    <row r="239" spans="1:19" x14ac:dyDescent="0.3">
      <c r="A239">
        <v>21</v>
      </c>
      <c r="B239" t="s">
        <v>15</v>
      </c>
      <c r="C239">
        <v>158299.34</v>
      </c>
      <c r="D239" t="s">
        <v>488</v>
      </c>
      <c r="E239">
        <v>158299.34</v>
      </c>
      <c r="F239">
        <v>0</v>
      </c>
      <c r="G239" t="s">
        <v>489</v>
      </c>
      <c r="H239">
        <v>0</v>
      </c>
      <c r="I239">
        <v>0</v>
      </c>
      <c r="J239">
        <v>1</v>
      </c>
      <c r="K239">
        <v>0</v>
      </c>
      <c r="L239">
        <v>21</v>
      </c>
      <c r="M239">
        <v>0</v>
      </c>
      <c r="N239">
        <v>1</v>
      </c>
      <c r="O239">
        <v>158299.34</v>
      </c>
      <c r="P239">
        <f>IF(C239&gt;=200000,5,IF(C239&gt;=100000,4,IF(C239&gt;=50000,3,IF(C239&gt;=10000,2,1))))</f>
        <v>4</v>
      </c>
      <c r="Q239">
        <f>IF(B239="TRANSFER",5,IF(B239="CASH_OUT",4,IF(B239="DEBIT",2,1)))</f>
        <v>5</v>
      </c>
      <c r="R239">
        <f>(P239*0.5)+(Q239*0.3)+(N239*0.1)+(M239*0.1)</f>
        <v>3.6</v>
      </c>
      <c r="S239" t="str">
        <f t="shared" si="3"/>
        <v>HIGH</v>
      </c>
    </row>
    <row r="240" spans="1:19" x14ac:dyDescent="0.3">
      <c r="A240">
        <v>21</v>
      </c>
      <c r="B240" t="s">
        <v>18</v>
      </c>
      <c r="C240">
        <v>158299.34</v>
      </c>
      <c r="D240" t="s">
        <v>490</v>
      </c>
      <c r="E240">
        <v>158299.34</v>
      </c>
      <c r="F240">
        <v>0</v>
      </c>
      <c r="G240" t="s">
        <v>491</v>
      </c>
      <c r="H240">
        <v>36152.54</v>
      </c>
      <c r="I240">
        <v>271369.74</v>
      </c>
      <c r="J240">
        <v>1</v>
      </c>
      <c r="K240">
        <v>0</v>
      </c>
      <c r="L240">
        <v>21</v>
      </c>
      <c r="M240">
        <v>0</v>
      </c>
      <c r="N240">
        <v>1</v>
      </c>
      <c r="O240">
        <v>158299.34</v>
      </c>
      <c r="P240">
        <f>IF(C240&gt;=200000,5,IF(C240&gt;=100000,4,IF(C240&gt;=50000,3,IF(C240&gt;=10000,2,1))))</f>
        <v>4</v>
      </c>
      <c r="Q240">
        <f>IF(B240="TRANSFER",5,IF(B240="CASH_OUT",4,IF(B240="DEBIT",2,1)))</f>
        <v>4</v>
      </c>
      <c r="R240">
        <f>(P240*0.5)+(Q240*0.3)+(N240*0.1)+(M240*0.1)</f>
        <v>3.3000000000000003</v>
      </c>
      <c r="S240" t="str">
        <f t="shared" si="3"/>
        <v>HIGH</v>
      </c>
    </row>
    <row r="241" spans="1:19" x14ac:dyDescent="0.3">
      <c r="A241">
        <v>21</v>
      </c>
      <c r="B241" t="s">
        <v>18</v>
      </c>
      <c r="C241">
        <v>23292.3</v>
      </c>
      <c r="D241" t="s">
        <v>492</v>
      </c>
      <c r="E241">
        <v>0</v>
      </c>
      <c r="F241">
        <v>0</v>
      </c>
      <c r="G241" t="s">
        <v>493</v>
      </c>
      <c r="H241">
        <v>392364.62</v>
      </c>
      <c r="I241">
        <v>415656.92</v>
      </c>
      <c r="J241">
        <v>1</v>
      </c>
      <c r="K241">
        <v>0</v>
      </c>
      <c r="L241">
        <v>21</v>
      </c>
      <c r="M241">
        <v>0</v>
      </c>
      <c r="N241">
        <v>0</v>
      </c>
      <c r="O241">
        <v>0</v>
      </c>
      <c r="P241">
        <f>IF(C241&gt;=200000,5,IF(C241&gt;=100000,4,IF(C241&gt;=50000,3,IF(C241&gt;=10000,2,1))))</f>
        <v>2</v>
      </c>
      <c r="Q241">
        <f>IF(B241="TRANSFER",5,IF(B241="CASH_OUT",4,IF(B241="DEBIT",2,1)))</f>
        <v>4</v>
      </c>
      <c r="R241">
        <f>(P241*0.5)+(Q241*0.3)+(N241*0.1)+(M241*0.1)</f>
        <v>2.2000000000000002</v>
      </c>
      <c r="S241" t="str">
        <f t="shared" si="3"/>
        <v>MEDIUM</v>
      </c>
    </row>
    <row r="242" spans="1:19" x14ac:dyDescent="0.3">
      <c r="A242">
        <v>22</v>
      </c>
      <c r="B242" t="s">
        <v>15</v>
      </c>
      <c r="C242">
        <v>346704.55</v>
      </c>
      <c r="D242" t="s">
        <v>494</v>
      </c>
      <c r="E242">
        <v>346704.55</v>
      </c>
      <c r="F242">
        <v>0</v>
      </c>
      <c r="G242" t="s">
        <v>495</v>
      </c>
      <c r="H242">
        <v>0</v>
      </c>
      <c r="I242">
        <v>0</v>
      </c>
      <c r="J242">
        <v>1</v>
      </c>
      <c r="K242">
        <v>0</v>
      </c>
      <c r="L242">
        <v>22</v>
      </c>
      <c r="M242">
        <v>0</v>
      </c>
      <c r="N242">
        <v>1</v>
      </c>
      <c r="O242">
        <v>346704.55</v>
      </c>
      <c r="P242">
        <f>IF(C242&gt;=200000,5,IF(C242&gt;=100000,4,IF(C242&gt;=50000,3,IF(C242&gt;=10000,2,1))))</f>
        <v>5</v>
      </c>
      <c r="Q242">
        <f>IF(B242="TRANSFER",5,IF(B242="CASH_OUT",4,IF(B242="DEBIT",2,1)))</f>
        <v>5</v>
      </c>
      <c r="R242">
        <f>(P242*0.5)+(Q242*0.3)+(N242*0.1)+(M242*0.1)</f>
        <v>4.0999999999999996</v>
      </c>
      <c r="S242" t="str">
        <f t="shared" si="3"/>
        <v>HIGH</v>
      </c>
    </row>
    <row r="243" spans="1:19" x14ac:dyDescent="0.3">
      <c r="A243">
        <v>22</v>
      </c>
      <c r="B243" t="s">
        <v>18</v>
      </c>
      <c r="C243">
        <v>346704.55</v>
      </c>
      <c r="D243" t="s">
        <v>496</v>
      </c>
      <c r="E243">
        <v>346704.55</v>
      </c>
      <c r="F243">
        <v>0</v>
      </c>
      <c r="G243" t="s">
        <v>497</v>
      </c>
      <c r="H243">
        <v>513994.79</v>
      </c>
      <c r="I243">
        <v>860699.34</v>
      </c>
      <c r="J243">
        <v>1</v>
      </c>
      <c r="K243">
        <v>0</v>
      </c>
      <c r="L243">
        <v>22</v>
      </c>
      <c r="M243">
        <v>0</v>
      </c>
      <c r="N243">
        <v>1</v>
      </c>
      <c r="O243">
        <v>346704.55</v>
      </c>
      <c r="P243">
        <f>IF(C243&gt;=200000,5,IF(C243&gt;=100000,4,IF(C243&gt;=50000,3,IF(C243&gt;=10000,2,1))))</f>
        <v>5</v>
      </c>
      <c r="Q243">
        <f>IF(B243="TRANSFER",5,IF(B243="CASH_OUT",4,IF(B243="DEBIT",2,1)))</f>
        <v>4</v>
      </c>
      <c r="R243">
        <f>(P243*0.5)+(Q243*0.3)+(N243*0.1)+(M243*0.1)</f>
        <v>3.8000000000000003</v>
      </c>
      <c r="S243" t="str">
        <f t="shared" si="3"/>
        <v>HIGH</v>
      </c>
    </row>
    <row r="244" spans="1:19" x14ac:dyDescent="0.3">
      <c r="A244">
        <v>22</v>
      </c>
      <c r="B244" t="s">
        <v>15</v>
      </c>
      <c r="C244">
        <v>461509.86</v>
      </c>
      <c r="D244" t="s">
        <v>498</v>
      </c>
      <c r="E244">
        <v>461509.86</v>
      </c>
      <c r="F244">
        <v>0</v>
      </c>
      <c r="G244" t="s">
        <v>499</v>
      </c>
      <c r="H244">
        <v>0</v>
      </c>
      <c r="I244">
        <v>0</v>
      </c>
      <c r="J244">
        <v>1</v>
      </c>
      <c r="K244">
        <v>0</v>
      </c>
      <c r="L244">
        <v>22</v>
      </c>
      <c r="M244">
        <v>0</v>
      </c>
      <c r="N244">
        <v>1</v>
      </c>
      <c r="O244">
        <v>461509.86</v>
      </c>
      <c r="P244">
        <f>IF(C244&gt;=200000,5,IF(C244&gt;=100000,4,IF(C244&gt;=50000,3,IF(C244&gt;=10000,2,1))))</f>
        <v>5</v>
      </c>
      <c r="Q244">
        <f>IF(B244="TRANSFER",5,IF(B244="CASH_OUT",4,IF(B244="DEBIT",2,1)))</f>
        <v>5</v>
      </c>
      <c r="R244">
        <f>(P244*0.5)+(Q244*0.3)+(N244*0.1)+(M244*0.1)</f>
        <v>4.0999999999999996</v>
      </c>
      <c r="S244" t="str">
        <f t="shared" si="3"/>
        <v>HIGH</v>
      </c>
    </row>
    <row r="245" spans="1:19" x14ac:dyDescent="0.3">
      <c r="A245">
        <v>22</v>
      </c>
      <c r="B245" t="s">
        <v>18</v>
      </c>
      <c r="C245">
        <v>461509.86</v>
      </c>
      <c r="D245" t="s">
        <v>500</v>
      </c>
      <c r="E245">
        <v>461509.86</v>
      </c>
      <c r="F245">
        <v>0</v>
      </c>
      <c r="G245" t="s">
        <v>501</v>
      </c>
      <c r="H245">
        <v>302583.81</v>
      </c>
      <c r="I245">
        <v>764093.67</v>
      </c>
      <c r="J245">
        <v>1</v>
      </c>
      <c r="K245">
        <v>0</v>
      </c>
      <c r="L245">
        <v>22</v>
      </c>
      <c r="M245">
        <v>0</v>
      </c>
      <c r="N245">
        <v>1</v>
      </c>
      <c r="O245">
        <v>461509.86</v>
      </c>
      <c r="P245">
        <f>IF(C245&gt;=200000,5,IF(C245&gt;=100000,4,IF(C245&gt;=50000,3,IF(C245&gt;=10000,2,1))))</f>
        <v>5</v>
      </c>
      <c r="Q245">
        <f>IF(B245="TRANSFER",5,IF(B245="CASH_OUT",4,IF(B245="DEBIT",2,1)))</f>
        <v>4</v>
      </c>
      <c r="R245">
        <f>(P245*0.5)+(Q245*0.3)+(N245*0.1)+(M245*0.1)</f>
        <v>3.8000000000000003</v>
      </c>
      <c r="S245" t="str">
        <f t="shared" si="3"/>
        <v>HIGH</v>
      </c>
    </row>
    <row r="246" spans="1:19" x14ac:dyDescent="0.3">
      <c r="A246">
        <v>22</v>
      </c>
      <c r="B246" t="s">
        <v>15</v>
      </c>
      <c r="C246">
        <v>37100.29</v>
      </c>
      <c r="D246" t="s">
        <v>502</v>
      </c>
      <c r="E246">
        <v>37100.29</v>
      </c>
      <c r="F246">
        <v>0</v>
      </c>
      <c r="G246" t="s">
        <v>503</v>
      </c>
      <c r="H246">
        <v>0</v>
      </c>
      <c r="I246">
        <v>0</v>
      </c>
      <c r="J246">
        <v>1</v>
      </c>
      <c r="K246">
        <v>0</v>
      </c>
      <c r="L246">
        <v>22</v>
      </c>
      <c r="M246">
        <v>0</v>
      </c>
      <c r="N246">
        <v>1</v>
      </c>
      <c r="O246">
        <v>37100.29</v>
      </c>
      <c r="P246">
        <f>IF(C246&gt;=200000,5,IF(C246&gt;=100000,4,IF(C246&gt;=50000,3,IF(C246&gt;=10000,2,1))))</f>
        <v>2</v>
      </c>
      <c r="Q246">
        <f>IF(B246="TRANSFER",5,IF(B246="CASH_OUT",4,IF(B246="DEBIT",2,1)))</f>
        <v>5</v>
      </c>
      <c r="R246">
        <f>(P246*0.5)+(Q246*0.3)+(N246*0.1)+(M246*0.1)</f>
        <v>2.6</v>
      </c>
      <c r="S246" t="str">
        <f t="shared" si="3"/>
        <v>MEDIUM</v>
      </c>
    </row>
    <row r="247" spans="1:19" x14ac:dyDescent="0.3">
      <c r="A247">
        <v>22</v>
      </c>
      <c r="B247" t="s">
        <v>18</v>
      </c>
      <c r="C247">
        <v>37100.29</v>
      </c>
      <c r="D247" t="s">
        <v>504</v>
      </c>
      <c r="E247">
        <v>37100.29</v>
      </c>
      <c r="F247">
        <v>0</v>
      </c>
      <c r="G247" t="s">
        <v>505</v>
      </c>
      <c r="H247">
        <v>433212.41</v>
      </c>
      <c r="I247">
        <v>470312.7</v>
      </c>
      <c r="J247">
        <v>1</v>
      </c>
      <c r="K247">
        <v>0</v>
      </c>
      <c r="L247">
        <v>22</v>
      </c>
      <c r="M247">
        <v>0</v>
      </c>
      <c r="N247">
        <v>1</v>
      </c>
      <c r="O247">
        <v>37100.29</v>
      </c>
      <c r="P247">
        <f>IF(C247&gt;=200000,5,IF(C247&gt;=100000,4,IF(C247&gt;=50000,3,IF(C247&gt;=10000,2,1))))</f>
        <v>2</v>
      </c>
      <c r="Q247">
        <f>IF(B247="TRANSFER",5,IF(B247="CASH_OUT",4,IF(B247="DEBIT",2,1)))</f>
        <v>4</v>
      </c>
      <c r="R247">
        <f>(P247*0.5)+(Q247*0.3)+(N247*0.1)+(M247*0.1)</f>
        <v>2.3000000000000003</v>
      </c>
      <c r="S247" t="str">
        <f t="shared" si="3"/>
        <v>MEDIUM</v>
      </c>
    </row>
    <row r="248" spans="1:19" x14ac:dyDescent="0.3">
      <c r="A248">
        <v>22</v>
      </c>
      <c r="B248" t="s">
        <v>15</v>
      </c>
      <c r="C248">
        <v>235512.2</v>
      </c>
      <c r="D248" t="s">
        <v>506</v>
      </c>
      <c r="E248">
        <v>235512.2</v>
      </c>
      <c r="F248">
        <v>0</v>
      </c>
      <c r="G248" t="s">
        <v>507</v>
      </c>
      <c r="H248">
        <v>0</v>
      </c>
      <c r="I248">
        <v>0</v>
      </c>
      <c r="J248">
        <v>1</v>
      </c>
      <c r="K248">
        <v>0</v>
      </c>
      <c r="L248">
        <v>22</v>
      </c>
      <c r="M248">
        <v>0</v>
      </c>
      <c r="N248">
        <v>1</v>
      </c>
      <c r="O248">
        <v>235512.2</v>
      </c>
      <c r="P248">
        <f>IF(C248&gt;=200000,5,IF(C248&gt;=100000,4,IF(C248&gt;=50000,3,IF(C248&gt;=10000,2,1))))</f>
        <v>5</v>
      </c>
      <c r="Q248">
        <f>IF(B248="TRANSFER",5,IF(B248="CASH_OUT",4,IF(B248="DEBIT",2,1)))</f>
        <v>5</v>
      </c>
      <c r="R248">
        <f>(P248*0.5)+(Q248*0.3)+(N248*0.1)+(M248*0.1)</f>
        <v>4.0999999999999996</v>
      </c>
      <c r="S248" t="str">
        <f t="shared" si="3"/>
        <v>HIGH</v>
      </c>
    </row>
    <row r="249" spans="1:19" x14ac:dyDescent="0.3">
      <c r="A249">
        <v>22</v>
      </c>
      <c r="B249" t="s">
        <v>18</v>
      </c>
      <c r="C249">
        <v>235512.2</v>
      </c>
      <c r="D249" t="s">
        <v>508</v>
      </c>
      <c r="E249">
        <v>235512.2</v>
      </c>
      <c r="F249">
        <v>0</v>
      </c>
      <c r="G249" t="s">
        <v>509</v>
      </c>
      <c r="H249">
        <v>8490637.2100000009</v>
      </c>
      <c r="I249">
        <v>9272647.0899999999</v>
      </c>
      <c r="J249">
        <v>1</v>
      </c>
      <c r="K249">
        <v>0</v>
      </c>
      <c r="L249">
        <v>22</v>
      </c>
      <c r="M249">
        <v>0</v>
      </c>
      <c r="N249">
        <v>1</v>
      </c>
      <c r="O249">
        <v>235512.2</v>
      </c>
      <c r="P249">
        <f>IF(C249&gt;=200000,5,IF(C249&gt;=100000,4,IF(C249&gt;=50000,3,IF(C249&gt;=10000,2,1))))</f>
        <v>5</v>
      </c>
      <c r="Q249">
        <f>IF(B249="TRANSFER",5,IF(B249="CASH_OUT",4,IF(B249="DEBIT",2,1)))</f>
        <v>4</v>
      </c>
      <c r="R249">
        <f>(P249*0.5)+(Q249*0.3)+(N249*0.1)+(M249*0.1)</f>
        <v>3.8000000000000003</v>
      </c>
      <c r="S249" t="str">
        <f t="shared" si="3"/>
        <v>HIGH</v>
      </c>
    </row>
    <row r="250" spans="1:19" x14ac:dyDescent="0.3">
      <c r="A250">
        <v>22</v>
      </c>
      <c r="B250" t="s">
        <v>15</v>
      </c>
      <c r="C250">
        <v>2068118.36</v>
      </c>
      <c r="D250" t="s">
        <v>510</v>
      </c>
      <c r="E250">
        <v>2068118.36</v>
      </c>
      <c r="F250">
        <v>0</v>
      </c>
      <c r="G250" t="s">
        <v>511</v>
      </c>
      <c r="H250">
        <v>0</v>
      </c>
      <c r="I250">
        <v>0</v>
      </c>
      <c r="J250">
        <v>1</v>
      </c>
      <c r="K250">
        <v>0</v>
      </c>
      <c r="L250">
        <v>22</v>
      </c>
      <c r="M250">
        <v>0</v>
      </c>
      <c r="N250">
        <v>1</v>
      </c>
      <c r="O250">
        <v>2068118.36</v>
      </c>
      <c r="P250">
        <f>IF(C250&gt;=200000,5,IF(C250&gt;=100000,4,IF(C250&gt;=50000,3,IF(C250&gt;=10000,2,1))))</f>
        <v>5</v>
      </c>
      <c r="Q250">
        <f>IF(B250="TRANSFER",5,IF(B250="CASH_OUT",4,IF(B250="DEBIT",2,1)))</f>
        <v>5</v>
      </c>
      <c r="R250">
        <f>(P250*0.5)+(Q250*0.3)+(N250*0.1)+(M250*0.1)</f>
        <v>4.0999999999999996</v>
      </c>
      <c r="S250" t="str">
        <f t="shared" si="3"/>
        <v>HIGH</v>
      </c>
    </row>
    <row r="251" spans="1:19" x14ac:dyDescent="0.3">
      <c r="A251">
        <v>22</v>
      </c>
      <c r="B251" t="s">
        <v>18</v>
      </c>
      <c r="C251">
        <v>2068118.36</v>
      </c>
      <c r="D251" t="s">
        <v>512</v>
      </c>
      <c r="E251">
        <v>2068118.36</v>
      </c>
      <c r="F251">
        <v>0</v>
      </c>
      <c r="G251" t="s">
        <v>513</v>
      </c>
      <c r="H251">
        <v>3054285.45</v>
      </c>
      <c r="I251">
        <v>5122403.8099999996</v>
      </c>
      <c r="J251">
        <v>1</v>
      </c>
      <c r="K251">
        <v>0</v>
      </c>
      <c r="L251">
        <v>22</v>
      </c>
      <c r="M251">
        <v>0</v>
      </c>
      <c r="N251">
        <v>1</v>
      </c>
      <c r="O251">
        <v>2068118.36</v>
      </c>
      <c r="P251">
        <f>IF(C251&gt;=200000,5,IF(C251&gt;=100000,4,IF(C251&gt;=50000,3,IF(C251&gt;=10000,2,1))))</f>
        <v>5</v>
      </c>
      <c r="Q251">
        <f>IF(B251="TRANSFER",5,IF(B251="CASH_OUT",4,IF(B251="DEBIT",2,1)))</f>
        <v>4</v>
      </c>
      <c r="R251">
        <f>(P251*0.5)+(Q251*0.3)+(N251*0.1)+(M251*0.1)</f>
        <v>3.8000000000000003</v>
      </c>
      <c r="S251" t="str">
        <f t="shared" si="3"/>
        <v>HIGH</v>
      </c>
    </row>
    <row r="252" spans="1:19" x14ac:dyDescent="0.3">
      <c r="A252">
        <v>22</v>
      </c>
      <c r="B252" t="s">
        <v>15</v>
      </c>
      <c r="C252">
        <v>74804.240000000005</v>
      </c>
      <c r="D252" t="s">
        <v>514</v>
      </c>
      <c r="E252">
        <v>74804.240000000005</v>
      </c>
      <c r="F252">
        <v>0</v>
      </c>
      <c r="G252" t="s">
        <v>515</v>
      </c>
      <c r="H252">
        <v>0</v>
      </c>
      <c r="I252">
        <v>0</v>
      </c>
      <c r="J252">
        <v>1</v>
      </c>
      <c r="K252">
        <v>0</v>
      </c>
      <c r="L252">
        <v>22</v>
      </c>
      <c r="M252">
        <v>0</v>
      </c>
      <c r="N252">
        <v>1</v>
      </c>
      <c r="O252">
        <v>74804.240000000005</v>
      </c>
      <c r="P252">
        <f>IF(C252&gt;=200000,5,IF(C252&gt;=100000,4,IF(C252&gt;=50000,3,IF(C252&gt;=10000,2,1))))</f>
        <v>3</v>
      </c>
      <c r="Q252">
        <f>IF(B252="TRANSFER",5,IF(B252="CASH_OUT",4,IF(B252="DEBIT",2,1)))</f>
        <v>5</v>
      </c>
      <c r="R252">
        <f>(P252*0.5)+(Q252*0.3)+(N252*0.1)+(M252*0.1)</f>
        <v>3.1</v>
      </c>
      <c r="S252" t="str">
        <f t="shared" si="3"/>
        <v>HIGH</v>
      </c>
    </row>
    <row r="253" spans="1:19" x14ac:dyDescent="0.3">
      <c r="A253">
        <v>22</v>
      </c>
      <c r="B253" t="s">
        <v>18</v>
      </c>
      <c r="C253">
        <v>74804.240000000005</v>
      </c>
      <c r="D253" t="s">
        <v>516</v>
      </c>
      <c r="E253">
        <v>74804.240000000005</v>
      </c>
      <c r="F253">
        <v>0</v>
      </c>
      <c r="G253" t="s">
        <v>517</v>
      </c>
      <c r="H253">
        <v>0</v>
      </c>
      <c r="I253">
        <v>74804.240000000005</v>
      </c>
      <c r="J253">
        <v>1</v>
      </c>
      <c r="K253">
        <v>0</v>
      </c>
      <c r="L253">
        <v>22</v>
      </c>
      <c r="M253">
        <v>0</v>
      </c>
      <c r="N253">
        <v>1</v>
      </c>
      <c r="O253">
        <v>74804.240000000005</v>
      </c>
      <c r="P253">
        <f>IF(C253&gt;=200000,5,IF(C253&gt;=100000,4,IF(C253&gt;=50000,3,IF(C253&gt;=10000,2,1))))</f>
        <v>3</v>
      </c>
      <c r="Q253">
        <f>IF(B253="TRANSFER",5,IF(B253="CASH_OUT",4,IF(B253="DEBIT",2,1)))</f>
        <v>4</v>
      </c>
      <c r="R253">
        <f>(P253*0.5)+(Q253*0.3)+(N253*0.1)+(M253*0.1)</f>
        <v>2.8000000000000003</v>
      </c>
      <c r="S253" t="str">
        <f t="shared" si="3"/>
        <v>MEDIUM</v>
      </c>
    </row>
    <row r="254" spans="1:19" x14ac:dyDescent="0.3">
      <c r="A254">
        <v>22</v>
      </c>
      <c r="B254" t="s">
        <v>15</v>
      </c>
      <c r="C254">
        <v>489767.32</v>
      </c>
      <c r="D254" t="s">
        <v>518</v>
      </c>
      <c r="E254">
        <v>489767.32</v>
      </c>
      <c r="F254">
        <v>0</v>
      </c>
      <c r="G254" t="s">
        <v>519</v>
      </c>
      <c r="H254">
        <v>0</v>
      </c>
      <c r="I254">
        <v>0</v>
      </c>
      <c r="J254">
        <v>1</v>
      </c>
      <c r="K254">
        <v>0</v>
      </c>
      <c r="L254">
        <v>22</v>
      </c>
      <c r="M254">
        <v>0</v>
      </c>
      <c r="N254">
        <v>1</v>
      </c>
      <c r="O254">
        <v>489767.32</v>
      </c>
      <c r="P254">
        <f>IF(C254&gt;=200000,5,IF(C254&gt;=100000,4,IF(C254&gt;=50000,3,IF(C254&gt;=10000,2,1))))</f>
        <v>5</v>
      </c>
      <c r="Q254">
        <f>IF(B254="TRANSFER",5,IF(B254="CASH_OUT",4,IF(B254="DEBIT",2,1)))</f>
        <v>5</v>
      </c>
      <c r="R254">
        <f>(P254*0.5)+(Q254*0.3)+(N254*0.1)+(M254*0.1)</f>
        <v>4.0999999999999996</v>
      </c>
      <c r="S254" t="str">
        <f t="shared" si="3"/>
        <v>HIGH</v>
      </c>
    </row>
    <row r="255" spans="1:19" x14ac:dyDescent="0.3">
      <c r="A255">
        <v>22</v>
      </c>
      <c r="B255" t="s">
        <v>18</v>
      </c>
      <c r="C255">
        <v>489767.32</v>
      </c>
      <c r="D255" t="s">
        <v>520</v>
      </c>
      <c r="E255">
        <v>489767.32</v>
      </c>
      <c r="F255">
        <v>0</v>
      </c>
      <c r="G255" t="s">
        <v>521</v>
      </c>
      <c r="H255">
        <v>0</v>
      </c>
      <c r="I255">
        <v>489767.32</v>
      </c>
      <c r="J255">
        <v>1</v>
      </c>
      <c r="K255">
        <v>0</v>
      </c>
      <c r="L255">
        <v>22</v>
      </c>
      <c r="M255">
        <v>0</v>
      </c>
      <c r="N255">
        <v>1</v>
      </c>
      <c r="O255">
        <v>489767.32</v>
      </c>
      <c r="P255">
        <f>IF(C255&gt;=200000,5,IF(C255&gt;=100000,4,IF(C255&gt;=50000,3,IF(C255&gt;=10000,2,1))))</f>
        <v>5</v>
      </c>
      <c r="Q255">
        <f>IF(B255="TRANSFER",5,IF(B255="CASH_OUT",4,IF(B255="DEBIT",2,1)))</f>
        <v>4</v>
      </c>
      <c r="R255">
        <f>(P255*0.5)+(Q255*0.3)+(N255*0.1)+(M255*0.1)</f>
        <v>3.8000000000000003</v>
      </c>
      <c r="S255" t="str">
        <f t="shared" si="3"/>
        <v>HIGH</v>
      </c>
    </row>
    <row r="256" spans="1:19" x14ac:dyDescent="0.3">
      <c r="A256">
        <v>22</v>
      </c>
      <c r="B256" t="s">
        <v>15</v>
      </c>
      <c r="C256">
        <v>379878</v>
      </c>
      <c r="D256" t="s">
        <v>522</v>
      </c>
      <c r="E256">
        <v>379878</v>
      </c>
      <c r="F256">
        <v>0</v>
      </c>
      <c r="G256" t="s">
        <v>523</v>
      </c>
      <c r="H256">
        <v>0</v>
      </c>
      <c r="I256">
        <v>0</v>
      </c>
      <c r="J256">
        <v>1</v>
      </c>
      <c r="K256">
        <v>0</v>
      </c>
      <c r="L256">
        <v>22</v>
      </c>
      <c r="M256">
        <v>0</v>
      </c>
      <c r="N256">
        <v>1</v>
      </c>
      <c r="O256">
        <v>379878</v>
      </c>
      <c r="P256">
        <f>IF(C256&gt;=200000,5,IF(C256&gt;=100000,4,IF(C256&gt;=50000,3,IF(C256&gt;=10000,2,1))))</f>
        <v>5</v>
      </c>
      <c r="Q256">
        <f>IF(B256="TRANSFER",5,IF(B256="CASH_OUT",4,IF(B256="DEBIT",2,1)))</f>
        <v>5</v>
      </c>
      <c r="R256">
        <f>(P256*0.5)+(Q256*0.3)+(N256*0.1)+(M256*0.1)</f>
        <v>4.0999999999999996</v>
      </c>
      <c r="S256" t="str">
        <f t="shared" si="3"/>
        <v>HIGH</v>
      </c>
    </row>
    <row r="257" spans="1:19" x14ac:dyDescent="0.3">
      <c r="A257">
        <v>22</v>
      </c>
      <c r="B257" t="s">
        <v>18</v>
      </c>
      <c r="C257">
        <v>379878</v>
      </c>
      <c r="D257" t="s">
        <v>524</v>
      </c>
      <c r="E257">
        <v>379878</v>
      </c>
      <c r="F257">
        <v>0</v>
      </c>
      <c r="G257" t="s">
        <v>525</v>
      </c>
      <c r="H257">
        <v>1301414.19</v>
      </c>
      <c r="I257">
        <v>1681292.19</v>
      </c>
      <c r="J257">
        <v>1</v>
      </c>
      <c r="K257">
        <v>0</v>
      </c>
      <c r="L257">
        <v>22</v>
      </c>
      <c r="M257">
        <v>0</v>
      </c>
      <c r="N257">
        <v>1</v>
      </c>
      <c r="O257">
        <v>379878</v>
      </c>
      <c r="P257">
        <f>IF(C257&gt;=200000,5,IF(C257&gt;=100000,4,IF(C257&gt;=50000,3,IF(C257&gt;=10000,2,1))))</f>
        <v>5</v>
      </c>
      <c r="Q257">
        <f>IF(B257="TRANSFER",5,IF(B257="CASH_OUT",4,IF(B257="DEBIT",2,1)))</f>
        <v>4</v>
      </c>
      <c r="R257">
        <f>(P257*0.5)+(Q257*0.3)+(N257*0.1)+(M257*0.1)</f>
        <v>3.8000000000000003</v>
      </c>
      <c r="S257" t="str">
        <f t="shared" si="3"/>
        <v>HIGH</v>
      </c>
    </row>
    <row r="258" spans="1:19" x14ac:dyDescent="0.3">
      <c r="A258">
        <v>22</v>
      </c>
      <c r="B258" t="s">
        <v>18</v>
      </c>
      <c r="C258">
        <v>89571.46</v>
      </c>
      <c r="D258" t="s">
        <v>526</v>
      </c>
      <c r="E258">
        <v>4505.6000000000004</v>
      </c>
      <c r="F258">
        <v>0</v>
      </c>
      <c r="G258" t="s">
        <v>527</v>
      </c>
      <c r="H258">
        <v>1929428.01</v>
      </c>
      <c r="I258">
        <v>2018999.47</v>
      </c>
      <c r="J258">
        <v>1</v>
      </c>
      <c r="K258">
        <v>0</v>
      </c>
      <c r="L258">
        <v>22</v>
      </c>
      <c r="M258">
        <v>0</v>
      </c>
      <c r="N258">
        <v>1</v>
      </c>
      <c r="O258">
        <v>4505.6000000000004</v>
      </c>
      <c r="P258">
        <f>IF(C258&gt;=200000,5,IF(C258&gt;=100000,4,IF(C258&gt;=50000,3,IF(C258&gt;=10000,2,1))))</f>
        <v>3</v>
      </c>
      <c r="Q258">
        <f>IF(B258="TRANSFER",5,IF(B258="CASH_OUT",4,IF(B258="DEBIT",2,1)))</f>
        <v>4</v>
      </c>
      <c r="R258">
        <f>(P258*0.5)+(Q258*0.3)+(N258*0.1)+(M258*0.1)</f>
        <v>2.8000000000000003</v>
      </c>
      <c r="S258" t="str">
        <f t="shared" si="3"/>
        <v>MEDIUM</v>
      </c>
    </row>
    <row r="259" spans="1:19" x14ac:dyDescent="0.3">
      <c r="A259">
        <v>22</v>
      </c>
      <c r="B259" t="s">
        <v>15</v>
      </c>
      <c r="C259">
        <v>1258956.71</v>
      </c>
      <c r="D259" t="s">
        <v>528</v>
      </c>
      <c r="E259">
        <v>1258956.71</v>
      </c>
      <c r="F259">
        <v>0</v>
      </c>
      <c r="G259" t="s">
        <v>529</v>
      </c>
      <c r="H259">
        <v>0</v>
      </c>
      <c r="I259">
        <v>0</v>
      </c>
      <c r="J259">
        <v>1</v>
      </c>
      <c r="K259">
        <v>0</v>
      </c>
      <c r="L259">
        <v>22</v>
      </c>
      <c r="M259">
        <v>0</v>
      </c>
      <c r="N259">
        <v>1</v>
      </c>
      <c r="O259">
        <v>1258956.71</v>
      </c>
      <c r="P259">
        <f>IF(C259&gt;=200000,5,IF(C259&gt;=100000,4,IF(C259&gt;=50000,3,IF(C259&gt;=10000,2,1))))</f>
        <v>5</v>
      </c>
      <c r="Q259">
        <f>IF(B259="TRANSFER",5,IF(B259="CASH_OUT",4,IF(B259="DEBIT",2,1)))</f>
        <v>5</v>
      </c>
      <c r="R259">
        <f>(P259*0.5)+(Q259*0.3)+(N259*0.1)+(M259*0.1)</f>
        <v>4.0999999999999996</v>
      </c>
      <c r="S259" t="str">
        <f t="shared" ref="S259:S322" si="4">IF(R259&gt;=3,"HIGH",IF(R259&gt;=2,"MEDIUM","LOW"))</f>
        <v>HIGH</v>
      </c>
    </row>
    <row r="260" spans="1:19" x14ac:dyDescent="0.3">
      <c r="A260">
        <v>22</v>
      </c>
      <c r="B260" t="s">
        <v>18</v>
      </c>
      <c r="C260">
        <v>1258956.71</v>
      </c>
      <c r="D260" t="s">
        <v>530</v>
      </c>
      <c r="E260">
        <v>1258956.71</v>
      </c>
      <c r="F260">
        <v>0</v>
      </c>
      <c r="G260" t="s">
        <v>531</v>
      </c>
      <c r="H260">
        <v>4736010.72</v>
      </c>
      <c r="I260">
        <v>5994967.4299999997</v>
      </c>
      <c r="J260">
        <v>1</v>
      </c>
      <c r="K260">
        <v>0</v>
      </c>
      <c r="L260">
        <v>22</v>
      </c>
      <c r="M260">
        <v>0</v>
      </c>
      <c r="N260">
        <v>1</v>
      </c>
      <c r="O260">
        <v>1258956.71</v>
      </c>
      <c r="P260">
        <f>IF(C260&gt;=200000,5,IF(C260&gt;=100000,4,IF(C260&gt;=50000,3,IF(C260&gt;=10000,2,1))))</f>
        <v>5</v>
      </c>
      <c r="Q260">
        <f>IF(B260="TRANSFER",5,IF(B260="CASH_OUT",4,IF(B260="DEBIT",2,1)))</f>
        <v>4</v>
      </c>
      <c r="R260">
        <f>(P260*0.5)+(Q260*0.3)+(N260*0.1)+(M260*0.1)</f>
        <v>3.8000000000000003</v>
      </c>
      <c r="S260" t="str">
        <f t="shared" si="4"/>
        <v>HIGH</v>
      </c>
    </row>
    <row r="261" spans="1:19" x14ac:dyDescent="0.3">
      <c r="A261">
        <v>22</v>
      </c>
      <c r="B261" t="s">
        <v>15</v>
      </c>
      <c r="C261">
        <v>77773.14</v>
      </c>
      <c r="D261" t="s">
        <v>532</v>
      </c>
      <c r="E261">
        <v>77773.14</v>
      </c>
      <c r="F261">
        <v>0</v>
      </c>
      <c r="G261" t="s">
        <v>533</v>
      </c>
      <c r="H261">
        <v>0</v>
      </c>
      <c r="I261">
        <v>0</v>
      </c>
      <c r="J261">
        <v>1</v>
      </c>
      <c r="K261">
        <v>0</v>
      </c>
      <c r="L261">
        <v>22</v>
      </c>
      <c r="M261">
        <v>0</v>
      </c>
      <c r="N261">
        <v>1</v>
      </c>
      <c r="O261">
        <v>77773.14</v>
      </c>
      <c r="P261">
        <f>IF(C261&gt;=200000,5,IF(C261&gt;=100000,4,IF(C261&gt;=50000,3,IF(C261&gt;=10000,2,1))))</f>
        <v>3</v>
      </c>
      <c r="Q261">
        <f>IF(B261="TRANSFER",5,IF(B261="CASH_OUT",4,IF(B261="DEBIT",2,1)))</f>
        <v>5</v>
      </c>
      <c r="R261">
        <f>(P261*0.5)+(Q261*0.3)+(N261*0.1)+(M261*0.1)</f>
        <v>3.1</v>
      </c>
      <c r="S261" t="str">
        <f t="shared" si="4"/>
        <v>HIGH</v>
      </c>
    </row>
    <row r="262" spans="1:19" x14ac:dyDescent="0.3">
      <c r="A262">
        <v>22</v>
      </c>
      <c r="B262" t="s">
        <v>18</v>
      </c>
      <c r="C262">
        <v>77773.14</v>
      </c>
      <c r="D262" t="s">
        <v>534</v>
      </c>
      <c r="E262">
        <v>77773.14</v>
      </c>
      <c r="F262">
        <v>0</v>
      </c>
      <c r="G262" t="s">
        <v>535</v>
      </c>
      <c r="H262">
        <v>1853403.61</v>
      </c>
      <c r="I262">
        <v>1931176.75</v>
      </c>
      <c r="J262">
        <v>1</v>
      </c>
      <c r="K262">
        <v>0</v>
      </c>
      <c r="L262">
        <v>22</v>
      </c>
      <c r="M262">
        <v>0</v>
      </c>
      <c r="N262">
        <v>1</v>
      </c>
      <c r="O262">
        <v>77773.14</v>
      </c>
      <c r="P262">
        <f>IF(C262&gt;=200000,5,IF(C262&gt;=100000,4,IF(C262&gt;=50000,3,IF(C262&gt;=10000,2,1))))</f>
        <v>3</v>
      </c>
      <c r="Q262">
        <f>IF(B262="TRANSFER",5,IF(B262="CASH_OUT",4,IF(B262="DEBIT",2,1)))</f>
        <v>4</v>
      </c>
      <c r="R262">
        <f>(P262*0.5)+(Q262*0.3)+(N262*0.1)+(M262*0.1)</f>
        <v>2.8000000000000003</v>
      </c>
      <c r="S262" t="str">
        <f t="shared" si="4"/>
        <v>MEDIUM</v>
      </c>
    </row>
    <row r="263" spans="1:19" x14ac:dyDescent="0.3">
      <c r="A263">
        <v>22</v>
      </c>
      <c r="B263" t="s">
        <v>15</v>
      </c>
      <c r="C263">
        <v>239646.72</v>
      </c>
      <c r="D263" t="s">
        <v>536</v>
      </c>
      <c r="E263">
        <v>239646.72</v>
      </c>
      <c r="F263">
        <v>0</v>
      </c>
      <c r="G263" t="s">
        <v>537</v>
      </c>
      <c r="H263">
        <v>0</v>
      </c>
      <c r="I263">
        <v>0</v>
      </c>
      <c r="J263">
        <v>1</v>
      </c>
      <c r="K263">
        <v>0</v>
      </c>
      <c r="L263">
        <v>22</v>
      </c>
      <c r="M263">
        <v>0</v>
      </c>
      <c r="N263">
        <v>1</v>
      </c>
      <c r="O263">
        <v>239646.72</v>
      </c>
      <c r="P263">
        <f>IF(C263&gt;=200000,5,IF(C263&gt;=100000,4,IF(C263&gt;=50000,3,IF(C263&gt;=10000,2,1))))</f>
        <v>5</v>
      </c>
      <c r="Q263">
        <f>IF(B263="TRANSFER",5,IF(B263="CASH_OUT",4,IF(B263="DEBIT",2,1)))</f>
        <v>5</v>
      </c>
      <c r="R263">
        <f>(P263*0.5)+(Q263*0.3)+(N263*0.1)+(M263*0.1)</f>
        <v>4.0999999999999996</v>
      </c>
      <c r="S263" t="str">
        <f t="shared" si="4"/>
        <v>HIGH</v>
      </c>
    </row>
    <row r="264" spans="1:19" x14ac:dyDescent="0.3">
      <c r="A264">
        <v>22</v>
      </c>
      <c r="B264" t="s">
        <v>18</v>
      </c>
      <c r="C264">
        <v>239646.72</v>
      </c>
      <c r="D264" t="s">
        <v>538</v>
      </c>
      <c r="E264">
        <v>239646.72</v>
      </c>
      <c r="F264">
        <v>0</v>
      </c>
      <c r="G264" t="s">
        <v>539</v>
      </c>
      <c r="H264">
        <v>2208970.2599999998</v>
      </c>
      <c r="I264">
        <v>2448616.98</v>
      </c>
      <c r="J264">
        <v>1</v>
      </c>
      <c r="K264">
        <v>0</v>
      </c>
      <c r="L264">
        <v>22</v>
      </c>
      <c r="M264">
        <v>0</v>
      </c>
      <c r="N264">
        <v>1</v>
      </c>
      <c r="O264">
        <v>239646.72</v>
      </c>
      <c r="P264">
        <f>IF(C264&gt;=200000,5,IF(C264&gt;=100000,4,IF(C264&gt;=50000,3,IF(C264&gt;=10000,2,1))))</f>
        <v>5</v>
      </c>
      <c r="Q264">
        <f>IF(B264="TRANSFER",5,IF(B264="CASH_OUT",4,IF(B264="DEBIT",2,1)))</f>
        <v>4</v>
      </c>
      <c r="R264">
        <f>(P264*0.5)+(Q264*0.3)+(N264*0.1)+(M264*0.1)</f>
        <v>3.8000000000000003</v>
      </c>
      <c r="S264" t="str">
        <f t="shared" si="4"/>
        <v>HIGH</v>
      </c>
    </row>
    <row r="265" spans="1:19" x14ac:dyDescent="0.3">
      <c r="A265">
        <v>23</v>
      </c>
      <c r="B265" t="s">
        <v>15</v>
      </c>
      <c r="C265">
        <v>146127.1</v>
      </c>
      <c r="D265" t="s">
        <v>540</v>
      </c>
      <c r="E265">
        <v>146127.1</v>
      </c>
      <c r="F265">
        <v>0</v>
      </c>
      <c r="G265" t="s">
        <v>541</v>
      </c>
      <c r="H265">
        <v>0</v>
      </c>
      <c r="I265">
        <v>0</v>
      </c>
      <c r="J265">
        <v>1</v>
      </c>
      <c r="K265">
        <v>0</v>
      </c>
      <c r="L265">
        <v>23</v>
      </c>
      <c r="M265">
        <v>0</v>
      </c>
      <c r="N265">
        <v>1</v>
      </c>
      <c r="O265">
        <v>146127.1</v>
      </c>
      <c r="P265">
        <f>IF(C265&gt;=200000,5,IF(C265&gt;=100000,4,IF(C265&gt;=50000,3,IF(C265&gt;=10000,2,1))))</f>
        <v>4</v>
      </c>
      <c r="Q265">
        <f>IF(B265="TRANSFER",5,IF(B265="CASH_OUT",4,IF(B265="DEBIT",2,1)))</f>
        <v>5</v>
      </c>
      <c r="R265">
        <f>(P265*0.5)+(Q265*0.3)+(N265*0.1)+(M265*0.1)</f>
        <v>3.6</v>
      </c>
      <c r="S265" t="str">
        <f t="shared" si="4"/>
        <v>HIGH</v>
      </c>
    </row>
    <row r="266" spans="1:19" x14ac:dyDescent="0.3">
      <c r="A266">
        <v>23</v>
      </c>
      <c r="B266" t="s">
        <v>18</v>
      </c>
      <c r="C266">
        <v>146127.1</v>
      </c>
      <c r="D266" t="s">
        <v>542</v>
      </c>
      <c r="E266">
        <v>146127.1</v>
      </c>
      <c r="F266">
        <v>0</v>
      </c>
      <c r="G266" t="s">
        <v>543</v>
      </c>
      <c r="H266">
        <v>177874.39</v>
      </c>
      <c r="I266">
        <v>324001.49</v>
      </c>
      <c r="J266">
        <v>1</v>
      </c>
      <c r="K266">
        <v>0</v>
      </c>
      <c r="L266">
        <v>23</v>
      </c>
      <c r="M266">
        <v>0</v>
      </c>
      <c r="N266">
        <v>1</v>
      </c>
      <c r="O266">
        <v>146127.1</v>
      </c>
      <c r="P266">
        <f>IF(C266&gt;=200000,5,IF(C266&gt;=100000,4,IF(C266&gt;=50000,3,IF(C266&gt;=10000,2,1))))</f>
        <v>4</v>
      </c>
      <c r="Q266">
        <f>IF(B266="TRANSFER",5,IF(B266="CASH_OUT",4,IF(B266="DEBIT",2,1)))</f>
        <v>4</v>
      </c>
      <c r="R266">
        <f>(P266*0.5)+(Q266*0.3)+(N266*0.1)+(M266*0.1)</f>
        <v>3.3000000000000003</v>
      </c>
      <c r="S266" t="str">
        <f t="shared" si="4"/>
        <v>HIGH</v>
      </c>
    </row>
    <row r="267" spans="1:19" x14ac:dyDescent="0.3">
      <c r="A267">
        <v>24</v>
      </c>
      <c r="B267" t="s">
        <v>15</v>
      </c>
      <c r="C267">
        <v>291305.98</v>
      </c>
      <c r="D267" t="s">
        <v>544</v>
      </c>
      <c r="E267">
        <v>291305.98</v>
      </c>
      <c r="F267">
        <v>0</v>
      </c>
      <c r="G267" t="s">
        <v>545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291305.98</v>
      </c>
      <c r="P267">
        <f>IF(C267&gt;=200000,5,IF(C267&gt;=100000,4,IF(C267&gt;=50000,3,IF(C267&gt;=10000,2,1))))</f>
        <v>5</v>
      </c>
      <c r="Q267">
        <f>IF(B267="TRANSFER",5,IF(B267="CASH_OUT",4,IF(B267="DEBIT",2,1)))</f>
        <v>5</v>
      </c>
      <c r="R267">
        <f>(P267*0.5)+(Q267*0.3)+(N267*0.1)+(M267*0.1)</f>
        <v>4.0999999999999996</v>
      </c>
      <c r="S267" t="str">
        <f t="shared" si="4"/>
        <v>HIGH</v>
      </c>
    </row>
    <row r="268" spans="1:19" x14ac:dyDescent="0.3">
      <c r="A268">
        <v>24</v>
      </c>
      <c r="B268" t="s">
        <v>18</v>
      </c>
      <c r="C268">
        <v>291305.98</v>
      </c>
      <c r="D268" t="s">
        <v>546</v>
      </c>
      <c r="E268">
        <v>291305.98</v>
      </c>
      <c r="F268">
        <v>0</v>
      </c>
      <c r="G268" t="s">
        <v>547</v>
      </c>
      <c r="H268">
        <v>954554.82</v>
      </c>
      <c r="I268">
        <v>1247963.68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291305.98</v>
      </c>
      <c r="P268">
        <f>IF(C268&gt;=200000,5,IF(C268&gt;=100000,4,IF(C268&gt;=50000,3,IF(C268&gt;=10000,2,1))))</f>
        <v>5</v>
      </c>
      <c r="Q268">
        <f>IF(B268="TRANSFER",5,IF(B268="CASH_OUT",4,IF(B268="DEBIT",2,1)))</f>
        <v>4</v>
      </c>
      <c r="R268">
        <f>(P268*0.5)+(Q268*0.3)+(N268*0.1)+(M268*0.1)</f>
        <v>3.8000000000000003</v>
      </c>
      <c r="S268" t="str">
        <f t="shared" si="4"/>
        <v>HIGH</v>
      </c>
    </row>
    <row r="269" spans="1:19" x14ac:dyDescent="0.3">
      <c r="A269">
        <v>24</v>
      </c>
      <c r="B269" t="s">
        <v>15</v>
      </c>
      <c r="C269">
        <v>986876.27</v>
      </c>
      <c r="D269" t="s">
        <v>548</v>
      </c>
      <c r="E269">
        <v>986876.27</v>
      </c>
      <c r="F269">
        <v>0</v>
      </c>
      <c r="G269" t="s">
        <v>549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986876.27</v>
      </c>
      <c r="P269">
        <f>IF(C269&gt;=200000,5,IF(C269&gt;=100000,4,IF(C269&gt;=50000,3,IF(C269&gt;=10000,2,1))))</f>
        <v>5</v>
      </c>
      <c r="Q269">
        <f>IF(B269="TRANSFER",5,IF(B269="CASH_OUT",4,IF(B269="DEBIT",2,1)))</f>
        <v>5</v>
      </c>
      <c r="R269">
        <f>(P269*0.5)+(Q269*0.3)+(N269*0.1)+(M269*0.1)</f>
        <v>4.0999999999999996</v>
      </c>
      <c r="S269" t="str">
        <f t="shared" si="4"/>
        <v>HIGH</v>
      </c>
    </row>
    <row r="270" spans="1:19" x14ac:dyDescent="0.3">
      <c r="A270">
        <v>24</v>
      </c>
      <c r="B270" t="s">
        <v>18</v>
      </c>
      <c r="C270">
        <v>986876.27</v>
      </c>
      <c r="D270" t="s">
        <v>550</v>
      </c>
      <c r="E270">
        <v>986876.27</v>
      </c>
      <c r="F270">
        <v>0</v>
      </c>
      <c r="G270" t="s">
        <v>551</v>
      </c>
      <c r="H270">
        <v>57853.96</v>
      </c>
      <c r="I270">
        <v>1044730.24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986876.27</v>
      </c>
      <c r="P270">
        <f>IF(C270&gt;=200000,5,IF(C270&gt;=100000,4,IF(C270&gt;=50000,3,IF(C270&gt;=10000,2,1))))</f>
        <v>5</v>
      </c>
      <c r="Q270">
        <f>IF(B270="TRANSFER",5,IF(B270="CASH_OUT",4,IF(B270="DEBIT",2,1)))</f>
        <v>4</v>
      </c>
      <c r="R270">
        <f>(P270*0.5)+(Q270*0.3)+(N270*0.1)+(M270*0.1)</f>
        <v>3.8000000000000003</v>
      </c>
      <c r="S270" t="str">
        <f t="shared" si="4"/>
        <v>HIGH</v>
      </c>
    </row>
    <row r="271" spans="1:19" x14ac:dyDescent="0.3">
      <c r="A271">
        <v>24</v>
      </c>
      <c r="B271" t="s">
        <v>15</v>
      </c>
      <c r="C271">
        <v>6844.73</v>
      </c>
      <c r="D271" t="s">
        <v>552</v>
      </c>
      <c r="E271">
        <v>6844.73</v>
      </c>
      <c r="F271">
        <v>0</v>
      </c>
      <c r="G271" t="s">
        <v>553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6844.73</v>
      </c>
      <c r="P271">
        <f>IF(C271&gt;=200000,5,IF(C271&gt;=100000,4,IF(C271&gt;=50000,3,IF(C271&gt;=10000,2,1))))</f>
        <v>1</v>
      </c>
      <c r="Q271">
        <f>IF(B271="TRANSFER",5,IF(B271="CASH_OUT",4,IF(B271="DEBIT",2,1)))</f>
        <v>5</v>
      </c>
      <c r="R271">
        <f>(P271*0.5)+(Q271*0.3)+(N271*0.1)+(M271*0.1)</f>
        <v>2.1</v>
      </c>
      <c r="S271" t="str">
        <f t="shared" si="4"/>
        <v>MEDIUM</v>
      </c>
    </row>
    <row r="272" spans="1:19" x14ac:dyDescent="0.3">
      <c r="A272">
        <v>24</v>
      </c>
      <c r="B272" t="s">
        <v>18</v>
      </c>
      <c r="C272">
        <v>6844.73</v>
      </c>
      <c r="D272" t="s">
        <v>554</v>
      </c>
      <c r="E272">
        <v>6844.73</v>
      </c>
      <c r="F272">
        <v>0</v>
      </c>
      <c r="G272" t="s">
        <v>555</v>
      </c>
      <c r="H272">
        <v>264100.7</v>
      </c>
      <c r="I272">
        <v>270945.42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6844.73</v>
      </c>
      <c r="P272">
        <f>IF(C272&gt;=200000,5,IF(C272&gt;=100000,4,IF(C272&gt;=50000,3,IF(C272&gt;=10000,2,1))))</f>
        <v>1</v>
      </c>
      <c r="Q272">
        <f>IF(B272="TRANSFER",5,IF(B272="CASH_OUT",4,IF(B272="DEBIT",2,1)))</f>
        <v>4</v>
      </c>
      <c r="R272">
        <f>(P272*0.5)+(Q272*0.3)+(N272*0.1)+(M272*0.1)</f>
        <v>1.8</v>
      </c>
      <c r="S272" t="str">
        <f t="shared" si="4"/>
        <v>LOW</v>
      </c>
    </row>
    <row r="273" spans="1:19" x14ac:dyDescent="0.3">
      <c r="A273">
        <v>25</v>
      </c>
      <c r="B273" t="s">
        <v>15</v>
      </c>
      <c r="C273">
        <v>8383.17</v>
      </c>
      <c r="D273" t="s">
        <v>556</v>
      </c>
      <c r="E273">
        <v>8383.17</v>
      </c>
      <c r="F273">
        <v>0</v>
      </c>
      <c r="G273" t="s">
        <v>557</v>
      </c>
      <c r="H273">
        <v>0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8383.17</v>
      </c>
      <c r="P273">
        <f>IF(C273&gt;=200000,5,IF(C273&gt;=100000,4,IF(C273&gt;=50000,3,IF(C273&gt;=10000,2,1))))</f>
        <v>1</v>
      </c>
      <c r="Q273">
        <f>IF(B273="TRANSFER",5,IF(B273="CASH_OUT",4,IF(B273="DEBIT",2,1)))</f>
        <v>5</v>
      </c>
      <c r="R273">
        <f>(P273*0.5)+(Q273*0.3)+(N273*0.1)+(M273*0.1)</f>
        <v>2.1</v>
      </c>
      <c r="S273" t="str">
        <f t="shared" si="4"/>
        <v>MEDIUM</v>
      </c>
    </row>
    <row r="274" spans="1:19" x14ac:dyDescent="0.3">
      <c r="A274">
        <v>25</v>
      </c>
      <c r="B274" t="s">
        <v>18</v>
      </c>
      <c r="C274">
        <v>8383.17</v>
      </c>
      <c r="D274" t="s">
        <v>558</v>
      </c>
      <c r="E274">
        <v>8383.17</v>
      </c>
      <c r="F274">
        <v>0</v>
      </c>
      <c r="G274" t="s">
        <v>559</v>
      </c>
      <c r="H274">
        <v>6577262.6399999997</v>
      </c>
      <c r="I274">
        <v>6585645.8099999996</v>
      </c>
      <c r="J274">
        <v>1</v>
      </c>
      <c r="K274">
        <v>0</v>
      </c>
      <c r="L274">
        <v>1</v>
      </c>
      <c r="M274">
        <v>0</v>
      </c>
      <c r="N274">
        <v>1</v>
      </c>
      <c r="O274">
        <v>8383.17</v>
      </c>
      <c r="P274">
        <f>IF(C274&gt;=200000,5,IF(C274&gt;=100000,4,IF(C274&gt;=50000,3,IF(C274&gt;=10000,2,1))))</f>
        <v>1</v>
      </c>
      <c r="Q274">
        <f>IF(B274="TRANSFER",5,IF(B274="CASH_OUT",4,IF(B274="DEBIT",2,1)))</f>
        <v>4</v>
      </c>
      <c r="R274">
        <f>(P274*0.5)+(Q274*0.3)+(N274*0.1)+(M274*0.1)</f>
        <v>1.8</v>
      </c>
      <c r="S274" t="str">
        <f t="shared" si="4"/>
        <v>LOW</v>
      </c>
    </row>
    <row r="275" spans="1:19" x14ac:dyDescent="0.3">
      <c r="A275">
        <v>25</v>
      </c>
      <c r="B275" t="s">
        <v>15</v>
      </c>
      <c r="C275">
        <v>781953.11</v>
      </c>
      <c r="D275" t="s">
        <v>560</v>
      </c>
      <c r="E275">
        <v>781953.11</v>
      </c>
      <c r="F275">
        <v>0</v>
      </c>
      <c r="G275" t="s">
        <v>561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781953.11</v>
      </c>
      <c r="P275">
        <f>IF(C275&gt;=200000,5,IF(C275&gt;=100000,4,IF(C275&gt;=50000,3,IF(C275&gt;=10000,2,1))))</f>
        <v>5</v>
      </c>
      <c r="Q275">
        <f>IF(B275="TRANSFER",5,IF(B275="CASH_OUT",4,IF(B275="DEBIT",2,1)))</f>
        <v>5</v>
      </c>
      <c r="R275">
        <f>(P275*0.5)+(Q275*0.3)+(N275*0.1)+(M275*0.1)</f>
        <v>4.0999999999999996</v>
      </c>
      <c r="S275" t="str">
        <f t="shared" si="4"/>
        <v>HIGH</v>
      </c>
    </row>
    <row r="276" spans="1:19" x14ac:dyDescent="0.3">
      <c r="A276">
        <v>25</v>
      </c>
      <c r="B276" t="s">
        <v>18</v>
      </c>
      <c r="C276">
        <v>781953.11</v>
      </c>
      <c r="D276" t="s">
        <v>562</v>
      </c>
      <c r="E276">
        <v>781953.11</v>
      </c>
      <c r="F276">
        <v>0</v>
      </c>
      <c r="G276" t="s">
        <v>563</v>
      </c>
      <c r="H276">
        <v>0</v>
      </c>
      <c r="I276">
        <v>781953.11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781953.11</v>
      </c>
      <c r="P276">
        <f>IF(C276&gt;=200000,5,IF(C276&gt;=100000,4,IF(C276&gt;=50000,3,IF(C276&gt;=10000,2,1))))</f>
        <v>5</v>
      </c>
      <c r="Q276">
        <f>IF(B276="TRANSFER",5,IF(B276="CASH_OUT",4,IF(B276="DEBIT",2,1)))</f>
        <v>4</v>
      </c>
      <c r="R276">
        <f>(P276*0.5)+(Q276*0.3)+(N276*0.1)+(M276*0.1)</f>
        <v>3.8000000000000003</v>
      </c>
      <c r="S276" t="str">
        <f t="shared" si="4"/>
        <v>HIGH</v>
      </c>
    </row>
    <row r="277" spans="1:19" x14ac:dyDescent="0.3">
      <c r="A277">
        <v>25</v>
      </c>
      <c r="B277" t="s">
        <v>15</v>
      </c>
      <c r="C277">
        <v>217231</v>
      </c>
      <c r="D277" t="s">
        <v>564</v>
      </c>
      <c r="E277">
        <v>217231</v>
      </c>
      <c r="F277">
        <v>0</v>
      </c>
      <c r="G277" t="s">
        <v>565</v>
      </c>
      <c r="H277">
        <v>0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217231</v>
      </c>
      <c r="P277">
        <f>IF(C277&gt;=200000,5,IF(C277&gt;=100000,4,IF(C277&gt;=50000,3,IF(C277&gt;=10000,2,1))))</f>
        <v>5</v>
      </c>
      <c r="Q277">
        <f>IF(B277="TRANSFER",5,IF(B277="CASH_OUT",4,IF(B277="DEBIT",2,1)))</f>
        <v>5</v>
      </c>
      <c r="R277">
        <f>(P277*0.5)+(Q277*0.3)+(N277*0.1)+(M277*0.1)</f>
        <v>4.0999999999999996</v>
      </c>
      <c r="S277" t="str">
        <f t="shared" si="4"/>
        <v>HIGH</v>
      </c>
    </row>
    <row r="278" spans="1:19" x14ac:dyDescent="0.3">
      <c r="A278">
        <v>25</v>
      </c>
      <c r="B278" t="s">
        <v>18</v>
      </c>
      <c r="C278">
        <v>217231</v>
      </c>
      <c r="D278" t="s">
        <v>566</v>
      </c>
      <c r="E278">
        <v>217231</v>
      </c>
      <c r="F278">
        <v>0</v>
      </c>
      <c r="G278" t="s">
        <v>567</v>
      </c>
      <c r="H278">
        <v>7236671.0999999996</v>
      </c>
      <c r="I278">
        <v>7453902.0999999996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217231</v>
      </c>
      <c r="P278">
        <f>IF(C278&gt;=200000,5,IF(C278&gt;=100000,4,IF(C278&gt;=50000,3,IF(C278&gt;=10000,2,1))))</f>
        <v>5</v>
      </c>
      <c r="Q278">
        <f>IF(B278="TRANSFER",5,IF(B278="CASH_OUT",4,IF(B278="DEBIT",2,1)))</f>
        <v>4</v>
      </c>
      <c r="R278">
        <f>(P278*0.5)+(Q278*0.3)+(N278*0.1)+(M278*0.1)</f>
        <v>3.8000000000000003</v>
      </c>
      <c r="S278" t="str">
        <f t="shared" si="4"/>
        <v>HIGH</v>
      </c>
    </row>
    <row r="279" spans="1:19" x14ac:dyDescent="0.3">
      <c r="A279">
        <v>25</v>
      </c>
      <c r="B279" t="s">
        <v>15</v>
      </c>
      <c r="C279">
        <v>44829.81</v>
      </c>
      <c r="D279" t="s">
        <v>568</v>
      </c>
      <c r="E279">
        <v>44829.81</v>
      </c>
      <c r="F279">
        <v>0</v>
      </c>
      <c r="G279" t="s">
        <v>569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44829.81</v>
      </c>
      <c r="P279">
        <f>IF(C279&gt;=200000,5,IF(C279&gt;=100000,4,IF(C279&gt;=50000,3,IF(C279&gt;=10000,2,1))))</f>
        <v>2</v>
      </c>
      <c r="Q279">
        <f>IF(B279="TRANSFER",5,IF(B279="CASH_OUT",4,IF(B279="DEBIT",2,1)))</f>
        <v>5</v>
      </c>
      <c r="R279">
        <f>(P279*0.5)+(Q279*0.3)+(N279*0.1)+(M279*0.1)</f>
        <v>2.6</v>
      </c>
      <c r="S279" t="str">
        <f t="shared" si="4"/>
        <v>MEDIUM</v>
      </c>
    </row>
    <row r="280" spans="1:19" x14ac:dyDescent="0.3">
      <c r="A280">
        <v>25</v>
      </c>
      <c r="B280" t="s">
        <v>18</v>
      </c>
      <c r="C280">
        <v>44829.81</v>
      </c>
      <c r="D280" t="s">
        <v>570</v>
      </c>
      <c r="E280">
        <v>44829.81</v>
      </c>
      <c r="F280">
        <v>0</v>
      </c>
      <c r="G280" t="s">
        <v>571</v>
      </c>
      <c r="H280">
        <v>301552.31</v>
      </c>
      <c r="I280">
        <v>346382.12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44829.81</v>
      </c>
      <c r="P280">
        <f>IF(C280&gt;=200000,5,IF(C280&gt;=100000,4,IF(C280&gt;=50000,3,IF(C280&gt;=10000,2,1))))</f>
        <v>2</v>
      </c>
      <c r="Q280">
        <f>IF(B280="TRANSFER",5,IF(B280="CASH_OUT",4,IF(B280="DEBIT",2,1)))</f>
        <v>4</v>
      </c>
      <c r="R280">
        <f>(P280*0.5)+(Q280*0.3)+(N280*0.1)+(M280*0.1)</f>
        <v>2.3000000000000003</v>
      </c>
      <c r="S280" t="str">
        <f t="shared" si="4"/>
        <v>MEDIUM</v>
      </c>
    </row>
    <row r="281" spans="1:19" x14ac:dyDescent="0.3">
      <c r="A281">
        <v>25</v>
      </c>
      <c r="B281" t="s">
        <v>15</v>
      </c>
      <c r="C281">
        <v>296333.53999999998</v>
      </c>
      <c r="D281" t="s">
        <v>572</v>
      </c>
      <c r="E281">
        <v>296333.53999999998</v>
      </c>
      <c r="F281">
        <v>0</v>
      </c>
      <c r="G281" t="s">
        <v>573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296333.53999999998</v>
      </c>
      <c r="P281">
        <f>IF(C281&gt;=200000,5,IF(C281&gt;=100000,4,IF(C281&gt;=50000,3,IF(C281&gt;=10000,2,1))))</f>
        <v>5</v>
      </c>
      <c r="Q281">
        <f>IF(B281="TRANSFER",5,IF(B281="CASH_OUT",4,IF(B281="DEBIT",2,1)))</f>
        <v>5</v>
      </c>
      <c r="R281">
        <f>(P281*0.5)+(Q281*0.3)+(N281*0.1)+(M281*0.1)</f>
        <v>4.0999999999999996</v>
      </c>
      <c r="S281" t="str">
        <f t="shared" si="4"/>
        <v>HIGH</v>
      </c>
    </row>
    <row r="282" spans="1:19" x14ac:dyDescent="0.3">
      <c r="A282">
        <v>25</v>
      </c>
      <c r="B282" t="s">
        <v>18</v>
      </c>
      <c r="C282">
        <v>296333.53999999998</v>
      </c>
      <c r="D282" t="s">
        <v>574</v>
      </c>
      <c r="E282">
        <v>296333.53999999998</v>
      </c>
      <c r="F282">
        <v>0</v>
      </c>
      <c r="G282" t="s">
        <v>575</v>
      </c>
      <c r="H282">
        <v>3355664.68</v>
      </c>
      <c r="I282">
        <v>3651998.22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296333.53999999998</v>
      </c>
      <c r="P282">
        <f>IF(C282&gt;=200000,5,IF(C282&gt;=100000,4,IF(C282&gt;=50000,3,IF(C282&gt;=10000,2,1))))</f>
        <v>5</v>
      </c>
      <c r="Q282">
        <f>IF(B282="TRANSFER",5,IF(B282="CASH_OUT",4,IF(B282="DEBIT",2,1)))</f>
        <v>4</v>
      </c>
      <c r="R282">
        <f>(P282*0.5)+(Q282*0.3)+(N282*0.1)+(M282*0.1)</f>
        <v>3.8000000000000003</v>
      </c>
      <c r="S282" t="str">
        <f t="shared" si="4"/>
        <v>HIGH</v>
      </c>
    </row>
    <row r="283" spans="1:19" x14ac:dyDescent="0.3">
      <c r="A283">
        <v>25</v>
      </c>
      <c r="B283" t="s">
        <v>15</v>
      </c>
      <c r="C283">
        <v>18126.95</v>
      </c>
      <c r="D283" t="s">
        <v>576</v>
      </c>
      <c r="E283">
        <v>18126.95</v>
      </c>
      <c r="F283">
        <v>0</v>
      </c>
      <c r="G283" t="s">
        <v>577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1</v>
      </c>
      <c r="O283">
        <v>18126.95</v>
      </c>
      <c r="P283">
        <f>IF(C283&gt;=200000,5,IF(C283&gt;=100000,4,IF(C283&gt;=50000,3,IF(C283&gt;=10000,2,1))))</f>
        <v>2</v>
      </c>
      <c r="Q283">
        <f>IF(B283="TRANSFER",5,IF(B283="CASH_OUT",4,IF(B283="DEBIT",2,1)))</f>
        <v>5</v>
      </c>
      <c r="R283">
        <f>(P283*0.5)+(Q283*0.3)+(N283*0.1)+(M283*0.1)</f>
        <v>2.6</v>
      </c>
      <c r="S283" t="str">
        <f t="shared" si="4"/>
        <v>MEDIUM</v>
      </c>
    </row>
    <row r="284" spans="1:19" x14ac:dyDescent="0.3">
      <c r="A284">
        <v>25</v>
      </c>
      <c r="B284" t="s">
        <v>18</v>
      </c>
      <c r="C284">
        <v>18126.95</v>
      </c>
      <c r="D284" t="s">
        <v>578</v>
      </c>
      <c r="E284">
        <v>18126.95</v>
      </c>
      <c r="F284">
        <v>0</v>
      </c>
      <c r="G284" t="s">
        <v>579</v>
      </c>
      <c r="H284">
        <v>0</v>
      </c>
      <c r="I284">
        <v>18126.95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18126.95</v>
      </c>
      <c r="P284">
        <f>IF(C284&gt;=200000,5,IF(C284&gt;=100000,4,IF(C284&gt;=50000,3,IF(C284&gt;=10000,2,1))))</f>
        <v>2</v>
      </c>
      <c r="Q284">
        <f>IF(B284="TRANSFER",5,IF(B284="CASH_OUT",4,IF(B284="DEBIT",2,1)))</f>
        <v>4</v>
      </c>
      <c r="R284">
        <f>(P284*0.5)+(Q284*0.3)+(N284*0.1)+(M284*0.1)</f>
        <v>2.3000000000000003</v>
      </c>
      <c r="S284" t="str">
        <f t="shared" si="4"/>
        <v>MEDIUM</v>
      </c>
    </row>
    <row r="285" spans="1:19" x14ac:dyDescent="0.3">
      <c r="A285">
        <v>25</v>
      </c>
      <c r="B285" t="s">
        <v>15</v>
      </c>
      <c r="C285">
        <v>249159.26</v>
      </c>
      <c r="D285" t="s">
        <v>580</v>
      </c>
      <c r="E285">
        <v>249159.26</v>
      </c>
      <c r="F285">
        <v>0</v>
      </c>
      <c r="G285" t="s">
        <v>581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249159.26</v>
      </c>
      <c r="P285">
        <f>IF(C285&gt;=200000,5,IF(C285&gt;=100000,4,IF(C285&gt;=50000,3,IF(C285&gt;=10000,2,1))))</f>
        <v>5</v>
      </c>
      <c r="Q285">
        <f>IF(B285="TRANSFER",5,IF(B285="CASH_OUT",4,IF(B285="DEBIT",2,1)))</f>
        <v>5</v>
      </c>
      <c r="R285">
        <f>(P285*0.5)+(Q285*0.3)+(N285*0.1)+(M285*0.1)</f>
        <v>4.0999999999999996</v>
      </c>
      <c r="S285" t="str">
        <f t="shared" si="4"/>
        <v>HIGH</v>
      </c>
    </row>
    <row r="286" spans="1:19" x14ac:dyDescent="0.3">
      <c r="A286">
        <v>25</v>
      </c>
      <c r="B286" t="s">
        <v>18</v>
      </c>
      <c r="C286">
        <v>249159.26</v>
      </c>
      <c r="D286" t="s">
        <v>582</v>
      </c>
      <c r="E286">
        <v>249159.26</v>
      </c>
      <c r="F286">
        <v>0</v>
      </c>
      <c r="G286" t="s">
        <v>583</v>
      </c>
      <c r="H286">
        <v>285997.40999999997</v>
      </c>
      <c r="I286">
        <v>535156.67000000004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249159.26</v>
      </c>
      <c r="P286">
        <f>IF(C286&gt;=200000,5,IF(C286&gt;=100000,4,IF(C286&gt;=50000,3,IF(C286&gt;=10000,2,1))))</f>
        <v>5</v>
      </c>
      <c r="Q286">
        <f>IF(B286="TRANSFER",5,IF(B286="CASH_OUT",4,IF(B286="DEBIT",2,1)))</f>
        <v>4</v>
      </c>
      <c r="R286">
        <f>(P286*0.5)+(Q286*0.3)+(N286*0.1)+(M286*0.1)</f>
        <v>3.8000000000000003</v>
      </c>
      <c r="S286" t="str">
        <f t="shared" si="4"/>
        <v>HIGH</v>
      </c>
    </row>
    <row r="287" spans="1:19" x14ac:dyDescent="0.3">
      <c r="A287">
        <v>25</v>
      </c>
      <c r="B287" t="s">
        <v>15</v>
      </c>
      <c r="C287">
        <v>1698263.69</v>
      </c>
      <c r="D287" t="s">
        <v>584</v>
      </c>
      <c r="E287">
        <v>1698263.69</v>
      </c>
      <c r="F287">
        <v>0</v>
      </c>
      <c r="G287" t="s">
        <v>585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1698263.69</v>
      </c>
      <c r="P287">
        <f>IF(C287&gt;=200000,5,IF(C287&gt;=100000,4,IF(C287&gt;=50000,3,IF(C287&gt;=10000,2,1))))</f>
        <v>5</v>
      </c>
      <c r="Q287">
        <f>IF(B287="TRANSFER",5,IF(B287="CASH_OUT",4,IF(B287="DEBIT",2,1)))</f>
        <v>5</v>
      </c>
      <c r="R287">
        <f>(P287*0.5)+(Q287*0.3)+(N287*0.1)+(M287*0.1)</f>
        <v>4.0999999999999996</v>
      </c>
      <c r="S287" t="str">
        <f t="shared" si="4"/>
        <v>HIGH</v>
      </c>
    </row>
    <row r="288" spans="1:19" x14ac:dyDescent="0.3">
      <c r="A288">
        <v>25</v>
      </c>
      <c r="B288" t="s">
        <v>18</v>
      </c>
      <c r="C288">
        <v>1698263.69</v>
      </c>
      <c r="D288" t="s">
        <v>586</v>
      </c>
      <c r="E288">
        <v>1698263.69</v>
      </c>
      <c r="F288">
        <v>0</v>
      </c>
      <c r="G288" t="s">
        <v>587</v>
      </c>
      <c r="H288">
        <v>0</v>
      </c>
      <c r="I288">
        <v>1698263.69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1698263.69</v>
      </c>
      <c r="P288">
        <f>IF(C288&gt;=200000,5,IF(C288&gt;=100000,4,IF(C288&gt;=50000,3,IF(C288&gt;=10000,2,1))))</f>
        <v>5</v>
      </c>
      <c r="Q288">
        <f>IF(B288="TRANSFER",5,IF(B288="CASH_OUT",4,IF(B288="DEBIT",2,1)))</f>
        <v>4</v>
      </c>
      <c r="R288">
        <f>(P288*0.5)+(Q288*0.3)+(N288*0.1)+(M288*0.1)</f>
        <v>3.8000000000000003</v>
      </c>
      <c r="S288" t="str">
        <f t="shared" si="4"/>
        <v>HIGH</v>
      </c>
    </row>
    <row r="289" spans="1:19" x14ac:dyDescent="0.3">
      <c r="A289">
        <v>25</v>
      </c>
      <c r="B289" t="s">
        <v>15</v>
      </c>
      <c r="C289">
        <v>802382.45</v>
      </c>
      <c r="D289" t="s">
        <v>588</v>
      </c>
      <c r="E289">
        <v>802382.45</v>
      </c>
      <c r="F289">
        <v>0</v>
      </c>
      <c r="G289" t="s">
        <v>589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802382.45</v>
      </c>
      <c r="P289">
        <f>IF(C289&gt;=200000,5,IF(C289&gt;=100000,4,IF(C289&gt;=50000,3,IF(C289&gt;=10000,2,1))))</f>
        <v>5</v>
      </c>
      <c r="Q289">
        <f>IF(B289="TRANSFER",5,IF(B289="CASH_OUT",4,IF(B289="DEBIT",2,1)))</f>
        <v>5</v>
      </c>
      <c r="R289">
        <f>(P289*0.5)+(Q289*0.3)+(N289*0.1)+(M289*0.1)</f>
        <v>4.0999999999999996</v>
      </c>
      <c r="S289" t="str">
        <f t="shared" si="4"/>
        <v>HIGH</v>
      </c>
    </row>
    <row r="290" spans="1:19" x14ac:dyDescent="0.3">
      <c r="A290">
        <v>25</v>
      </c>
      <c r="B290" t="s">
        <v>18</v>
      </c>
      <c r="C290">
        <v>802382.45</v>
      </c>
      <c r="D290" t="s">
        <v>590</v>
      </c>
      <c r="E290">
        <v>802382.45</v>
      </c>
      <c r="F290">
        <v>0</v>
      </c>
      <c r="G290" t="s">
        <v>591</v>
      </c>
      <c r="H290">
        <v>0</v>
      </c>
      <c r="I290">
        <v>802382.45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802382.45</v>
      </c>
      <c r="P290">
        <f>IF(C290&gt;=200000,5,IF(C290&gt;=100000,4,IF(C290&gt;=50000,3,IF(C290&gt;=10000,2,1))))</f>
        <v>5</v>
      </c>
      <c r="Q290">
        <f>IF(B290="TRANSFER",5,IF(B290="CASH_OUT",4,IF(B290="DEBIT",2,1)))</f>
        <v>4</v>
      </c>
      <c r="R290">
        <f>(P290*0.5)+(Q290*0.3)+(N290*0.1)+(M290*0.1)</f>
        <v>3.8000000000000003</v>
      </c>
      <c r="S290" t="str">
        <f t="shared" si="4"/>
        <v>HIGH</v>
      </c>
    </row>
    <row r="291" spans="1:19" x14ac:dyDescent="0.3">
      <c r="A291">
        <v>26</v>
      </c>
      <c r="B291" t="s">
        <v>15</v>
      </c>
      <c r="C291">
        <v>37065.550000000003</v>
      </c>
      <c r="D291" t="s">
        <v>592</v>
      </c>
      <c r="E291">
        <v>37065.550000000003</v>
      </c>
      <c r="F291">
        <v>0</v>
      </c>
      <c r="G291" t="s">
        <v>593</v>
      </c>
      <c r="H291">
        <v>0</v>
      </c>
      <c r="I291">
        <v>0</v>
      </c>
      <c r="J291">
        <v>1</v>
      </c>
      <c r="K291">
        <v>0</v>
      </c>
      <c r="L291">
        <v>2</v>
      </c>
      <c r="M291">
        <v>0</v>
      </c>
      <c r="N291">
        <v>1</v>
      </c>
      <c r="O291">
        <v>37065.550000000003</v>
      </c>
      <c r="P291">
        <f>IF(C291&gt;=200000,5,IF(C291&gt;=100000,4,IF(C291&gt;=50000,3,IF(C291&gt;=10000,2,1))))</f>
        <v>2</v>
      </c>
      <c r="Q291">
        <f>IF(B291="TRANSFER",5,IF(B291="CASH_OUT",4,IF(B291="DEBIT",2,1)))</f>
        <v>5</v>
      </c>
      <c r="R291">
        <f>(P291*0.5)+(Q291*0.3)+(N291*0.1)+(M291*0.1)</f>
        <v>2.6</v>
      </c>
      <c r="S291" t="str">
        <f t="shared" si="4"/>
        <v>MEDIUM</v>
      </c>
    </row>
    <row r="292" spans="1:19" x14ac:dyDescent="0.3">
      <c r="A292">
        <v>26</v>
      </c>
      <c r="B292" t="s">
        <v>18</v>
      </c>
      <c r="C292">
        <v>37065.550000000003</v>
      </c>
      <c r="D292" t="s">
        <v>594</v>
      </c>
      <c r="E292">
        <v>37065.550000000003</v>
      </c>
      <c r="F292">
        <v>0</v>
      </c>
      <c r="G292" t="s">
        <v>595</v>
      </c>
      <c r="H292">
        <v>1396327.66</v>
      </c>
      <c r="I292">
        <v>1433393.21</v>
      </c>
      <c r="J292">
        <v>1</v>
      </c>
      <c r="K292">
        <v>0</v>
      </c>
      <c r="L292">
        <v>2</v>
      </c>
      <c r="M292">
        <v>0</v>
      </c>
      <c r="N292">
        <v>1</v>
      </c>
      <c r="O292">
        <v>37065.550000000003</v>
      </c>
      <c r="P292">
        <f>IF(C292&gt;=200000,5,IF(C292&gt;=100000,4,IF(C292&gt;=50000,3,IF(C292&gt;=10000,2,1))))</f>
        <v>2</v>
      </c>
      <c r="Q292">
        <f>IF(B292="TRANSFER",5,IF(B292="CASH_OUT",4,IF(B292="DEBIT",2,1)))</f>
        <v>4</v>
      </c>
      <c r="R292">
        <f>(P292*0.5)+(Q292*0.3)+(N292*0.1)+(M292*0.1)</f>
        <v>2.3000000000000003</v>
      </c>
      <c r="S292" t="str">
        <f t="shared" si="4"/>
        <v>MEDIUM</v>
      </c>
    </row>
    <row r="293" spans="1:19" x14ac:dyDescent="0.3">
      <c r="A293">
        <v>26</v>
      </c>
      <c r="B293" t="s">
        <v>15</v>
      </c>
      <c r="C293">
        <v>369186.87</v>
      </c>
      <c r="D293" t="s">
        <v>596</v>
      </c>
      <c r="E293">
        <v>369186.87</v>
      </c>
      <c r="F293">
        <v>0</v>
      </c>
      <c r="G293" t="s">
        <v>597</v>
      </c>
      <c r="H293">
        <v>0</v>
      </c>
      <c r="I293">
        <v>0</v>
      </c>
      <c r="J293">
        <v>1</v>
      </c>
      <c r="K293">
        <v>0</v>
      </c>
      <c r="L293">
        <v>2</v>
      </c>
      <c r="M293">
        <v>0</v>
      </c>
      <c r="N293">
        <v>1</v>
      </c>
      <c r="O293">
        <v>369186.87</v>
      </c>
      <c r="P293">
        <f>IF(C293&gt;=200000,5,IF(C293&gt;=100000,4,IF(C293&gt;=50000,3,IF(C293&gt;=10000,2,1))))</f>
        <v>5</v>
      </c>
      <c r="Q293">
        <f>IF(B293="TRANSFER",5,IF(B293="CASH_OUT",4,IF(B293="DEBIT",2,1)))</f>
        <v>5</v>
      </c>
      <c r="R293">
        <f>(P293*0.5)+(Q293*0.3)+(N293*0.1)+(M293*0.1)</f>
        <v>4.0999999999999996</v>
      </c>
      <c r="S293" t="str">
        <f t="shared" si="4"/>
        <v>HIGH</v>
      </c>
    </row>
    <row r="294" spans="1:19" x14ac:dyDescent="0.3">
      <c r="A294">
        <v>26</v>
      </c>
      <c r="B294" t="s">
        <v>18</v>
      </c>
      <c r="C294">
        <v>369186.87</v>
      </c>
      <c r="D294" t="s">
        <v>598</v>
      </c>
      <c r="E294">
        <v>369186.87</v>
      </c>
      <c r="F294">
        <v>0</v>
      </c>
      <c r="G294" t="s">
        <v>599</v>
      </c>
      <c r="H294">
        <v>36224.11</v>
      </c>
      <c r="I294">
        <v>405410.97</v>
      </c>
      <c r="J294">
        <v>1</v>
      </c>
      <c r="K294">
        <v>0</v>
      </c>
      <c r="L294">
        <v>2</v>
      </c>
      <c r="M294">
        <v>0</v>
      </c>
      <c r="N294">
        <v>1</v>
      </c>
      <c r="O294">
        <v>369186.87</v>
      </c>
      <c r="P294">
        <f>IF(C294&gt;=200000,5,IF(C294&gt;=100000,4,IF(C294&gt;=50000,3,IF(C294&gt;=10000,2,1))))</f>
        <v>5</v>
      </c>
      <c r="Q294">
        <f>IF(B294="TRANSFER",5,IF(B294="CASH_OUT",4,IF(B294="DEBIT",2,1)))</f>
        <v>4</v>
      </c>
      <c r="R294">
        <f>(P294*0.5)+(Q294*0.3)+(N294*0.1)+(M294*0.1)</f>
        <v>3.8000000000000003</v>
      </c>
      <c r="S294" t="str">
        <f t="shared" si="4"/>
        <v>HIGH</v>
      </c>
    </row>
    <row r="295" spans="1:19" x14ac:dyDescent="0.3">
      <c r="A295">
        <v>26</v>
      </c>
      <c r="B295" t="s">
        <v>15</v>
      </c>
      <c r="C295">
        <v>78741.64</v>
      </c>
      <c r="D295" t="s">
        <v>600</v>
      </c>
      <c r="E295">
        <v>78741.64</v>
      </c>
      <c r="F295">
        <v>0</v>
      </c>
      <c r="G295" t="s">
        <v>601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0</v>
      </c>
      <c r="N295">
        <v>1</v>
      </c>
      <c r="O295">
        <v>78741.64</v>
      </c>
      <c r="P295">
        <f>IF(C295&gt;=200000,5,IF(C295&gt;=100000,4,IF(C295&gt;=50000,3,IF(C295&gt;=10000,2,1))))</f>
        <v>3</v>
      </c>
      <c r="Q295">
        <f>IF(B295="TRANSFER",5,IF(B295="CASH_OUT",4,IF(B295="DEBIT",2,1)))</f>
        <v>5</v>
      </c>
      <c r="R295">
        <f>(P295*0.5)+(Q295*0.3)+(N295*0.1)+(M295*0.1)</f>
        <v>3.1</v>
      </c>
      <c r="S295" t="str">
        <f t="shared" si="4"/>
        <v>HIGH</v>
      </c>
    </row>
    <row r="296" spans="1:19" x14ac:dyDescent="0.3">
      <c r="A296">
        <v>26</v>
      </c>
      <c r="B296" t="s">
        <v>18</v>
      </c>
      <c r="C296">
        <v>78741.64</v>
      </c>
      <c r="D296" t="s">
        <v>602</v>
      </c>
      <c r="E296">
        <v>78741.64</v>
      </c>
      <c r="F296">
        <v>0</v>
      </c>
      <c r="G296" t="s">
        <v>603</v>
      </c>
      <c r="H296">
        <v>48628.52</v>
      </c>
      <c r="I296">
        <v>127370.16</v>
      </c>
      <c r="J296">
        <v>1</v>
      </c>
      <c r="K296">
        <v>0</v>
      </c>
      <c r="L296">
        <v>2</v>
      </c>
      <c r="M296">
        <v>0</v>
      </c>
      <c r="N296">
        <v>1</v>
      </c>
      <c r="O296">
        <v>78741.64</v>
      </c>
      <c r="P296">
        <f>IF(C296&gt;=200000,5,IF(C296&gt;=100000,4,IF(C296&gt;=50000,3,IF(C296&gt;=10000,2,1))))</f>
        <v>3</v>
      </c>
      <c r="Q296">
        <f>IF(B296="TRANSFER",5,IF(B296="CASH_OUT",4,IF(B296="DEBIT",2,1)))</f>
        <v>4</v>
      </c>
      <c r="R296">
        <f>(P296*0.5)+(Q296*0.3)+(N296*0.1)+(M296*0.1)</f>
        <v>2.8000000000000003</v>
      </c>
      <c r="S296" t="str">
        <f t="shared" si="4"/>
        <v>MEDIUM</v>
      </c>
    </row>
    <row r="297" spans="1:19" x14ac:dyDescent="0.3">
      <c r="A297">
        <v>26</v>
      </c>
      <c r="B297" t="s">
        <v>15</v>
      </c>
      <c r="C297">
        <v>1646181.09</v>
      </c>
      <c r="D297" t="s">
        <v>604</v>
      </c>
      <c r="E297">
        <v>1646181.09</v>
      </c>
      <c r="F297">
        <v>0</v>
      </c>
      <c r="G297" t="s">
        <v>605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1</v>
      </c>
      <c r="O297">
        <v>1646181.09</v>
      </c>
      <c r="P297">
        <f>IF(C297&gt;=200000,5,IF(C297&gt;=100000,4,IF(C297&gt;=50000,3,IF(C297&gt;=10000,2,1))))</f>
        <v>5</v>
      </c>
      <c r="Q297">
        <f>IF(B297="TRANSFER",5,IF(B297="CASH_OUT",4,IF(B297="DEBIT",2,1)))</f>
        <v>5</v>
      </c>
      <c r="R297">
        <f>(P297*0.5)+(Q297*0.3)+(N297*0.1)+(M297*0.1)</f>
        <v>4.0999999999999996</v>
      </c>
      <c r="S297" t="str">
        <f t="shared" si="4"/>
        <v>HIGH</v>
      </c>
    </row>
    <row r="298" spans="1:19" x14ac:dyDescent="0.3">
      <c r="A298">
        <v>26</v>
      </c>
      <c r="B298" t="s">
        <v>18</v>
      </c>
      <c r="C298">
        <v>1646181.09</v>
      </c>
      <c r="D298" t="s">
        <v>606</v>
      </c>
      <c r="E298">
        <v>1646181.09</v>
      </c>
      <c r="F298">
        <v>0</v>
      </c>
      <c r="G298" t="s">
        <v>607</v>
      </c>
      <c r="H298">
        <v>220025.2</v>
      </c>
      <c r="I298">
        <v>1866206.29</v>
      </c>
      <c r="J298">
        <v>1</v>
      </c>
      <c r="K298">
        <v>0</v>
      </c>
      <c r="L298">
        <v>2</v>
      </c>
      <c r="M298">
        <v>0</v>
      </c>
      <c r="N298">
        <v>1</v>
      </c>
      <c r="O298">
        <v>1646181.09</v>
      </c>
      <c r="P298">
        <f>IF(C298&gt;=200000,5,IF(C298&gt;=100000,4,IF(C298&gt;=50000,3,IF(C298&gt;=10000,2,1))))</f>
        <v>5</v>
      </c>
      <c r="Q298">
        <f>IF(B298="TRANSFER",5,IF(B298="CASH_OUT",4,IF(B298="DEBIT",2,1)))</f>
        <v>4</v>
      </c>
      <c r="R298">
        <f>(P298*0.5)+(Q298*0.3)+(N298*0.1)+(M298*0.1)</f>
        <v>3.8000000000000003</v>
      </c>
      <c r="S298" t="str">
        <f t="shared" si="4"/>
        <v>HIGH</v>
      </c>
    </row>
    <row r="299" spans="1:19" x14ac:dyDescent="0.3">
      <c r="A299">
        <v>26</v>
      </c>
      <c r="B299" t="s">
        <v>15</v>
      </c>
      <c r="C299">
        <v>331829.94</v>
      </c>
      <c r="D299" t="s">
        <v>608</v>
      </c>
      <c r="E299">
        <v>331829.94</v>
      </c>
      <c r="F299">
        <v>0</v>
      </c>
      <c r="G299" t="s">
        <v>609</v>
      </c>
      <c r="H299">
        <v>0</v>
      </c>
      <c r="I299">
        <v>0</v>
      </c>
      <c r="J299">
        <v>1</v>
      </c>
      <c r="K299">
        <v>0</v>
      </c>
      <c r="L299">
        <v>2</v>
      </c>
      <c r="M299">
        <v>0</v>
      </c>
      <c r="N299">
        <v>1</v>
      </c>
      <c r="O299">
        <v>331829.94</v>
      </c>
      <c r="P299">
        <f>IF(C299&gt;=200000,5,IF(C299&gt;=100000,4,IF(C299&gt;=50000,3,IF(C299&gt;=10000,2,1))))</f>
        <v>5</v>
      </c>
      <c r="Q299">
        <f>IF(B299="TRANSFER",5,IF(B299="CASH_OUT",4,IF(B299="DEBIT",2,1)))</f>
        <v>5</v>
      </c>
      <c r="R299">
        <f>(P299*0.5)+(Q299*0.3)+(N299*0.1)+(M299*0.1)</f>
        <v>4.0999999999999996</v>
      </c>
      <c r="S299" t="str">
        <f t="shared" si="4"/>
        <v>HIGH</v>
      </c>
    </row>
    <row r="300" spans="1:19" x14ac:dyDescent="0.3">
      <c r="A300">
        <v>26</v>
      </c>
      <c r="B300" t="s">
        <v>18</v>
      </c>
      <c r="C300">
        <v>331829.94</v>
      </c>
      <c r="D300" t="s">
        <v>610</v>
      </c>
      <c r="E300">
        <v>331829.94</v>
      </c>
      <c r="F300">
        <v>0</v>
      </c>
      <c r="G300" t="s">
        <v>611</v>
      </c>
      <c r="H300">
        <v>792855.99</v>
      </c>
      <c r="I300">
        <v>1124685.94</v>
      </c>
      <c r="J300">
        <v>1</v>
      </c>
      <c r="K300">
        <v>0</v>
      </c>
      <c r="L300">
        <v>2</v>
      </c>
      <c r="M300">
        <v>0</v>
      </c>
      <c r="N300">
        <v>1</v>
      </c>
      <c r="O300">
        <v>331829.94</v>
      </c>
      <c r="P300">
        <f>IF(C300&gt;=200000,5,IF(C300&gt;=100000,4,IF(C300&gt;=50000,3,IF(C300&gt;=10000,2,1))))</f>
        <v>5</v>
      </c>
      <c r="Q300">
        <f>IF(B300="TRANSFER",5,IF(B300="CASH_OUT",4,IF(B300="DEBIT",2,1)))</f>
        <v>4</v>
      </c>
      <c r="R300">
        <f>(P300*0.5)+(Q300*0.3)+(N300*0.1)+(M300*0.1)</f>
        <v>3.8000000000000003</v>
      </c>
      <c r="S300" t="str">
        <f t="shared" si="4"/>
        <v>HIGH</v>
      </c>
    </row>
    <row r="301" spans="1:19" x14ac:dyDescent="0.3">
      <c r="A301">
        <v>26</v>
      </c>
      <c r="B301" t="s">
        <v>15</v>
      </c>
      <c r="C301">
        <v>1027152.36</v>
      </c>
      <c r="D301" t="s">
        <v>612</v>
      </c>
      <c r="E301">
        <v>1027152.36</v>
      </c>
      <c r="F301">
        <v>0</v>
      </c>
      <c r="G301" t="s">
        <v>613</v>
      </c>
      <c r="H301">
        <v>0</v>
      </c>
      <c r="I301">
        <v>0</v>
      </c>
      <c r="J301">
        <v>1</v>
      </c>
      <c r="K301">
        <v>0</v>
      </c>
      <c r="L301">
        <v>2</v>
      </c>
      <c r="M301">
        <v>0</v>
      </c>
      <c r="N301">
        <v>1</v>
      </c>
      <c r="O301">
        <v>1027152.36</v>
      </c>
      <c r="P301">
        <f>IF(C301&gt;=200000,5,IF(C301&gt;=100000,4,IF(C301&gt;=50000,3,IF(C301&gt;=10000,2,1))))</f>
        <v>5</v>
      </c>
      <c r="Q301">
        <f>IF(B301="TRANSFER",5,IF(B301="CASH_OUT",4,IF(B301="DEBIT",2,1)))</f>
        <v>5</v>
      </c>
      <c r="R301">
        <f>(P301*0.5)+(Q301*0.3)+(N301*0.1)+(M301*0.1)</f>
        <v>4.0999999999999996</v>
      </c>
      <c r="S301" t="str">
        <f t="shared" si="4"/>
        <v>HIGH</v>
      </c>
    </row>
    <row r="302" spans="1:19" x14ac:dyDescent="0.3">
      <c r="A302">
        <v>26</v>
      </c>
      <c r="B302" t="s">
        <v>18</v>
      </c>
      <c r="C302">
        <v>1027152.36</v>
      </c>
      <c r="D302" t="s">
        <v>614</v>
      </c>
      <c r="E302">
        <v>1027152.36</v>
      </c>
      <c r="F302">
        <v>0</v>
      </c>
      <c r="G302" t="s">
        <v>615</v>
      </c>
      <c r="H302">
        <v>519428.56</v>
      </c>
      <c r="I302">
        <v>1546580.92</v>
      </c>
      <c r="J302">
        <v>1</v>
      </c>
      <c r="K302">
        <v>0</v>
      </c>
      <c r="L302">
        <v>2</v>
      </c>
      <c r="M302">
        <v>0</v>
      </c>
      <c r="N302">
        <v>1</v>
      </c>
      <c r="O302">
        <v>1027152.36</v>
      </c>
      <c r="P302">
        <f>IF(C302&gt;=200000,5,IF(C302&gt;=100000,4,IF(C302&gt;=50000,3,IF(C302&gt;=10000,2,1))))</f>
        <v>5</v>
      </c>
      <c r="Q302">
        <f>IF(B302="TRANSFER",5,IF(B302="CASH_OUT",4,IF(B302="DEBIT",2,1)))</f>
        <v>4</v>
      </c>
      <c r="R302">
        <f>(P302*0.5)+(Q302*0.3)+(N302*0.1)+(M302*0.1)</f>
        <v>3.8000000000000003</v>
      </c>
      <c r="S302" t="str">
        <f t="shared" si="4"/>
        <v>HIGH</v>
      </c>
    </row>
    <row r="303" spans="1:19" x14ac:dyDescent="0.3">
      <c r="A303">
        <v>27</v>
      </c>
      <c r="B303" t="s">
        <v>15</v>
      </c>
      <c r="C303">
        <v>494244.61</v>
      </c>
      <c r="D303" t="s">
        <v>616</v>
      </c>
      <c r="E303">
        <v>494244.61</v>
      </c>
      <c r="F303">
        <v>0</v>
      </c>
      <c r="G303" t="s">
        <v>617</v>
      </c>
      <c r="H303">
        <v>0</v>
      </c>
      <c r="I303">
        <v>0</v>
      </c>
      <c r="J303">
        <v>1</v>
      </c>
      <c r="K303">
        <v>0</v>
      </c>
      <c r="L303">
        <v>3</v>
      </c>
      <c r="M303">
        <v>0</v>
      </c>
      <c r="N303">
        <v>1</v>
      </c>
      <c r="O303">
        <v>494244.61</v>
      </c>
      <c r="P303">
        <f>IF(C303&gt;=200000,5,IF(C303&gt;=100000,4,IF(C303&gt;=50000,3,IF(C303&gt;=10000,2,1))))</f>
        <v>5</v>
      </c>
      <c r="Q303">
        <f>IF(B303="TRANSFER",5,IF(B303="CASH_OUT",4,IF(B303="DEBIT",2,1)))</f>
        <v>5</v>
      </c>
      <c r="R303">
        <f>(P303*0.5)+(Q303*0.3)+(N303*0.1)+(M303*0.1)</f>
        <v>4.0999999999999996</v>
      </c>
      <c r="S303" t="str">
        <f t="shared" si="4"/>
        <v>HIGH</v>
      </c>
    </row>
    <row r="304" spans="1:19" x14ac:dyDescent="0.3">
      <c r="A304">
        <v>27</v>
      </c>
      <c r="B304" t="s">
        <v>18</v>
      </c>
      <c r="C304">
        <v>494244.61</v>
      </c>
      <c r="D304" t="s">
        <v>618</v>
      </c>
      <c r="E304">
        <v>494244.61</v>
      </c>
      <c r="F304">
        <v>0</v>
      </c>
      <c r="G304" t="s">
        <v>619</v>
      </c>
      <c r="H304">
        <v>653451.43000000005</v>
      </c>
      <c r="I304">
        <v>1147696.03</v>
      </c>
      <c r="J304">
        <v>1</v>
      </c>
      <c r="K304">
        <v>0</v>
      </c>
      <c r="L304">
        <v>3</v>
      </c>
      <c r="M304">
        <v>0</v>
      </c>
      <c r="N304">
        <v>1</v>
      </c>
      <c r="O304">
        <v>494244.61</v>
      </c>
      <c r="P304">
        <f>IF(C304&gt;=200000,5,IF(C304&gt;=100000,4,IF(C304&gt;=50000,3,IF(C304&gt;=10000,2,1))))</f>
        <v>5</v>
      </c>
      <c r="Q304">
        <f>IF(B304="TRANSFER",5,IF(B304="CASH_OUT",4,IF(B304="DEBIT",2,1)))</f>
        <v>4</v>
      </c>
      <c r="R304">
        <f>(P304*0.5)+(Q304*0.3)+(N304*0.1)+(M304*0.1)</f>
        <v>3.8000000000000003</v>
      </c>
      <c r="S304" t="str">
        <f t="shared" si="4"/>
        <v>HIGH</v>
      </c>
    </row>
    <row r="305" spans="1:19" x14ac:dyDescent="0.3">
      <c r="A305">
        <v>27</v>
      </c>
      <c r="B305" t="s">
        <v>15</v>
      </c>
      <c r="C305">
        <v>329937.88</v>
      </c>
      <c r="D305" t="s">
        <v>620</v>
      </c>
      <c r="E305">
        <v>329937.88</v>
      </c>
      <c r="F305">
        <v>0</v>
      </c>
      <c r="G305" t="s">
        <v>621</v>
      </c>
      <c r="H305">
        <v>0</v>
      </c>
      <c r="I305">
        <v>0</v>
      </c>
      <c r="J305">
        <v>1</v>
      </c>
      <c r="K305">
        <v>0</v>
      </c>
      <c r="L305">
        <v>3</v>
      </c>
      <c r="M305">
        <v>0</v>
      </c>
      <c r="N305">
        <v>1</v>
      </c>
      <c r="O305">
        <v>329937.88</v>
      </c>
      <c r="P305">
        <f>IF(C305&gt;=200000,5,IF(C305&gt;=100000,4,IF(C305&gt;=50000,3,IF(C305&gt;=10000,2,1))))</f>
        <v>5</v>
      </c>
      <c r="Q305">
        <f>IF(B305="TRANSFER",5,IF(B305="CASH_OUT",4,IF(B305="DEBIT",2,1)))</f>
        <v>5</v>
      </c>
      <c r="R305">
        <f>(P305*0.5)+(Q305*0.3)+(N305*0.1)+(M305*0.1)</f>
        <v>4.0999999999999996</v>
      </c>
      <c r="S305" t="str">
        <f t="shared" si="4"/>
        <v>HIGH</v>
      </c>
    </row>
    <row r="306" spans="1:19" x14ac:dyDescent="0.3">
      <c r="A306">
        <v>27</v>
      </c>
      <c r="B306" t="s">
        <v>18</v>
      </c>
      <c r="C306">
        <v>329937.88</v>
      </c>
      <c r="D306" t="s">
        <v>622</v>
      </c>
      <c r="E306">
        <v>329937.88</v>
      </c>
      <c r="F306">
        <v>0</v>
      </c>
      <c r="G306" t="s">
        <v>623</v>
      </c>
      <c r="H306">
        <v>349407.23</v>
      </c>
      <c r="I306">
        <v>679345.1</v>
      </c>
      <c r="J306">
        <v>1</v>
      </c>
      <c r="K306">
        <v>0</v>
      </c>
      <c r="L306">
        <v>3</v>
      </c>
      <c r="M306">
        <v>0</v>
      </c>
      <c r="N306">
        <v>1</v>
      </c>
      <c r="O306">
        <v>329937.88</v>
      </c>
      <c r="P306">
        <f>IF(C306&gt;=200000,5,IF(C306&gt;=100000,4,IF(C306&gt;=50000,3,IF(C306&gt;=10000,2,1))))</f>
        <v>5</v>
      </c>
      <c r="Q306">
        <f>IF(B306="TRANSFER",5,IF(B306="CASH_OUT",4,IF(B306="DEBIT",2,1)))</f>
        <v>4</v>
      </c>
      <c r="R306">
        <f>(P306*0.5)+(Q306*0.3)+(N306*0.1)+(M306*0.1)</f>
        <v>3.8000000000000003</v>
      </c>
      <c r="S306" t="str">
        <f t="shared" si="4"/>
        <v>HIGH</v>
      </c>
    </row>
    <row r="307" spans="1:19" x14ac:dyDescent="0.3">
      <c r="A307">
        <v>27</v>
      </c>
      <c r="B307" t="s">
        <v>15</v>
      </c>
      <c r="C307">
        <v>496128.26</v>
      </c>
      <c r="D307" t="s">
        <v>624</v>
      </c>
      <c r="E307">
        <v>496128.26</v>
      </c>
      <c r="F307">
        <v>0</v>
      </c>
      <c r="G307" t="s">
        <v>625</v>
      </c>
      <c r="H307">
        <v>0</v>
      </c>
      <c r="I307">
        <v>0</v>
      </c>
      <c r="J307">
        <v>1</v>
      </c>
      <c r="K307">
        <v>0</v>
      </c>
      <c r="L307">
        <v>3</v>
      </c>
      <c r="M307">
        <v>0</v>
      </c>
      <c r="N307">
        <v>1</v>
      </c>
      <c r="O307">
        <v>496128.26</v>
      </c>
      <c r="P307">
        <f>IF(C307&gt;=200000,5,IF(C307&gt;=100000,4,IF(C307&gt;=50000,3,IF(C307&gt;=10000,2,1))))</f>
        <v>5</v>
      </c>
      <c r="Q307">
        <f>IF(B307="TRANSFER",5,IF(B307="CASH_OUT",4,IF(B307="DEBIT",2,1)))</f>
        <v>5</v>
      </c>
      <c r="R307">
        <f>(P307*0.5)+(Q307*0.3)+(N307*0.1)+(M307*0.1)</f>
        <v>4.0999999999999996</v>
      </c>
      <c r="S307" t="str">
        <f t="shared" si="4"/>
        <v>HIGH</v>
      </c>
    </row>
    <row r="308" spans="1:19" x14ac:dyDescent="0.3">
      <c r="A308">
        <v>27</v>
      </c>
      <c r="B308" t="s">
        <v>18</v>
      </c>
      <c r="C308">
        <v>496128.26</v>
      </c>
      <c r="D308" t="s">
        <v>626</v>
      </c>
      <c r="E308">
        <v>496128.26</v>
      </c>
      <c r="F308">
        <v>0</v>
      </c>
      <c r="G308" t="s">
        <v>627</v>
      </c>
      <c r="H308">
        <v>465770.07</v>
      </c>
      <c r="I308">
        <v>961898.33</v>
      </c>
      <c r="J308">
        <v>1</v>
      </c>
      <c r="K308">
        <v>0</v>
      </c>
      <c r="L308">
        <v>3</v>
      </c>
      <c r="M308">
        <v>0</v>
      </c>
      <c r="N308">
        <v>1</v>
      </c>
      <c r="O308">
        <v>496128.26</v>
      </c>
      <c r="P308">
        <f>IF(C308&gt;=200000,5,IF(C308&gt;=100000,4,IF(C308&gt;=50000,3,IF(C308&gt;=10000,2,1))))</f>
        <v>5</v>
      </c>
      <c r="Q308">
        <f>IF(B308="TRANSFER",5,IF(B308="CASH_OUT",4,IF(B308="DEBIT",2,1)))</f>
        <v>4</v>
      </c>
      <c r="R308">
        <f>(P308*0.5)+(Q308*0.3)+(N308*0.1)+(M308*0.1)</f>
        <v>3.8000000000000003</v>
      </c>
      <c r="S308" t="str">
        <f t="shared" si="4"/>
        <v>HIGH</v>
      </c>
    </row>
    <row r="309" spans="1:19" x14ac:dyDescent="0.3">
      <c r="A309">
        <v>27</v>
      </c>
      <c r="B309" t="s">
        <v>15</v>
      </c>
      <c r="C309">
        <v>1218165.8799999999</v>
      </c>
      <c r="D309" t="s">
        <v>628</v>
      </c>
      <c r="E309">
        <v>1218165.8799999999</v>
      </c>
      <c r="F309">
        <v>0</v>
      </c>
      <c r="G309" t="s">
        <v>629</v>
      </c>
      <c r="H309">
        <v>0</v>
      </c>
      <c r="I309">
        <v>0</v>
      </c>
      <c r="J309">
        <v>1</v>
      </c>
      <c r="K309">
        <v>0</v>
      </c>
      <c r="L309">
        <v>3</v>
      </c>
      <c r="M309">
        <v>0</v>
      </c>
      <c r="N309">
        <v>1</v>
      </c>
      <c r="O309">
        <v>1218165.8799999999</v>
      </c>
      <c r="P309">
        <f>IF(C309&gt;=200000,5,IF(C309&gt;=100000,4,IF(C309&gt;=50000,3,IF(C309&gt;=10000,2,1))))</f>
        <v>5</v>
      </c>
      <c r="Q309">
        <f>IF(B309="TRANSFER",5,IF(B309="CASH_OUT",4,IF(B309="DEBIT",2,1)))</f>
        <v>5</v>
      </c>
      <c r="R309">
        <f>(P309*0.5)+(Q309*0.3)+(N309*0.1)+(M309*0.1)</f>
        <v>4.0999999999999996</v>
      </c>
      <c r="S309" t="str">
        <f t="shared" si="4"/>
        <v>HIGH</v>
      </c>
    </row>
    <row r="310" spans="1:19" x14ac:dyDescent="0.3">
      <c r="A310">
        <v>27</v>
      </c>
      <c r="B310" t="s">
        <v>18</v>
      </c>
      <c r="C310">
        <v>1218165.8799999999</v>
      </c>
      <c r="D310" t="s">
        <v>630</v>
      </c>
      <c r="E310">
        <v>1218165.8799999999</v>
      </c>
      <c r="F310">
        <v>0</v>
      </c>
      <c r="G310" t="s">
        <v>631</v>
      </c>
      <c r="H310">
        <v>742564.27</v>
      </c>
      <c r="I310">
        <v>1960730.15</v>
      </c>
      <c r="J310">
        <v>1</v>
      </c>
      <c r="K310">
        <v>0</v>
      </c>
      <c r="L310">
        <v>3</v>
      </c>
      <c r="M310">
        <v>0</v>
      </c>
      <c r="N310">
        <v>1</v>
      </c>
      <c r="O310">
        <v>1218165.8799999999</v>
      </c>
      <c r="P310">
        <f>IF(C310&gt;=200000,5,IF(C310&gt;=100000,4,IF(C310&gt;=50000,3,IF(C310&gt;=10000,2,1))))</f>
        <v>5</v>
      </c>
      <c r="Q310">
        <f>IF(B310="TRANSFER",5,IF(B310="CASH_OUT",4,IF(B310="DEBIT",2,1)))</f>
        <v>4</v>
      </c>
      <c r="R310">
        <f>(P310*0.5)+(Q310*0.3)+(N310*0.1)+(M310*0.1)</f>
        <v>3.8000000000000003</v>
      </c>
      <c r="S310" t="str">
        <f t="shared" si="4"/>
        <v>HIGH</v>
      </c>
    </row>
    <row r="311" spans="1:19" x14ac:dyDescent="0.3">
      <c r="A311">
        <v>28</v>
      </c>
      <c r="B311" t="s">
        <v>15</v>
      </c>
      <c r="C311">
        <v>3832058.34</v>
      </c>
      <c r="D311" t="s">
        <v>632</v>
      </c>
      <c r="E311">
        <v>3832058.34</v>
      </c>
      <c r="F311">
        <v>0</v>
      </c>
      <c r="G311" t="s">
        <v>633</v>
      </c>
      <c r="H311">
        <v>0</v>
      </c>
      <c r="I311">
        <v>0</v>
      </c>
      <c r="J311">
        <v>1</v>
      </c>
      <c r="K311">
        <v>0</v>
      </c>
      <c r="L311">
        <v>4</v>
      </c>
      <c r="M311">
        <v>0</v>
      </c>
      <c r="N311">
        <v>1</v>
      </c>
      <c r="O311">
        <v>3832058.34</v>
      </c>
      <c r="P311">
        <f>IF(C311&gt;=200000,5,IF(C311&gt;=100000,4,IF(C311&gt;=50000,3,IF(C311&gt;=10000,2,1))))</f>
        <v>5</v>
      </c>
      <c r="Q311">
        <f>IF(B311="TRANSFER",5,IF(B311="CASH_OUT",4,IF(B311="DEBIT",2,1)))</f>
        <v>5</v>
      </c>
      <c r="R311">
        <f>(P311*0.5)+(Q311*0.3)+(N311*0.1)+(M311*0.1)</f>
        <v>4.0999999999999996</v>
      </c>
      <c r="S311" t="str">
        <f t="shared" si="4"/>
        <v>HIGH</v>
      </c>
    </row>
    <row r="312" spans="1:19" x14ac:dyDescent="0.3">
      <c r="A312">
        <v>28</v>
      </c>
      <c r="B312" t="s">
        <v>18</v>
      </c>
      <c r="C312">
        <v>3832058.34</v>
      </c>
      <c r="D312" t="s">
        <v>634</v>
      </c>
      <c r="E312">
        <v>3832058.34</v>
      </c>
      <c r="F312">
        <v>0</v>
      </c>
      <c r="G312" t="s">
        <v>635</v>
      </c>
      <c r="H312">
        <v>531662.14</v>
      </c>
      <c r="I312">
        <v>4363720.4800000004</v>
      </c>
      <c r="J312">
        <v>1</v>
      </c>
      <c r="K312">
        <v>0</v>
      </c>
      <c r="L312">
        <v>4</v>
      </c>
      <c r="M312">
        <v>0</v>
      </c>
      <c r="N312">
        <v>1</v>
      </c>
      <c r="O312">
        <v>3832058.34</v>
      </c>
      <c r="P312">
        <f>IF(C312&gt;=200000,5,IF(C312&gt;=100000,4,IF(C312&gt;=50000,3,IF(C312&gt;=10000,2,1))))</f>
        <v>5</v>
      </c>
      <c r="Q312">
        <f>IF(B312="TRANSFER",5,IF(B312="CASH_OUT",4,IF(B312="DEBIT",2,1)))</f>
        <v>4</v>
      </c>
      <c r="R312">
        <f>(P312*0.5)+(Q312*0.3)+(N312*0.1)+(M312*0.1)</f>
        <v>3.8000000000000003</v>
      </c>
      <c r="S312" t="str">
        <f t="shared" si="4"/>
        <v>HIGH</v>
      </c>
    </row>
    <row r="313" spans="1:19" x14ac:dyDescent="0.3">
      <c r="A313">
        <v>28</v>
      </c>
      <c r="B313" t="s">
        <v>15</v>
      </c>
      <c r="C313">
        <v>491517.77</v>
      </c>
      <c r="D313" t="s">
        <v>636</v>
      </c>
      <c r="E313">
        <v>491517.77</v>
      </c>
      <c r="F313">
        <v>0</v>
      </c>
      <c r="G313" t="s">
        <v>637</v>
      </c>
      <c r="H313">
        <v>0</v>
      </c>
      <c r="I313">
        <v>0</v>
      </c>
      <c r="J313">
        <v>1</v>
      </c>
      <c r="K313">
        <v>0</v>
      </c>
      <c r="L313">
        <v>4</v>
      </c>
      <c r="M313">
        <v>0</v>
      </c>
      <c r="N313">
        <v>1</v>
      </c>
      <c r="O313">
        <v>491517.77</v>
      </c>
      <c r="P313">
        <f>IF(C313&gt;=200000,5,IF(C313&gt;=100000,4,IF(C313&gt;=50000,3,IF(C313&gt;=10000,2,1))))</f>
        <v>5</v>
      </c>
      <c r="Q313">
        <f>IF(B313="TRANSFER",5,IF(B313="CASH_OUT",4,IF(B313="DEBIT",2,1)))</f>
        <v>5</v>
      </c>
      <c r="R313">
        <f>(P313*0.5)+(Q313*0.3)+(N313*0.1)+(M313*0.1)</f>
        <v>4.0999999999999996</v>
      </c>
      <c r="S313" t="str">
        <f t="shared" si="4"/>
        <v>HIGH</v>
      </c>
    </row>
    <row r="314" spans="1:19" x14ac:dyDescent="0.3">
      <c r="A314">
        <v>28</v>
      </c>
      <c r="B314" t="s">
        <v>18</v>
      </c>
      <c r="C314">
        <v>491517.77</v>
      </c>
      <c r="D314" t="s">
        <v>638</v>
      </c>
      <c r="E314">
        <v>491517.77</v>
      </c>
      <c r="F314">
        <v>0</v>
      </c>
      <c r="G314" t="s">
        <v>639</v>
      </c>
      <c r="H314">
        <v>518777.34</v>
      </c>
      <c r="I314">
        <v>1010295.11</v>
      </c>
      <c r="J314">
        <v>1</v>
      </c>
      <c r="K314">
        <v>0</v>
      </c>
      <c r="L314">
        <v>4</v>
      </c>
      <c r="M314">
        <v>0</v>
      </c>
      <c r="N314">
        <v>1</v>
      </c>
      <c r="O314">
        <v>491517.77</v>
      </c>
      <c r="P314">
        <f>IF(C314&gt;=200000,5,IF(C314&gt;=100000,4,IF(C314&gt;=50000,3,IF(C314&gt;=10000,2,1))))</f>
        <v>5</v>
      </c>
      <c r="Q314">
        <f>IF(B314="TRANSFER",5,IF(B314="CASH_OUT",4,IF(B314="DEBIT",2,1)))</f>
        <v>4</v>
      </c>
      <c r="R314">
        <f>(P314*0.5)+(Q314*0.3)+(N314*0.1)+(M314*0.1)</f>
        <v>3.8000000000000003</v>
      </c>
      <c r="S314" t="str">
        <f t="shared" si="4"/>
        <v>HIGH</v>
      </c>
    </row>
    <row r="315" spans="1:19" x14ac:dyDescent="0.3">
      <c r="A315">
        <v>29</v>
      </c>
      <c r="B315" t="s">
        <v>15</v>
      </c>
      <c r="C315">
        <v>340198.41</v>
      </c>
      <c r="D315" t="s">
        <v>640</v>
      </c>
      <c r="E315">
        <v>340198.41</v>
      </c>
      <c r="F315">
        <v>0</v>
      </c>
      <c r="G315" t="s">
        <v>641</v>
      </c>
      <c r="H315">
        <v>0</v>
      </c>
      <c r="I315">
        <v>0</v>
      </c>
      <c r="J315">
        <v>1</v>
      </c>
      <c r="K315">
        <v>0</v>
      </c>
      <c r="L315">
        <v>5</v>
      </c>
      <c r="M315">
        <v>0</v>
      </c>
      <c r="N315">
        <v>1</v>
      </c>
      <c r="O315">
        <v>340198.41</v>
      </c>
      <c r="P315">
        <f>IF(C315&gt;=200000,5,IF(C315&gt;=100000,4,IF(C315&gt;=50000,3,IF(C315&gt;=10000,2,1))))</f>
        <v>5</v>
      </c>
      <c r="Q315">
        <f>IF(B315="TRANSFER",5,IF(B315="CASH_OUT",4,IF(B315="DEBIT",2,1)))</f>
        <v>5</v>
      </c>
      <c r="R315">
        <f>(P315*0.5)+(Q315*0.3)+(N315*0.1)+(M315*0.1)</f>
        <v>4.0999999999999996</v>
      </c>
      <c r="S315" t="str">
        <f t="shared" si="4"/>
        <v>HIGH</v>
      </c>
    </row>
    <row r="316" spans="1:19" x14ac:dyDescent="0.3">
      <c r="A316">
        <v>29</v>
      </c>
      <c r="B316" t="s">
        <v>18</v>
      </c>
      <c r="C316">
        <v>340198.41</v>
      </c>
      <c r="D316" t="s">
        <v>642</v>
      </c>
      <c r="E316">
        <v>340198.41</v>
      </c>
      <c r="F316">
        <v>0</v>
      </c>
      <c r="G316" t="s">
        <v>643</v>
      </c>
      <c r="H316">
        <v>1614043.79</v>
      </c>
      <c r="I316">
        <v>1954242.21</v>
      </c>
      <c r="J316">
        <v>1</v>
      </c>
      <c r="K316">
        <v>0</v>
      </c>
      <c r="L316">
        <v>5</v>
      </c>
      <c r="M316">
        <v>0</v>
      </c>
      <c r="N316">
        <v>1</v>
      </c>
      <c r="O316">
        <v>340198.41</v>
      </c>
      <c r="P316">
        <f>IF(C316&gt;=200000,5,IF(C316&gt;=100000,4,IF(C316&gt;=50000,3,IF(C316&gt;=10000,2,1))))</f>
        <v>5</v>
      </c>
      <c r="Q316">
        <f>IF(B316="TRANSFER",5,IF(B316="CASH_OUT",4,IF(B316="DEBIT",2,1)))</f>
        <v>4</v>
      </c>
      <c r="R316">
        <f>(P316*0.5)+(Q316*0.3)+(N316*0.1)+(M316*0.1)</f>
        <v>3.8000000000000003</v>
      </c>
      <c r="S316" t="str">
        <f t="shared" si="4"/>
        <v>HIGH</v>
      </c>
    </row>
    <row r="317" spans="1:19" x14ac:dyDescent="0.3">
      <c r="A317">
        <v>29</v>
      </c>
      <c r="B317" t="s">
        <v>15</v>
      </c>
      <c r="C317">
        <v>268641.82</v>
      </c>
      <c r="D317" t="s">
        <v>644</v>
      </c>
      <c r="E317">
        <v>268641.82</v>
      </c>
      <c r="F317">
        <v>0</v>
      </c>
      <c r="G317" t="s">
        <v>645</v>
      </c>
      <c r="H317">
        <v>0</v>
      </c>
      <c r="I317">
        <v>0</v>
      </c>
      <c r="J317">
        <v>1</v>
      </c>
      <c r="K317">
        <v>0</v>
      </c>
      <c r="L317">
        <v>5</v>
      </c>
      <c r="M317">
        <v>0</v>
      </c>
      <c r="N317">
        <v>1</v>
      </c>
      <c r="O317">
        <v>268641.82</v>
      </c>
      <c r="P317">
        <f>IF(C317&gt;=200000,5,IF(C317&gt;=100000,4,IF(C317&gt;=50000,3,IF(C317&gt;=10000,2,1))))</f>
        <v>5</v>
      </c>
      <c r="Q317">
        <f>IF(B317="TRANSFER",5,IF(B317="CASH_OUT",4,IF(B317="DEBIT",2,1)))</f>
        <v>5</v>
      </c>
      <c r="R317">
        <f>(P317*0.5)+(Q317*0.3)+(N317*0.1)+(M317*0.1)</f>
        <v>4.0999999999999996</v>
      </c>
      <c r="S317" t="str">
        <f t="shared" si="4"/>
        <v>HIGH</v>
      </c>
    </row>
    <row r="318" spans="1:19" x14ac:dyDescent="0.3">
      <c r="A318">
        <v>29</v>
      </c>
      <c r="B318" t="s">
        <v>18</v>
      </c>
      <c r="C318">
        <v>268641.82</v>
      </c>
      <c r="D318" t="s">
        <v>646</v>
      </c>
      <c r="E318">
        <v>268641.82</v>
      </c>
      <c r="F318">
        <v>0</v>
      </c>
      <c r="G318" t="s">
        <v>647</v>
      </c>
      <c r="H318">
        <v>197163.95</v>
      </c>
      <c r="I318">
        <v>465805.77</v>
      </c>
      <c r="J318">
        <v>1</v>
      </c>
      <c r="K318">
        <v>0</v>
      </c>
      <c r="L318">
        <v>5</v>
      </c>
      <c r="M318">
        <v>0</v>
      </c>
      <c r="N318">
        <v>1</v>
      </c>
      <c r="O318">
        <v>268641.82</v>
      </c>
      <c r="P318">
        <f>IF(C318&gt;=200000,5,IF(C318&gt;=100000,4,IF(C318&gt;=50000,3,IF(C318&gt;=10000,2,1))))</f>
        <v>5</v>
      </c>
      <c r="Q318">
        <f>IF(B318="TRANSFER",5,IF(B318="CASH_OUT",4,IF(B318="DEBIT",2,1)))</f>
        <v>4</v>
      </c>
      <c r="R318">
        <f>(P318*0.5)+(Q318*0.3)+(N318*0.1)+(M318*0.1)</f>
        <v>3.8000000000000003</v>
      </c>
      <c r="S318" t="str">
        <f t="shared" si="4"/>
        <v>HIGH</v>
      </c>
    </row>
    <row r="319" spans="1:19" x14ac:dyDescent="0.3">
      <c r="A319">
        <v>30</v>
      </c>
      <c r="B319" t="s">
        <v>15</v>
      </c>
      <c r="C319">
        <v>122235.11</v>
      </c>
      <c r="D319" t="s">
        <v>648</v>
      </c>
      <c r="E319">
        <v>122235.11</v>
      </c>
      <c r="F319">
        <v>0</v>
      </c>
      <c r="G319" t="s">
        <v>649</v>
      </c>
      <c r="H319">
        <v>0</v>
      </c>
      <c r="I319">
        <v>0</v>
      </c>
      <c r="J319">
        <v>1</v>
      </c>
      <c r="K319">
        <v>0</v>
      </c>
      <c r="L319">
        <v>6</v>
      </c>
      <c r="M319">
        <v>0</v>
      </c>
      <c r="N319">
        <v>1</v>
      </c>
      <c r="O319">
        <v>122235.11</v>
      </c>
      <c r="P319">
        <f>IF(C319&gt;=200000,5,IF(C319&gt;=100000,4,IF(C319&gt;=50000,3,IF(C319&gt;=10000,2,1))))</f>
        <v>4</v>
      </c>
      <c r="Q319">
        <f>IF(B319="TRANSFER",5,IF(B319="CASH_OUT",4,IF(B319="DEBIT",2,1)))</f>
        <v>5</v>
      </c>
      <c r="R319">
        <f>(P319*0.5)+(Q319*0.3)+(N319*0.1)+(M319*0.1)</f>
        <v>3.6</v>
      </c>
      <c r="S319" t="str">
        <f t="shared" si="4"/>
        <v>HIGH</v>
      </c>
    </row>
    <row r="320" spans="1:19" x14ac:dyDescent="0.3">
      <c r="A320">
        <v>30</v>
      </c>
      <c r="B320" t="s">
        <v>18</v>
      </c>
      <c r="C320">
        <v>122235.11</v>
      </c>
      <c r="D320" t="s">
        <v>650</v>
      </c>
      <c r="E320">
        <v>122235.11</v>
      </c>
      <c r="F320">
        <v>0</v>
      </c>
      <c r="G320" t="s">
        <v>651</v>
      </c>
      <c r="H320">
        <v>0</v>
      </c>
      <c r="I320">
        <v>122235.11</v>
      </c>
      <c r="J320">
        <v>1</v>
      </c>
      <c r="K320">
        <v>0</v>
      </c>
      <c r="L320">
        <v>6</v>
      </c>
      <c r="M320">
        <v>0</v>
      </c>
      <c r="N320">
        <v>1</v>
      </c>
      <c r="O320">
        <v>122235.11</v>
      </c>
      <c r="P320">
        <f>IF(C320&gt;=200000,5,IF(C320&gt;=100000,4,IF(C320&gt;=50000,3,IF(C320&gt;=10000,2,1))))</f>
        <v>4</v>
      </c>
      <c r="Q320">
        <f>IF(B320="TRANSFER",5,IF(B320="CASH_OUT",4,IF(B320="DEBIT",2,1)))</f>
        <v>4</v>
      </c>
      <c r="R320">
        <f>(P320*0.5)+(Q320*0.3)+(N320*0.1)+(M320*0.1)</f>
        <v>3.3000000000000003</v>
      </c>
      <c r="S320" t="str">
        <f t="shared" si="4"/>
        <v>HIGH</v>
      </c>
    </row>
    <row r="321" spans="1:19" x14ac:dyDescent="0.3">
      <c r="A321">
        <v>30</v>
      </c>
      <c r="B321" t="s">
        <v>15</v>
      </c>
      <c r="C321">
        <v>236947.25</v>
      </c>
      <c r="D321" t="s">
        <v>652</v>
      </c>
      <c r="E321">
        <v>236947.25</v>
      </c>
      <c r="F321">
        <v>0</v>
      </c>
      <c r="G321" t="s">
        <v>653</v>
      </c>
      <c r="H321">
        <v>0</v>
      </c>
      <c r="I321">
        <v>0</v>
      </c>
      <c r="J321">
        <v>1</v>
      </c>
      <c r="K321">
        <v>0</v>
      </c>
      <c r="L321">
        <v>6</v>
      </c>
      <c r="M321">
        <v>0</v>
      </c>
      <c r="N321">
        <v>1</v>
      </c>
      <c r="O321">
        <v>236947.25</v>
      </c>
      <c r="P321">
        <f>IF(C321&gt;=200000,5,IF(C321&gt;=100000,4,IF(C321&gt;=50000,3,IF(C321&gt;=10000,2,1))))</f>
        <v>5</v>
      </c>
      <c r="Q321">
        <f>IF(B321="TRANSFER",5,IF(B321="CASH_OUT",4,IF(B321="DEBIT",2,1)))</f>
        <v>5</v>
      </c>
      <c r="R321">
        <f>(P321*0.5)+(Q321*0.3)+(N321*0.1)+(M321*0.1)</f>
        <v>4.0999999999999996</v>
      </c>
      <c r="S321" t="str">
        <f t="shared" si="4"/>
        <v>HIGH</v>
      </c>
    </row>
    <row r="322" spans="1:19" x14ac:dyDescent="0.3">
      <c r="A322">
        <v>30</v>
      </c>
      <c r="B322" t="s">
        <v>18</v>
      </c>
      <c r="C322">
        <v>236947.25</v>
      </c>
      <c r="D322" t="s">
        <v>654</v>
      </c>
      <c r="E322">
        <v>236947.25</v>
      </c>
      <c r="F322">
        <v>0</v>
      </c>
      <c r="G322" t="s">
        <v>655</v>
      </c>
      <c r="H322">
        <v>70084.28</v>
      </c>
      <c r="I322">
        <v>307031.53000000003</v>
      </c>
      <c r="J322">
        <v>1</v>
      </c>
      <c r="K322">
        <v>0</v>
      </c>
      <c r="L322">
        <v>6</v>
      </c>
      <c r="M322">
        <v>0</v>
      </c>
      <c r="N322">
        <v>1</v>
      </c>
      <c r="O322">
        <v>236947.25</v>
      </c>
      <c r="P322">
        <f>IF(C322&gt;=200000,5,IF(C322&gt;=100000,4,IF(C322&gt;=50000,3,IF(C322&gt;=10000,2,1))))</f>
        <v>5</v>
      </c>
      <c r="Q322">
        <f>IF(B322="TRANSFER",5,IF(B322="CASH_OUT",4,IF(B322="DEBIT",2,1)))</f>
        <v>4</v>
      </c>
      <c r="R322">
        <f>(P322*0.5)+(Q322*0.3)+(N322*0.1)+(M322*0.1)</f>
        <v>3.8000000000000003</v>
      </c>
      <c r="S322" t="str">
        <f t="shared" si="4"/>
        <v>HIGH</v>
      </c>
    </row>
    <row r="323" spans="1:19" x14ac:dyDescent="0.3">
      <c r="A323">
        <v>30</v>
      </c>
      <c r="B323" t="s">
        <v>15</v>
      </c>
      <c r="C323">
        <v>19016.22</v>
      </c>
      <c r="D323" t="s">
        <v>656</v>
      </c>
      <c r="E323">
        <v>19016.22</v>
      </c>
      <c r="F323">
        <v>0</v>
      </c>
      <c r="G323" t="s">
        <v>657</v>
      </c>
      <c r="H323">
        <v>0</v>
      </c>
      <c r="I323">
        <v>0</v>
      </c>
      <c r="J323">
        <v>1</v>
      </c>
      <c r="K323">
        <v>0</v>
      </c>
      <c r="L323">
        <v>6</v>
      </c>
      <c r="M323">
        <v>0</v>
      </c>
      <c r="N323">
        <v>1</v>
      </c>
      <c r="O323">
        <v>19016.22</v>
      </c>
      <c r="P323">
        <f>IF(C323&gt;=200000,5,IF(C323&gt;=100000,4,IF(C323&gt;=50000,3,IF(C323&gt;=10000,2,1))))</f>
        <v>2</v>
      </c>
      <c r="Q323">
        <f>IF(B323="TRANSFER",5,IF(B323="CASH_OUT",4,IF(B323="DEBIT",2,1)))</f>
        <v>5</v>
      </c>
      <c r="R323">
        <f>(P323*0.5)+(Q323*0.3)+(N323*0.1)+(M323*0.1)</f>
        <v>2.6</v>
      </c>
      <c r="S323" t="str">
        <f t="shared" ref="S323:S386" si="5">IF(R323&gt;=3,"HIGH",IF(R323&gt;=2,"MEDIUM","LOW"))</f>
        <v>MEDIUM</v>
      </c>
    </row>
    <row r="324" spans="1:19" x14ac:dyDescent="0.3">
      <c r="A324">
        <v>30</v>
      </c>
      <c r="B324" t="s">
        <v>18</v>
      </c>
      <c r="C324">
        <v>19016.22</v>
      </c>
      <c r="D324" t="s">
        <v>658</v>
      </c>
      <c r="E324">
        <v>19016.22</v>
      </c>
      <c r="F324">
        <v>0</v>
      </c>
      <c r="G324" t="s">
        <v>659</v>
      </c>
      <c r="H324">
        <v>9347999.5199999996</v>
      </c>
      <c r="I324">
        <v>9367015.7400000002</v>
      </c>
      <c r="J324">
        <v>1</v>
      </c>
      <c r="K324">
        <v>0</v>
      </c>
      <c r="L324">
        <v>6</v>
      </c>
      <c r="M324">
        <v>0</v>
      </c>
      <c r="N324">
        <v>1</v>
      </c>
      <c r="O324">
        <v>19016.22</v>
      </c>
      <c r="P324">
        <f>IF(C324&gt;=200000,5,IF(C324&gt;=100000,4,IF(C324&gt;=50000,3,IF(C324&gt;=10000,2,1))))</f>
        <v>2</v>
      </c>
      <c r="Q324">
        <f>IF(B324="TRANSFER",5,IF(B324="CASH_OUT",4,IF(B324="DEBIT",2,1)))</f>
        <v>4</v>
      </c>
      <c r="R324">
        <f>(P324*0.5)+(Q324*0.3)+(N324*0.1)+(M324*0.1)</f>
        <v>2.3000000000000003</v>
      </c>
      <c r="S324" t="str">
        <f t="shared" si="5"/>
        <v>MEDIUM</v>
      </c>
    </row>
    <row r="325" spans="1:19" x14ac:dyDescent="0.3">
      <c r="A325">
        <v>30</v>
      </c>
      <c r="B325" t="s">
        <v>15</v>
      </c>
      <c r="C325">
        <v>109401.88</v>
      </c>
      <c r="D325" t="s">
        <v>660</v>
      </c>
      <c r="E325">
        <v>109401.88</v>
      </c>
      <c r="F325">
        <v>0</v>
      </c>
      <c r="G325" t="s">
        <v>661</v>
      </c>
      <c r="H325">
        <v>0</v>
      </c>
      <c r="I325">
        <v>0</v>
      </c>
      <c r="J325">
        <v>1</v>
      </c>
      <c r="K325">
        <v>0</v>
      </c>
      <c r="L325">
        <v>6</v>
      </c>
      <c r="M325">
        <v>0</v>
      </c>
      <c r="N325">
        <v>1</v>
      </c>
      <c r="O325">
        <v>109401.88</v>
      </c>
      <c r="P325">
        <f>IF(C325&gt;=200000,5,IF(C325&gt;=100000,4,IF(C325&gt;=50000,3,IF(C325&gt;=10000,2,1))))</f>
        <v>4</v>
      </c>
      <c r="Q325">
        <f>IF(B325="TRANSFER",5,IF(B325="CASH_OUT",4,IF(B325="DEBIT",2,1)))</f>
        <v>5</v>
      </c>
      <c r="R325">
        <f>(P325*0.5)+(Q325*0.3)+(N325*0.1)+(M325*0.1)</f>
        <v>3.6</v>
      </c>
      <c r="S325" t="str">
        <f t="shared" si="5"/>
        <v>HIGH</v>
      </c>
    </row>
    <row r="326" spans="1:19" x14ac:dyDescent="0.3">
      <c r="A326">
        <v>30</v>
      </c>
      <c r="B326" t="s">
        <v>18</v>
      </c>
      <c r="C326">
        <v>109401.88</v>
      </c>
      <c r="D326" t="s">
        <v>662</v>
      </c>
      <c r="E326">
        <v>109401.88</v>
      </c>
      <c r="F326">
        <v>0</v>
      </c>
      <c r="G326" t="s">
        <v>663</v>
      </c>
      <c r="H326">
        <v>245588.62</v>
      </c>
      <c r="I326">
        <v>354990.5</v>
      </c>
      <c r="J326">
        <v>1</v>
      </c>
      <c r="K326">
        <v>0</v>
      </c>
      <c r="L326">
        <v>6</v>
      </c>
      <c r="M326">
        <v>0</v>
      </c>
      <c r="N326">
        <v>1</v>
      </c>
      <c r="O326">
        <v>109401.88</v>
      </c>
      <c r="P326">
        <f>IF(C326&gt;=200000,5,IF(C326&gt;=100000,4,IF(C326&gt;=50000,3,IF(C326&gt;=10000,2,1))))</f>
        <v>4</v>
      </c>
      <c r="Q326">
        <f>IF(B326="TRANSFER",5,IF(B326="CASH_OUT",4,IF(B326="DEBIT",2,1)))</f>
        <v>4</v>
      </c>
      <c r="R326">
        <f>(P326*0.5)+(Q326*0.3)+(N326*0.1)+(M326*0.1)</f>
        <v>3.3000000000000003</v>
      </c>
      <c r="S326" t="str">
        <f t="shared" si="5"/>
        <v>HIGH</v>
      </c>
    </row>
    <row r="327" spans="1:19" x14ac:dyDescent="0.3">
      <c r="A327">
        <v>31</v>
      </c>
      <c r="B327" t="s">
        <v>15</v>
      </c>
      <c r="C327">
        <v>335219.49</v>
      </c>
      <c r="D327" t="s">
        <v>664</v>
      </c>
      <c r="E327">
        <v>335219.49</v>
      </c>
      <c r="F327">
        <v>0</v>
      </c>
      <c r="G327" t="s">
        <v>665</v>
      </c>
      <c r="H327">
        <v>0</v>
      </c>
      <c r="I327">
        <v>0</v>
      </c>
      <c r="J327">
        <v>1</v>
      </c>
      <c r="K327">
        <v>0</v>
      </c>
      <c r="L327">
        <v>7</v>
      </c>
      <c r="M327">
        <v>0</v>
      </c>
      <c r="N327">
        <v>1</v>
      </c>
      <c r="O327">
        <v>335219.49</v>
      </c>
      <c r="P327">
        <f>IF(C327&gt;=200000,5,IF(C327&gt;=100000,4,IF(C327&gt;=50000,3,IF(C327&gt;=10000,2,1))))</f>
        <v>5</v>
      </c>
      <c r="Q327">
        <f>IF(B327="TRANSFER",5,IF(B327="CASH_OUT",4,IF(B327="DEBIT",2,1)))</f>
        <v>5</v>
      </c>
      <c r="R327">
        <f>(P327*0.5)+(Q327*0.3)+(N327*0.1)+(M327*0.1)</f>
        <v>4.0999999999999996</v>
      </c>
      <c r="S327" t="str">
        <f t="shared" si="5"/>
        <v>HIGH</v>
      </c>
    </row>
    <row r="328" spans="1:19" x14ac:dyDescent="0.3">
      <c r="A328">
        <v>31</v>
      </c>
      <c r="B328" t="s">
        <v>18</v>
      </c>
      <c r="C328">
        <v>335219.49</v>
      </c>
      <c r="D328" t="s">
        <v>666</v>
      </c>
      <c r="E328">
        <v>335219.49</v>
      </c>
      <c r="F328">
        <v>0</v>
      </c>
      <c r="G328" t="s">
        <v>667</v>
      </c>
      <c r="H328">
        <v>111675.56</v>
      </c>
      <c r="I328">
        <v>446895.05</v>
      </c>
      <c r="J328">
        <v>1</v>
      </c>
      <c r="K328">
        <v>0</v>
      </c>
      <c r="L328">
        <v>7</v>
      </c>
      <c r="M328">
        <v>0</v>
      </c>
      <c r="N328">
        <v>1</v>
      </c>
      <c r="O328">
        <v>335219.49</v>
      </c>
      <c r="P328">
        <f>IF(C328&gt;=200000,5,IF(C328&gt;=100000,4,IF(C328&gt;=50000,3,IF(C328&gt;=10000,2,1))))</f>
        <v>5</v>
      </c>
      <c r="Q328">
        <f>IF(B328="TRANSFER",5,IF(B328="CASH_OUT",4,IF(B328="DEBIT",2,1)))</f>
        <v>4</v>
      </c>
      <c r="R328">
        <f>(P328*0.5)+(Q328*0.3)+(N328*0.1)+(M328*0.1)</f>
        <v>3.8000000000000003</v>
      </c>
      <c r="S328" t="str">
        <f t="shared" si="5"/>
        <v>HIGH</v>
      </c>
    </row>
    <row r="329" spans="1:19" x14ac:dyDescent="0.3">
      <c r="A329">
        <v>31</v>
      </c>
      <c r="B329" t="s">
        <v>15</v>
      </c>
      <c r="C329">
        <v>120406.39</v>
      </c>
      <c r="D329" t="s">
        <v>668</v>
      </c>
      <c r="E329">
        <v>120406.39</v>
      </c>
      <c r="F329">
        <v>0</v>
      </c>
      <c r="G329" t="s">
        <v>669</v>
      </c>
      <c r="H329">
        <v>0</v>
      </c>
      <c r="I329">
        <v>0</v>
      </c>
      <c r="J329">
        <v>1</v>
      </c>
      <c r="K329">
        <v>0</v>
      </c>
      <c r="L329">
        <v>7</v>
      </c>
      <c r="M329">
        <v>0</v>
      </c>
      <c r="N329">
        <v>1</v>
      </c>
      <c r="O329">
        <v>120406.39</v>
      </c>
      <c r="P329">
        <f>IF(C329&gt;=200000,5,IF(C329&gt;=100000,4,IF(C329&gt;=50000,3,IF(C329&gt;=10000,2,1))))</f>
        <v>4</v>
      </c>
      <c r="Q329">
        <f>IF(B329="TRANSFER",5,IF(B329="CASH_OUT",4,IF(B329="DEBIT",2,1)))</f>
        <v>5</v>
      </c>
      <c r="R329">
        <f>(P329*0.5)+(Q329*0.3)+(N329*0.1)+(M329*0.1)</f>
        <v>3.6</v>
      </c>
      <c r="S329" t="str">
        <f t="shared" si="5"/>
        <v>HIGH</v>
      </c>
    </row>
    <row r="330" spans="1:19" x14ac:dyDescent="0.3">
      <c r="A330">
        <v>31</v>
      </c>
      <c r="B330" t="s">
        <v>18</v>
      </c>
      <c r="C330">
        <v>120406.39</v>
      </c>
      <c r="D330" t="s">
        <v>670</v>
      </c>
      <c r="E330">
        <v>120406.39</v>
      </c>
      <c r="F330">
        <v>0</v>
      </c>
      <c r="G330" t="s">
        <v>671</v>
      </c>
      <c r="H330">
        <v>0</v>
      </c>
      <c r="I330">
        <v>120406.39</v>
      </c>
      <c r="J330">
        <v>1</v>
      </c>
      <c r="K330">
        <v>0</v>
      </c>
      <c r="L330">
        <v>7</v>
      </c>
      <c r="M330">
        <v>0</v>
      </c>
      <c r="N330">
        <v>1</v>
      </c>
      <c r="O330">
        <v>120406.39</v>
      </c>
      <c r="P330">
        <f>IF(C330&gt;=200000,5,IF(C330&gt;=100000,4,IF(C330&gt;=50000,3,IF(C330&gt;=10000,2,1))))</f>
        <v>4</v>
      </c>
      <c r="Q330">
        <f>IF(B330="TRANSFER",5,IF(B330="CASH_OUT",4,IF(B330="DEBIT",2,1)))</f>
        <v>4</v>
      </c>
      <c r="R330">
        <f>(P330*0.5)+(Q330*0.3)+(N330*0.1)+(M330*0.1)</f>
        <v>3.3000000000000003</v>
      </c>
      <c r="S330" t="str">
        <f t="shared" si="5"/>
        <v>HIGH</v>
      </c>
    </row>
    <row r="331" spans="1:19" x14ac:dyDescent="0.3">
      <c r="A331">
        <v>31</v>
      </c>
      <c r="B331" t="s">
        <v>15</v>
      </c>
      <c r="C331">
        <v>21516.38</v>
      </c>
      <c r="D331" t="s">
        <v>672</v>
      </c>
      <c r="E331">
        <v>21516.38</v>
      </c>
      <c r="F331">
        <v>0</v>
      </c>
      <c r="G331" t="s">
        <v>673</v>
      </c>
      <c r="H331">
        <v>0</v>
      </c>
      <c r="I331">
        <v>0</v>
      </c>
      <c r="J331">
        <v>1</v>
      </c>
      <c r="K331">
        <v>0</v>
      </c>
      <c r="L331">
        <v>7</v>
      </c>
      <c r="M331">
        <v>0</v>
      </c>
      <c r="N331">
        <v>1</v>
      </c>
      <c r="O331">
        <v>21516.38</v>
      </c>
      <c r="P331">
        <f>IF(C331&gt;=200000,5,IF(C331&gt;=100000,4,IF(C331&gt;=50000,3,IF(C331&gt;=10000,2,1))))</f>
        <v>2</v>
      </c>
      <c r="Q331">
        <f>IF(B331="TRANSFER",5,IF(B331="CASH_OUT",4,IF(B331="DEBIT",2,1)))</f>
        <v>5</v>
      </c>
      <c r="R331">
        <f>(P331*0.5)+(Q331*0.3)+(N331*0.1)+(M331*0.1)</f>
        <v>2.6</v>
      </c>
      <c r="S331" t="str">
        <f t="shared" si="5"/>
        <v>MEDIUM</v>
      </c>
    </row>
    <row r="332" spans="1:19" x14ac:dyDescent="0.3">
      <c r="A332">
        <v>31</v>
      </c>
      <c r="B332" t="s">
        <v>18</v>
      </c>
      <c r="C332">
        <v>21516.38</v>
      </c>
      <c r="D332" t="s">
        <v>674</v>
      </c>
      <c r="E332">
        <v>21516.38</v>
      </c>
      <c r="F332">
        <v>0</v>
      </c>
      <c r="G332" t="s">
        <v>675</v>
      </c>
      <c r="H332">
        <v>900122.84</v>
      </c>
      <c r="I332">
        <v>921639.22</v>
      </c>
      <c r="J332">
        <v>1</v>
      </c>
      <c r="K332">
        <v>0</v>
      </c>
      <c r="L332">
        <v>7</v>
      </c>
      <c r="M332">
        <v>0</v>
      </c>
      <c r="N332">
        <v>1</v>
      </c>
      <c r="O332">
        <v>21516.38</v>
      </c>
      <c r="P332">
        <f>IF(C332&gt;=200000,5,IF(C332&gt;=100000,4,IF(C332&gt;=50000,3,IF(C332&gt;=10000,2,1))))</f>
        <v>2</v>
      </c>
      <c r="Q332">
        <f>IF(B332="TRANSFER",5,IF(B332="CASH_OUT",4,IF(B332="DEBIT",2,1)))</f>
        <v>4</v>
      </c>
      <c r="R332">
        <f>(P332*0.5)+(Q332*0.3)+(N332*0.1)+(M332*0.1)</f>
        <v>2.3000000000000003</v>
      </c>
      <c r="S332" t="str">
        <f t="shared" si="5"/>
        <v>MEDIUM</v>
      </c>
    </row>
    <row r="333" spans="1:19" x14ac:dyDescent="0.3">
      <c r="A333">
        <v>31</v>
      </c>
      <c r="B333" t="s">
        <v>15</v>
      </c>
      <c r="C333">
        <v>378204.02</v>
      </c>
      <c r="D333" t="s">
        <v>676</v>
      </c>
      <c r="E333">
        <v>378204.02</v>
      </c>
      <c r="F333">
        <v>0</v>
      </c>
      <c r="G333" t="s">
        <v>677</v>
      </c>
      <c r="H333">
        <v>0</v>
      </c>
      <c r="I333">
        <v>0</v>
      </c>
      <c r="J333">
        <v>1</v>
      </c>
      <c r="K333">
        <v>0</v>
      </c>
      <c r="L333">
        <v>7</v>
      </c>
      <c r="M333">
        <v>0</v>
      </c>
      <c r="N333">
        <v>1</v>
      </c>
      <c r="O333">
        <v>378204.02</v>
      </c>
      <c r="P333">
        <f>IF(C333&gt;=200000,5,IF(C333&gt;=100000,4,IF(C333&gt;=50000,3,IF(C333&gt;=10000,2,1))))</f>
        <v>5</v>
      </c>
      <c r="Q333">
        <f>IF(B333="TRANSFER",5,IF(B333="CASH_OUT",4,IF(B333="DEBIT",2,1)))</f>
        <v>5</v>
      </c>
      <c r="R333">
        <f>(P333*0.5)+(Q333*0.3)+(N333*0.1)+(M333*0.1)</f>
        <v>4.0999999999999996</v>
      </c>
      <c r="S333" t="str">
        <f t="shared" si="5"/>
        <v>HIGH</v>
      </c>
    </row>
    <row r="334" spans="1:19" x14ac:dyDescent="0.3">
      <c r="A334">
        <v>31</v>
      </c>
      <c r="B334" t="s">
        <v>18</v>
      </c>
      <c r="C334">
        <v>378204.02</v>
      </c>
      <c r="D334" t="s">
        <v>678</v>
      </c>
      <c r="E334">
        <v>378204.02</v>
      </c>
      <c r="F334">
        <v>0</v>
      </c>
      <c r="G334" t="s">
        <v>679</v>
      </c>
      <c r="H334">
        <v>0</v>
      </c>
      <c r="I334">
        <v>378204.02</v>
      </c>
      <c r="J334">
        <v>1</v>
      </c>
      <c r="K334">
        <v>0</v>
      </c>
      <c r="L334">
        <v>7</v>
      </c>
      <c r="M334">
        <v>0</v>
      </c>
      <c r="N334">
        <v>1</v>
      </c>
      <c r="O334">
        <v>378204.02</v>
      </c>
      <c r="P334">
        <f>IF(C334&gt;=200000,5,IF(C334&gt;=100000,4,IF(C334&gt;=50000,3,IF(C334&gt;=10000,2,1))))</f>
        <v>5</v>
      </c>
      <c r="Q334">
        <f>IF(B334="TRANSFER",5,IF(B334="CASH_OUT",4,IF(B334="DEBIT",2,1)))</f>
        <v>4</v>
      </c>
      <c r="R334">
        <f>(P334*0.5)+(Q334*0.3)+(N334*0.1)+(M334*0.1)</f>
        <v>3.8000000000000003</v>
      </c>
      <c r="S334" t="str">
        <f t="shared" si="5"/>
        <v>HIGH</v>
      </c>
    </row>
    <row r="335" spans="1:19" x14ac:dyDescent="0.3">
      <c r="A335">
        <v>31</v>
      </c>
      <c r="B335" t="s">
        <v>15</v>
      </c>
      <c r="C335">
        <v>5021186.54</v>
      </c>
      <c r="D335" t="s">
        <v>680</v>
      </c>
      <c r="E335">
        <v>5021186.54</v>
      </c>
      <c r="F335">
        <v>0</v>
      </c>
      <c r="G335" t="s">
        <v>681</v>
      </c>
      <c r="H335">
        <v>0</v>
      </c>
      <c r="I335">
        <v>0</v>
      </c>
      <c r="J335">
        <v>1</v>
      </c>
      <c r="K335">
        <v>0</v>
      </c>
      <c r="L335">
        <v>7</v>
      </c>
      <c r="M335">
        <v>0</v>
      </c>
      <c r="N335">
        <v>1</v>
      </c>
      <c r="O335">
        <v>5021186.54</v>
      </c>
      <c r="P335">
        <f>IF(C335&gt;=200000,5,IF(C335&gt;=100000,4,IF(C335&gt;=50000,3,IF(C335&gt;=10000,2,1))))</f>
        <v>5</v>
      </c>
      <c r="Q335">
        <f>IF(B335="TRANSFER",5,IF(B335="CASH_OUT",4,IF(B335="DEBIT",2,1)))</f>
        <v>5</v>
      </c>
      <c r="R335">
        <f>(P335*0.5)+(Q335*0.3)+(N335*0.1)+(M335*0.1)</f>
        <v>4.0999999999999996</v>
      </c>
      <c r="S335" t="str">
        <f t="shared" si="5"/>
        <v>HIGH</v>
      </c>
    </row>
    <row r="336" spans="1:19" x14ac:dyDescent="0.3">
      <c r="A336">
        <v>31</v>
      </c>
      <c r="B336" t="s">
        <v>18</v>
      </c>
      <c r="C336">
        <v>5021186.54</v>
      </c>
      <c r="D336" t="s">
        <v>682</v>
      </c>
      <c r="E336">
        <v>5021186.54</v>
      </c>
      <c r="F336">
        <v>0</v>
      </c>
      <c r="G336" t="s">
        <v>683</v>
      </c>
      <c r="H336">
        <v>880859.14</v>
      </c>
      <c r="I336">
        <v>5902045.6799999997</v>
      </c>
      <c r="J336">
        <v>1</v>
      </c>
      <c r="K336">
        <v>0</v>
      </c>
      <c r="L336">
        <v>7</v>
      </c>
      <c r="M336">
        <v>0</v>
      </c>
      <c r="N336">
        <v>1</v>
      </c>
      <c r="O336">
        <v>5021186.54</v>
      </c>
      <c r="P336">
        <f>IF(C336&gt;=200000,5,IF(C336&gt;=100000,4,IF(C336&gt;=50000,3,IF(C336&gt;=10000,2,1))))</f>
        <v>5</v>
      </c>
      <c r="Q336">
        <f>IF(B336="TRANSFER",5,IF(B336="CASH_OUT",4,IF(B336="DEBIT",2,1)))</f>
        <v>4</v>
      </c>
      <c r="R336">
        <f>(P336*0.5)+(Q336*0.3)+(N336*0.1)+(M336*0.1)</f>
        <v>3.8000000000000003</v>
      </c>
      <c r="S336" t="str">
        <f t="shared" si="5"/>
        <v>HIGH</v>
      </c>
    </row>
    <row r="337" spans="1:19" x14ac:dyDescent="0.3">
      <c r="A337">
        <v>31</v>
      </c>
      <c r="B337" t="s">
        <v>15</v>
      </c>
      <c r="C337">
        <v>587031.19999999995</v>
      </c>
      <c r="D337" t="s">
        <v>684</v>
      </c>
      <c r="E337">
        <v>587031.19999999995</v>
      </c>
      <c r="F337">
        <v>0</v>
      </c>
      <c r="G337" t="s">
        <v>685</v>
      </c>
      <c r="H337">
        <v>0</v>
      </c>
      <c r="I337">
        <v>0</v>
      </c>
      <c r="J337">
        <v>1</v>
      </c>
      <c r="K337">
        <v>0</v>
      </c>
      <c r="L337">
        <v>7</v>
      </c>
      <c r="M337">
        <v>0</v>
      </c>
      <c r="N337">
        <v>1</v>
      </c>
      <c r="O337">
        <v>587031.19999999995</v>
      </c>
      <c r="P337">
        <f>IF(C337&gt;=200000,5,IF(C337&gt;=100000,4,IF(C337&gt;=50000,3,IF(C337&gt;=10000,2,1))))</f>
        <v>5</v>
      </c>
      <c r="Q337">
        <f>IF(B337="TRANSFER",5,IF(B337="CASH_OUT",4,IF(B337="DEBIT",2,1)))</f>
        <v>5</v>
      </c>
      <c r="R337">
        <f>(P337*0.5)+(Q337*0.3)+(N337*0.1)+(M337*0.1)</f>
        <v>4.0999999999999996</v>
      </c>
      <c r="S337" t="str">
        <f t="shared" si="5"/>
        <v>HIGH</v>
      </c>
    </row>
    <row r="338" spans="1:19" x14ac:dyDescent="0.3">
      <c r="A338">
        <v>31</v>
      </c>
      <c r="B338" t="s">
        <v>18</v>
      </c>
      <c r="C338">
        <v>587031.19999999995</v>
      </c>
      <c r="D338" t="s">
        <v>686</v>
      </c>
      <c r="E338">
        <v>587031.19999999995</v>
      </c>
      <c r="F338">
        <v>0</v>
      </c>
      <c r="G338" t="s">
        <v>687</v>
      </c>
      <c r="H338">
        <v>338247.75</v>
      </c>
      <c r="I338">
        <v>925278.94</v>
      </c>
      <c r="J338">
        <v>1</v>
      </c>
      <c r="K338">
        <v>0</v>
      </c>
      <c r="L338">
        <v>7</v>
      </c>
      <c r="M338">
        <v>0</v>
      </c>
      <c r="N338">
        <v>1</v>
      </c>
      <c r="O338">
        <v>587031.19999999995</v>
      </c>
      <c r="P338">
        <f>IF(C338&gt;=200000,5,IF(C338&gt;=100000,4,IF(C338&gt;=50000,3,IF(C338&gt;=10000,2,1))))</f>
        <v>5</v>
      </c>
      <c r="Q338">
        <f>IF(B338="TRANSFER",5,IF(B338="CASH_OUT",4,IF(B338="DEBIT",2,1)))</f>
        <v>4</v>
      </c>
      <c r="R338">
        <f>(P338*0.5)+(Q338*0.3)+(N338*0.1)+(M338*0.1)</f>
        <v>3.8000000000000003</v>
      </c>
      <c r="S338" t="str">
        <f t="shared" si="5"/>
        <v>HIGH</v>
      </c>
    </row>
    <row r="339" spans="1:19" x14ac:dyDescent="0.3">
      <c r="A339">
        <v>32</v>
      </c>
      <c r="B339" t="s">
        <v>15</v>
      </c>
      <c r="C339">
        <v>81867.070000000007</v>
      </c>
      <c r="D339" t="s">
        <v>688</v>
      </c>
      <c r="E339">
        <v>81867.070000000007</v>
      </c>
      <c r="F339">
        <v>0</v>
      </c>
      <c r="G339" t="s">
        <v>689</v>
      </c>
      <c r="H339">
        <v>0</v>
      </c>
      <c r="I339">
        <v>0</v>
      </c>
      <c r="J339">
        <v>1</v>
      </c>
      <c r="K339">
        <v>0</v>
      </c>
      <c r="L339">
        <v>8</v>
      </c>
      <c r="M339">
        <v>0</v>
      </c>
      <c r="N339">
        <v>1</v>
      </c>
      <c r="O339">
        <v>81867.070000000007</v>
      </c>
      <c r="P339">
        <f>IF(C339&gt;=200000,5,IF(C339&gt;=100000,4,IF(C339&gt;=50000,3,IF(C339&gt;=10000,2,1))))</f>
        <v>3</v>
      </c>
      <c r="Q339">
        <f>IF(B339="TRANSFER",5,IF(B339="CASH_OUT",4,IF(B339="DEBIT",2,1)))</f>
        <v>5</v>
      </c>
      <c r="R339">
        <f>(P339*0.5)+(Q339*0.3)+(N339*0.1)+(M339*0.1)</f>
        <v>3.1</v>
      </c>
      <c r="S339" t="str">
        <f t="shared" si="5"/>
        <v>HIGH</v>
      </c>
    </row>
    <row r="340" spans="1:19" x14ac:dyDescent="0.3">
      <c r="A340">
        <v>32</v>
      </c>
      <c r="B340" t="s">
        <v>18</v>
      </c>
      <c r="C340">
        <v>81867.070000000007</v>
      </c>
      <c r="D340" t="s">
        <v>690</v>
      </c>
      <c r="E340">
        <v>81867.070000000007</v>
      </c>
      <c r="F340">
        <v>0</v>
      </c>
      <c r="G340" t="s">
        <v>691</v>
      </c>
      <c r="H340">
        <v>135117.98000000001</v>
      </c>
      <c r="I340">
        <v>216985.05</v>
      </c>
      <c r="J340">
        <v>1</v>
      </c>
      <c r="K340">
        <v>0</v>
      </c>
      <c r="L340">
        <v>8</v>
      </c>
      <c r="M340">
        <v>0</v>
      </c>
      <c r="N340">
        <v>1</v>
      </c>
      <c r="O340">
        <v>81867.070000000007</v>
      </c>
      <c r="P340">
        <f>IF(C340&gt;=200000,5,IF(C340&gt;=100000,4,IF(C340&gt;=50000,3,IF(C340&gt;=10000,2,1))))</f>
        <v>3</v>
      </c>
      <c r="Q340">
        <f>IF(B340="TRANSFER",5,IF(B340="CASH_OUT",4,IF(B340="DEBIT",2,1)))</f>
        <v>4</v>
      </c>
      <c r="R340">
        <f>(P340*0.5)+(Q340*0.3)+(N340*0.1)+(M340*0.1)</f>
        <v>2.8000000000000003</v>
      </c>
      <c r="S340" t="str">
        <f t="shared" si="5"/>
        <v>MEDIUM</v>
      </c>
    </row>
    <row r="341" spans="1:19" x14ac:dyDescent="0.3">
      <c r="A341">
        <v>32</v>
      </c>
      <c r="B341" t="s">
        <v>15</v>
      </c>
      <c r="C341">
        <v>2023920.09</v>
      </c>
      <c r="D341" t="s">
        <v>692</v>
      </c>
      <c r="E341">
        <v>2023920.09</v>
      </c>
      <c r="F341">
        <v>0</v>
      </c>
      <c r="G341" t="s">
        <v>693</v>
      </c>
      <c r="H341">
        <v>0</v>
      </c>
      <c r="I341">
        <v>0</v>
      </c>
      <c r="J341">
        <v>1</v>
      </c>
      <c r="K341">
        <v>0</v>
      </c>
      <c r="L341">
        <v>8</v>
      </c>
      <c r="M341">
        <v>0</v>
      </c>
      <c r="N341">
        <v>1</v>
      </c>
      <c r="O341">
        <v>2023920.09</v>
      </c>
      <c r="P341">
        <f>IF(C341&gt;=200000,5,IF(C341&gt;=100000,4,IF(C341&gt;=50000,3,IF(C341&gt;=10000,2,1))))</f>
        <v>5</v>
      </c>
      <c r="Q341">
        <f>IF(B341="TRANSFER",5,IF(B341="CASH_OUT",4,IF(B341="DEBIT",2,1)))</f>
        <v>5</v>
      </c>
      <c r="R341">
        <f>(P341*0.5)+(Q341*0.3)+(N341*0.1)+(M341*0.1)</f>
        <v>4.0999999999999996</v>
      </c>
      <c r="S341" t="str">
        <f t="shared" si="5"/>
        <v>HIGH</v>
      </c>
    </row>
    <row r="342" spans="1:19" x14ac:dyDescent="0.3">
      <c r="A342">
        <v>32</v>
      </c>
      <c r="B342" t="s">
        <v>18</v>
      </c>
      <c r="C342">
        <v>2023920.09</v>
      </c>
      <c r="D342" t="s">
        <v>694</v>
      </c>
      <c r="E342">
        <v>2023920.09</v>
      </c>
      <c r="F342">
        <v>0</v>
      </c>
      <c r="G342" t="s">
        <v>695</v>
      </c>
      <c r="H342">
        <v>1530400.88</v>
      </c>
      <c r="I342">
        <v>3554320.97</v>
      </c>
      <c r="J342">
        <v>1</v>
      </c>
      <c r="K342">
        <v>0</v>
      </c>
      <c r="L342">
        <v>8</v>
      </c>
      <c r="M342">
        <v>0</v>
      </c>
      <c r="N342">
        <v>1</v>
      </c>
      <c r="O342">
        <v>2023920.09</v>
      </c>
      <c r="P342">
        <f>IF(C342&gt;=200000,5,IF(C342&gt;=100000,4,IF(C342&gt;=50000,3,IF(C342&gt;=10000,2,1))))</f>
        <v>5</v>
      </c>
      <c r="Q342">
        <f>IF(B342="TRANSFER",5,IF(B342="CASH_OUT",4,IF(B342="DEBIT",2,1)))</f>
        <v>4</v>
      </c>
      <c r="R342">
        <f>(P342*0.5)+(Q342*0.3)+(N342*0.1)+(M342*0.1)</f>
        <v>3.8000000000000003</v>
      </c>
      <c r="S342" t="str">
        <f t="shared" si="5"/>
        <v>HIGH</v>
      </c>
    </row>
    <row r="343" spans="1:19" x14ac:dyDescent="0.3">
      <c r="A343">
        <v>32</v>
      </c>
      <c r="B343" t="s">
        <v>15</v>
      </c>
      <c r="C343">
        <v>404165.06</v>
      </c>
      <c r="D343" t="s">
        <v>696</v>
      </c>
      <c r="E343">
        <v>404165.06</v>
      </c>
      <c r="F343">
        <v>0</v>
      </c>
      <c r="G343" t="s">
        <v>697</v>
      </c>
      <c r="H343">
        <v>0</v>
      </c>
      <c r="I343">
        <v>0</v>
      </c>
      <c r="J343">
        <v>1</v>
      </c>
      <c r="K343">
        <v>0</v>
      </c>
      <c r="L343">
        <v>8</v>
      </c>
      <c r="M343">
        <v>0</v>
      </c>
      <c r="N343">
        <v>1</v>
      </c>
      <c r="O343">
        <v>404165.06</v>
      </c>
      <c r="P343">
        <f>IF(C343&gt;=200000,5,IF(C343&gt;=100000,4,IF(C343&gt;=50000,3,IF(C343&gt;=10000,2,1))))</f>
        <v>5</v>
      </c>
      <c r="Q343">
        <f>IF(B343="TRANSFER",5,IF(B343="CASH_OUT",4,IF(B343="DEBIT",2,1)))</f>
        <v>5</v>
      </c>
      <c r="R343">
        <f>(P343*0.5)+(Q343*0.3)+(N343*0.1)+(M343*0.1)</f>
        <v>4.0999999999999996</v>
      </c>
      <c r="S343" t="str">
        <f t="shared" si="5"/>
        <v>HIGH</v>
      </c>
    </row>
    <row r="344" spans="1:19" x14ac:dyDescent="0.3">
      <c r="A344">
        <v>32</v>
      </c>
      <c r="B344" t="s">
        <v>18</v>
      </c>
      <c r="C344">
        <v>404165.06</v>
      </c>
      <c r="D344" t="s">
        <v>698</v>
      </c>
      <c r="E344">
        <v>404165.06</v>
      </c>
      <c r="F344">
        <v>0</v>
      </c>
      <c r="G344" t="s">
        <v>699</v>
      </c>
      <c r="H344">
        <v>0</v>
      </c>
      <c r="I344">
        <v>404165.06</v>
      </c>
      <c r="J344">
        <v>1</v>
      </c>
      <c r="K344">
        <v>0</v>
      </c>
      <c r="L344">
        <v>8</v>
      </c>
      <c r="M344">
        <v>0</v>
      </c>
      <c r="N344">
        <v>1</v>
      </c>
      <c r="O344">
        <v>404165.06</v>
      </c>
      <c r="P344">
        <f>IF(C344&gt;=200000,5,IF(C344&gt;=100000,4,IF(C344&gt;=50000,3,IF(C344&gt;=10000,2,1))))</f>
        <v>5</v>
      </c>
      <c r="Q344">
        <f>IF(B344="TRANSFER",5,IF(B344="CASH_OUT",4,IF(B344="DEBIT",2,1)))</f>
        <v>4</v>
      </c>
      <c r="R344">
        <f>(P344*0.5)+(Q344*0.3)+(N344*0.1)+(M344*0.1)</f>
        <v>3.8000000000000003</v>
      </c>
      <c r="S344" t="str">
        <f t="shared" si="5"/>
        <v>HIGH</v>
      </c>
    </row>
    <row r="345" spans="1:19" x14ac:dyDescent="0.3">
      <c r="A345">
        <v>32</v>
      </c>
      <c r="B345" t="s">
        <v>15</v>
      </c>
      <c r="C345">
        <v>1164448.96</v>
      </c>
      <c r="D345" t="s">
        <v>700</v>
      </c>
      <c r="E345">
        <v>1164448.96</v>
      </c>
      <c r="F345">
        <v>0</v>
      </c>
      <c r="G345" t="s">
        <v>701</v>
      </c>
      <c r="H345">
        <v>0</v>
      </c>
      <c r="I345">
        <v>0</v>
      </c>
      <c r="J345">
        <v>1</v>
      </c>
      <c r="K345">
        <v>0</v>
      </c>
      <c r="L345">
        <v>8</v>
      </c>
      <c r="M345">
        <v>0</v>
      </c>
      <c r="N345">
        <v>1</v>
      </c>
      <c r="O345">
        <v>1164448.96</v>
      </c>
      <c r="P345">
        <f>IF(C345&gt;=200000,5,IF(C345&gt;=100000,4,IF(C345&gt;=50000,3,IF(C345&gt;=10000,2,1))))</f>
        <v>5</v>
      </c>
      <c r="Q345">
        <f>IF(B345="TRANSFER",5,IF(B345="CASH_OUT",4,IF(B345="DEBIT",2,1)))</f>
        <v>5</v>
      </c>
      <c r="R345">
        <f>(P345*0.5)+(Q345*0.3)+(N345*0.1)+(M345*0.1)</f>
        <v>4.0999999999999996</v>
      </c>
      <c r="S345" t="str">
        <f t="shared" si="5"/>
        <v>HIGH</v>
      </c>
    </row>
    <row r="346" spans="1:19" x14ac:dyDescent="0.3">
      <c r="A346">
        <v>32</v>
      </c>
      <c r="B346" t="s">
        <v>18</v>
      </c>
      <c r="C346">
        <v>1164448.96</v>
      </c>
      <c r="D346" t="s">
        <v>702</v>
      </c>
      <c r="E346">
        <v>1164448.96</v>
      </c>
      <c r="F346">
        <v>0</v>
      </c>
      <c r="G346" t="s">
        <v>703</v>
      </c>
      <c r="H346">
        <v>1080246.3400000001</v>
      </c>
      <c r="I346">
        <v>2244695.29</v>
      </c>
      <c r="J346">
        <v>1</v>
      </c>
      <c r="K346">
        <v>0</v>
      </c>
      <c r="L346">
        <v>8</v>
      </c>
      <c r="M346">
        <v>0</v>
      </c>
      <c r="N346">
        <v>1</v>
      </c>
      <c r="O346">
        <v>1164448.96</v>
      </c>
      <c r="P346">
        <f>IF(C346&gt;=200000,5,IF(C346&gt;=100000,4,IF(C346&gt;=50000,3,IF(C346&gt;=10000,2,1))))</f>
        <v>5</v>
      </c>
      <c r="Q346">
        <f>IF(B346="TRANSFER",5,IF(B346="CASH_OUT",4,IF(B346="DEBIT",2,1)))</f>
        <v>4</v>
      </c>
      <c r="R346">
        <f>(P346*0.5)+(Q346*0.3)+(N346*0.1)+(M346*0.1)</f>
        <v>3.8000000000000003</v>
      </c>
      <c r="S346" t="str">
        <f t="shared" si="5"/>
        <v>HIGH</v>
      </c>
    </row>
    <row r="347" spans="1:19" x14ac:dyDescent="0.3">
      <c r="A347">
        <v>32</v>
      </c>
      <c r="B347" t="s">
        <v>15</v>
      </c>
      <c r="C347">
        <v>401575.19</v>
      </c>
      <c r="D347" t="s">
        <v>704</v>
      </c>
      <c r="E347">
        <v>401575.19</v>
      </c>
      <c r="F347">
        <v>0</v>
      </c>
      <c r="G347" t="s">
        <v>705</v>
      </c>
      <c r="H347">
        <v>0</v>
      </c>
      <c r="I347">
        <v>0</v>
      </c>
      <c r="J347">
        <v>1</v>
      </c>
      <c r="K347">
        <v>0</v>
      </c>
      <c r="L347">
        <v>8</v>
      </c>
      <c r="M347">
        <v>0</v>
      </c>
      <c r="N347">
        <v>1</v>
      </c>
      <c r="O347">
        <v>401575.19</v>
      </c>
      <c r="P347">
        <f>IF(C347&gt;=200000,5,IF(C347&gt;=100000,4,IF(C347&gt;=50000,3,IF(C347&gt;=10000,2,1))))</f>
        <v>5</v>
      </c>
      <c r="Q347">
        <f>IF(B347="TRANSFER",5,IF(B347="CASH_OUT",4,IF(B347="DEBIT",2,1)))</f>
        <v>5</v>
      </c>
      <c r="R347">
        <f>(P347*0.5)+(Q347*0.3)+(N347*0.1)+(M347*0.1)</f>
        <v>4.0999999999999996</v>
      </c>
      <c r="S347" t="str">
        <f t="shared" si="5"/>
        <v>HIGH</v>
      </c>
    </row>
    <row r="348" spans="1:19" x14ac:dyDescent="0.3">
      <c r="A348">
        <v>32</v>
      </c>
      <c r="B348" t="s">
        <v>18</v>
      </c>
      <c r="C348">
        <v>401575.19</v>
      </c>
      <c r="D348" t="s">
        <v>706</v>
      </c>
      <c r="E348">
        <v>401575.19</v>
      </c>
      <c r="F348">
        <v>0</v>
      </c>
      <c r="G348" t="s">
        <v>707</v>
      </c>
      <c r="H348">
        <v>0</v>
      </c>
      <c r="I348">
        <v>401575.19</v>
      </c>
      <c r="J348">
        <v>1</v>
      </c>
      <c r="K348">
        <v>0</v>
      </c>
      <c r="L348">
        <v>8</v>
      </c>
      <c r="M348">
        <v>0</v>
      </c>
      <c r="N348">
        <v>1</v>
      </c>
      <c r="O348">
        <v>401575.19</v>
      </c>
      <c r="P348">
        <f>IF(C348&gt;=200000,5,IF(C348&gt;=100000,4,IF(C348&gt;=50000,3,IF(C348&gt;=10000,2,1))))</f>
        <v>5</v>
      </c>
      <c r="Q348">
        <f>IF(B348="TRANSFER",5,IF(B348="CASH_OUT",4,IF(B348="DEBIT",2,1)))</f>
        <v>4</v>
      </c>
      <c r="R348">
        <f>(P348*0.5)+(Q348*0.3)+(N348*0.1)+(M348*0.1)</f>
        <v>3.8000000000000003</v>
      </c>
      <c r="S348" t="str">
        <f t="shared" si="5"/>
        <v>HIGH</v>
      </c>
    </row>
    <row r="349" spans="1:19" x14ac:dyDescent="0.3">
      <c r="A349">
        <v>32</v>
      </c>
      <c r="B349" t="s">
        <v>15</v>
      </c>
      <c r="C349">
        <v>604933.67000000004</v>
      </c>
      <c r="D349" t="s">
        <v>708</v>
      </c>
      <c r="E349">
        <v>604933.67000000004</v>
      </c>
      <c r="F349">
        <v>0</v>
      </c>
      <c r="G349" t="s">
        <v>709</v>
      </c>
      <c r="H349">
        <v>0</v>
      </c>
      <c r="I349">
        <v>0</v>
      </c>
      <c r="J349">
        <v>1</v>
      </c>
      <c r="K349">
        <v>0</v>
      </c>
      <c r="L349">
        <v>8</v>
      </c>
      <c r="M349">
        <v>0</v>
      </c>
      <c r="N349">
        <v>1</v>
      </c>
      <c r="O349">
        <v>604933.67000000004</v>
      </c>
      <c r="P349">
        <f>IF(C349&gt;=200000,5,IF(C349&gt;=100000,4,IF(C349&gt;=50000,3,IF(C349&gt;=10000,2,1))))</f>
        <v>5</v>
      </c>
      <c r="Q349">
        <f>IF(B349="TRANSFER",5,IF(B349="CASH_OUT",4,IF(B349="DEBIT",2,1)))</f>
        <v>5</v>
      </c>
      <c r="R349">
        <f>(P349*0.5)+(Q349*0.3)+(N349*0.1)+(M349*0.1)</f>
        <v>4.0999999999999996</v>
      </c>
      <c r="S349" t="str">
        <f t="shared" si="5"/>
        <v>HIGH</v>
      </c>
    </row>
    <row r="350" spans="1:19" x14ac:dyDescent="0.3">
      <c r="A350">
        <v>32</v>
      </c>
      <c r="B350" t="s">
        <v>18</v>
      </c>
      <c r="C350">
        <v>604933.67000000004</v>
      </c>
      <c r="D350" t="s">
        <v>710</v>
      </c>
      <c r="E350">
        <v>604933.67000000004</v>
      </c>
      <c r="F350">
        <v>0</v>
      </c>
      <c r="G350" t="s">
        <v>711</v>
      </c>
      <c r="H350">
        <v>35839.699999999997</v>
      </c>
      <c r="I350">
        <v>640773.38</v>
      </c>
      <c r="J350">
        <v>1</v>
      </c>
      <c r="K350">
        <v>0</v>
      </c>
      <c r="L350">
        <v>8</v>
      </c>
      <c r="M350">
        <v>0</v>
      </c>
      <c r="N350">
        <v>1</v>
      </c>
      <c r="O350">
        <v>604933.67000000004</v>
      </c>
      <c r="P350">
        <f>IF(C350&gt;=200000,5,IF(C350&gt;=100000,4,IF(C350&gt;=50000,3,IF(C350&gt;=10000,2,1))))</f>
        <v>5</v>
      </c>
      <c r="Q350">
        <f>IF(B350="TRANSFER",5,IF(B350="CASH_OUT",4,IF(B350="DEBIT",2,1)))</f>
        <v>4</v>
      </c>
      <c r="R350">
        <f>(P350*0.5)+(Q350*0.3)+(N350*0.1)+(M350*0.1)</f>
        <v>3.8000000000000003</v>
      </c>
      <c r="S350" t="str">
        <f t="shared" si="5"/>
        <v>HIGH</v>
      </c>
    </row>
    <row r="351" spans="1:19" x14ac:dyDescent="0.3">
      <c r="A351">
        <v>33</v>
      </c>
      <c r="B351" t="s">
        <v>15</v>
      </c>
      <c r="C351">
        <v>3295227.84</v>
      </c>
      <c r="D351" t="s">
        <v>712</v>
      </c>
      <c r="E351">
        <v>3295227.84</v>
      </c>
      <c r="F351">
        <v>0</v>
      </c>
      <c r="G351" t="s">
        <v>713</v>
      </c>
      <c r="H351">
        <v>0</v>
      </c>
      <c r="I351">
        <v>0</v>
      </c>
      <c r="J351">
        <v>1</v>
      </c>
      <c r="K351">
        <v>0</v>
      </c>
      <c r="L351">
        <v>9</v>
      </c>
      <c r="M351">
        <v>0</v>
      </c>
      <c r="N351">
        <v>1</v>
      </c>
      <c r="O351">
        <v>3295227.84</v>
      </c>
      <c r="P351">
        <f>IF(C351&gt;=200000,5,IF(C351&gt;=100000,4,IF(C351&gt;=50000,3,IF(C351&gt;=10000,2,1))))</f>
        <v>5</v>
      </c>
      <c r="Q351">
        <f>IF(B351="TRANSFER",5,IF(B351="CASH_OUT",4,IF(B351="DEBIT",2,1)))</f>
        <v>5</v>
      </c>
      <c r="R351">
        <f>(P351*0.5)+(Q351*0.3)+(N351*0.1)+(M351*0.1)</f>
        <v>4.0999999999999996</v>
      </c>
      <c r="S351" t="str">
        <f t="shared" si="5"/>
        <v>HIGH</v>
      </c>
    </row>
    <row r="352" spans="1:19" x14ac:dyDescent="0.3">
      <c r="A352">
        <v>33</v>
      </c>
      <c r="B352" t="s">
        <v>18</v>
      </c>
      <c r="C352">
        <v>3295227.84</v>
      </c>
      <c r="D352" t="s">
        <v>714</v>
      </c>
      <c r="E352">
        <v>3295227.84</v>
      </c>
      <c r="F352">
        <v>0</v>
      </c>
      <c r="G352" t="s">
        <v>715</v>
      </c>
      <c r="H352">
        <v>0</v>
      </c>
      <c r="I352">
        <v>4002861.53</v>
      </c>
      <c r="J352">
        <v>1</v>
      </c>
      <c r="K352">
        <v>0</v>
      </c>
      <c r="L352">
        <v>9</v>
      </c>
      <c r="M352">
        <v>0</v>
      </c>
      <c r="N352">
        <v>1</v>
      </c>
      <c r="O352">
        <v>3295227.84</v>
      </c>
      <c r="P352">
        <f>IF(C352&gt;=200000,5,IF(C352&gt;=100000,4,IF(C352&gt;=50000,3,IF(C352&gt;=10000,2,1))))</f>
        <v>5</v>
      </c>
      <c r="Q352">
        <f>IF(B352="TRANSFER",5,IF(B352="CASH_OUT",4,IF(B352="DEBIT",2,1)))</f>
        <v>4</v>
      </c>
      <c r="R352">
        <f>(P352*0.5)+(Q352*0.3)+(N352*0.1)+(M352*0.1)</f>
        <v>3.8000000000000003</v>
      </c>
      <c r="S352" t="str">
        <f t="shared" si="5"/>
        <v>HIGH</v>
      </c>
    </row>
    <row r="353" spans="1:19" x14ac:dyDescent="0.3">
      <c r="A353">
        <v>33</v>
      </c>
      <c r="B353" t="s">
        <v>15</v>
      </c>
      <c r="C353">
        <v>214975.9</v>
      </c>
      <c r="D353" t="s">
        <v>716</v>
      </c>
      <c r="E353">
        <v>214975.9</v>
      </c>
      <c r="F353">
        <v>0</v>
      </c>
      <c r="G353" t="s">
        <v>717</v>
      </c>
      <c r="H353">
        <v>0</v>
      </c>
      <c r="I353">
        <v>0</v>
      </c>
      <c r="J353">
        <v>1</v>
      </c>
      <c r="K353">
        <v>0</v>
      </c>
      <c r="L353">
        <v>9</v>
      </c>
      <c r="M353">
        <v>0</v>
      </c>
      <c r="N353">
        <v>1</v>
      </c>
      <c r="O353">
        <v>214975.9</v>
      </c>
      <c r="P353">
        <f>IF(C353&gt;=200000,5,IF(C353&gt;=100000,4,IF(C353&gt;=50000,3,IF(C353&gt;=10000,2,1))))</f>
        <v>5</v>
      </c>
      <c r="Q353">
        <f>IF(B353="TRANSFER",5,IF(B353="CASH_OUT",4,IF(B353="DEBIT",2,1)))</f>
        <v>5</v>
      </c>
      <c r="R353">
        <f>(P353*0.5)+(Q353*0.3)+(N353*0.1)+(M353*0.1)</f>
        <v>4.0999999999999996</v>
      </c>
      <c r="S353" t="str">
        <f t="shared" si="5"/>
        <v>HIGH</v>
      </c>
    </row>
    <row r="354" spans="1:19" x14ac:dyDescent="0.3">
      <c r="A354">
        <v>33</v>
      </c>
      <c r="B354" t="s">
        <v>18</v>
      </c>
      <c r="C354">
        <v>214975.9</v>
      </c>
      <c r="D354" t="s">
        <v>718</v>
      </c>
      <c r="E354">
        <v>214975.9</v>
      </c>
      <c r="F354">
        <v>0</v>
      </c>
      <c r="G354" t="s">
        <v>719</v>
      </c>
      <c r="H354">
        <v>152331.28</v>
      </c>
      <c r="I354">
        <v>374513.69</v>
      </c>
      <c r="J354">
        <v>1</v>
      </c>
      <c r="K354">
        <v>0</v>
      </c>
      <c r="L354">
        <v>9</v>
      </c>
      <c r="M354">
        <v>0</v>
      </c>
      <c r="N354">
        <v>1</v>
      </c>
      <c r="O354">
        <v>214975.9</v>
      </c>
      <c r="P354">
        <f>IF(C354&gt;=200000,5,IF(C354&gt;=100000,4,IF(C354&gt;=50000,3,IF(C354&gt;=10000,2,1))))</f>
        <v>5</v>
      </c>
      <c r="Q354">
        <f>IF(B354="TRANSFER",5,IF(B354="CASH_OUT",4,IF(B354="DEBIT",2,1)))</f>
        <v>4</v>
      </c>
      <c r="R354">
        <f>(P354*0.5)+(Q354*0.3)+(N354*0.1)+(M354*0.1)</f>
        <v>3.8000000000000003</v>
      </c>
      <c r="S354" t="str">
        <f t="shared" si="5"/>
        <v>HIGH</v>
      </c>
    </row>
    <row r="355" spans="1:19" x14ac:dyDescent="0.3">
      <c r="A355">
        <v>33</v>
      </c>
      <c r="B355" t="s">
        <v>15</v>
      </c>
      <c r="C355">
        <v>10000000</v>
      </c>
      <c r="D355" t="s">
        <v>720</v>
      </c>
      <c r="E355">
        <v>19900000</v>
      </c>
      <c r="F355">
        <v>9887819.0600000005</v>
      </c>
      <c r="G355" t="s">
        <v>721</v>
      </c>
      <c r="H355">
        <v>0</v>
      </c>
      <c r="I355">
        <v>0</v>
      </c>
      <c r="J355">
        <v>1</v>
      </c>
      <c r="K355">
        <v>0</v>
      </c>
      <c r="L355">
        <v>9</v>
      </c>
      <c r="M355">
        <v>1</v>
      </c>
      <c r="N355">
        <v>0</v>
      </c>
      <c r="O355">
        <v>10012180.939999999</v>
      </c>
      <c r="P355">
        <f>IF(C355&gt;=200000,5,IF(C355&gt;=100000,4,IF(C355&gt;=50000,3,IF(C355&gt;=10000,2,1))))</f>
        <v>5</v>
      </c>
      <c r="Q355">
        <f>IF(B355="TRANSFER",5,IF(B355="CASH_OUT",4,IF(B355="DEBIT",2,1)))</f>
        <v>5</v>
      </c>
      <c r="R355">
        <f>(P355*0.5)+(Q355*0.3)+(N355*0.1)+(M355*0.1)</f>
        <v>4.0999999999999996</v>
      </c>
      <c r="S355" t="str">
        <f t="shared" si="5"/>
        <v>HIGH</v>
      </c>
    </row>
    <row r="356" spans="1:19" x14ac:dyDescent="0.3">
      <c r="A356">
        <v>33</v>
      </c>
      <c r="B356" t="s">
        <v>18</v>
      </c>
      <c r="C356">
        <v>10000000</v>
      </c>
      <c r="D356" t="s">
        <v>722</v>
      </c>
      <c r="E356">
        <v>10000000</v>
      </c>
      <c r="F356">
        <v>0</v>
      </c>
      <c r="G356" t="s">
        <v>723</v>
      </c>
      <c r="H356">
        <v>0</v>
      </c>
      <c r="I356">
        <v>10000000</v>
      </c>
      <c r="J356">
        <v>1</v>
      </c>
      <c r="K356">
        <v>0</v>
      </c>
      <c r="L356">
        <v>9</v>
      </c>
      <c r="M356">
        <v>1</v>
      </c>
      <c r="N356">
        <v>1</v>
      </c>
      <c r="O356">
        <v>10000000</v>
      </c>
      <c r="P356">
        <f>IF(C356&gt;=200000,5,IF(C356&gt;=100000,4,IF(C356&gt;=50000,3,IF(C356&gt;=10000,2,1))))</f>
        <v>5</v>
      </c>
      <c r="Q356">
        <f>IF(B356="TRANSFER",5,IF(B356="CASH_OUT",4,IF(B356="DEBIT",2,1)))</f>
        <v>4</v>
      </c>
      <c r="R356">
        <f>(P356*0.5)+(Q356*0.3)+(N356*0.1)+(M356*0.1)</f>
        <v>3.9000000000000004</v>
      </c>
      <c r="S356" t="str">
        <f t="shared" si="5"/>
        <v>HIGH</v>
      </c>
    </row>
    <row r="357" spans="1:19" x14ac:dyDescent="0.3">
      <c r="A357">
        <v>33</v>
      </c>
      <c r="B357" t="s">
        <v>15</v>
      </c>
      <c r="C357">
        <v>9887819.0600000005</v>
      </c>
      <c r="D357" t="s">
        <v>724</v>
      </c>
      <c r="E357">
        <v>9887819.0600000005</v>
      </c>
      <c r="F357">
        <v>0</v>
      </c>
      <c r="G357" t="s">
        <v>725</v>
      </c>
      <c r="H357">
        <v>0</v>
      </c>
      <c r="I357">
        <v>0</v>
      </c>
      <c r="J357">
        <v>1</v>
      </c>
      <c r="K357">
        <v>0</v>
      </c>
      <c r="L357">
        <v>9</v>
      </c>
      <c r="M357">
        <v>0</v>
      </c>
      <c r="N357">
        <v>1</v>
      </c>
      <c r="O357">
        <v>9887819.0600000005</v>
      </c>
      <c r="P357">
        <f>IF(C357&gt;=200000,5,IF(C357&gt;=100000,4,IF(C357&gt;=50000,3,IF(C357&gt;=10000,2,1))))</f>
        <v>5</v>
      </c>
      <c r="Q357">
        <f>IF(B357="TRANSFER",5,IF(B357="CASH_OUT",4,IF(B357="DEBIT",2,1)))</f>
        <v>5</v>
      </c>
      <c r="R357">
        <f>(P357*0.5)+(Q357*0.3)+(N357*0.1)+(M357*0.1)</f>
        <v>4.0999999999999996</v>
      </c>
      <c r="S357" t="str">
        <f t="shared" si="5"/>
        <v>HIGH</v>
      </c>
    </row>
    <row r="358" spans="1:19" x14ac:dyDescent="0.3">
      <c r="A358">
        <v>33</v>
      </c>
      <c r="B358" t="s">
        <v>18</v>
      </c>
      <c r="C358">
        <v>9887819.0600000005</v>
      </c>
      <c r="D358" t="s">
        <v>726</v>
      </c>
      <c r="E358">
        <v>9887819.0600000005</v>
      </c>
      <c r="F358">
        <v>0</v>
      </c>
      <c r="G358" t="s">
        <v>727</v>
      </c>
      <c r="H358">
        <v>801913.95</v>
      </c>
      <c r="I358">
        <v>10200000</v>
      </c>
      <c r="J358">
        <v>1</v>
      </c>
      <c r="K358">
        <v>0</v>
      </c>
      <c r="L358">
        <v>9</v>
      </c>
      <c r="M358">
        <v>0</v>
      </c>
      <c r="N358">
        <v>1</v>
      </c>
      <c r="O358">
        <v>9887819.0600000005</v>
      </c>
      <c r="P358">
        <f>IF(C358&gt;=200000,5,IF(C358&gt;=100000,4,IF(C358&gt;=50000,3,IF(C358&gt;=10000,2,1))))</f>
        <v>5</v>
      </c>
      <c r="Q358">
        <f>IF(B358="TRANSFER",5,IF(B358="CASH_OUT",4,IF(B358="DEBIT",2,1)))</f>
        <v>4</v>
      </c>
      <c r="R358">
        <f>(P358*0.5)+(Q358*0.3)+(N358*0.1)+(M358*0.1)</f>
        <v>3.8000000000000003</v>
      </c>
      <c r="S358" t="str">
        <f t="shared" si="5"/>
        <v>HIGH</v>
      </c>
    </row>
    <row r="359" spans="1:19" x14ac:dyDescent="0.3">
      <c r="A359">
        <v>33</v>
      </c>
      <c r="B359" t="s">
        <v>15</v>
      </c>
      <c r="C359">
        <v>1448630.38</v>
      </c>
      <c r="D359" t="s">
        <v>728</v>
      </c>
      <c r="E359">
        <v>1448630.38</v>
      </c>
      <c r="F359">
        <v>0</v>
      </c>
      <c r="G359" t="s">
        <v>729</v>
      </c>
      <c r="H359">
        <v>0</v>
      </c>
      <c r="I359">
        <v>0</v>
      </c>
      <c r="J359">
        <v>1</v>
      </c>
      <c r="K359">
        <v>0</v>
      </c>
      <c r="L359">
        <v>9</v>
      </c>
      <c r="M359">
        <v>0</v>
      </c>
      <c r="N359">
        <v>1</v>
      </c>
      <c r="O359">
        <v>1448630.38</v>
      </c>
      <c r="P359">
        <f>IF(C359&gt;=200000,5,IF(C359&gt;=100000,4,IF(C359&gt;=50000,3,IF(C359&gt;=10000,2,1))))</f>
        <v>5</v>
      </c>
      <c r="Q359">
        <f>IF(B359="TRANSFER",5,IF(B359="CASH_OUT",4,IF(B359="DEBIT",2,1)))</f>
        <v>5</v>
      </c>
      <c r="R359">
        <f>(P359*0.5)+(Q359*0.3)+(N359*0.1)+(M359*0.1)</f>
        <v>4.0999999999999996</v>
      </c>
      <c r="S359" t="str">
        <f t="shared" si="5"/>
        <v>HIGH</v>
      </c>
    </row>
    <row r="360" spans="1:19" x14ac:dyDescent="0.3">
      <c r="A360">
        <v>33</v>
      </c>
      <c r="B360" t="s">
        <v>18</v>
      </c>
      <c r="C360">
        <v>1448630.38</v>
      </c>
      <c r="D360" t="s">
        <v>730</v>
      </c>
      <c r="E360">
        <v>1448630.38</v>
      </c>
      <c r="F360">
        <v>0</v>
      </c>
      <c r="G360" t="s">
        <v>731</v>
      </c>
      <c r="H360">
        <v>1294571.45</v>
      </c>
      <c r="I360">
        <v>2743201.82</v>
      </c>
      <c r="J360">
        <v>1</v>
      </c>
      <c r="K360">
        <v>0</v>
      </c>
      <c r="L360">
        <v>9</v>
      </c>
      <c r="M360">
        <v>0</v>
      </c>
      <c r="N360">
        <v>1</v>
      </c>
      <c r="O360">
        <v>1448630.38</v>
      </c>
      <c r="P360">
        <f>IF(C360&gt;=200000,5,IF(C360&gt;=100000,4,IF(C360&gt;=50000,3,IF(C360&gt;=10000,2,1))))</f>
        <v>5</v>
      </c>
      <c r="Q360">
        <f>IF(B360="TRANSFER",5,IF(B360="CASH_OUT",4,IF(B360="DEBIT",2,1)))</f>
        <v>4</v>
      </c>
      <c r="R360">
        <f>(P360*0.5)+(Q360*0.3)+(N360*0.1)+(M360*0.1)</f>
        <v>3.8000000000000003</v>
      </c>
      <c r="S360" t="str">
        <f t="shared" si="5"/>
        <v>HIGH</v>
      </c>
    </row>
    <row r="361" spans="1:19" x14ac:dyDescent="0.3">
      <c r="A361">
        <v>33</v>
      </c>
      <c r="B361" t="s">
        <v>15</v>
      </c>
      <c r="C361">
        <v>6648389.9000000004</v>
      </c>
      <c r="D361" t="s">
        <v>732</v>
      </c>
      <c r="E361">
        <v>6648389.9000000004</v>
      </c>
      <c r="F361">
        <v>0</v>
      </c>
      <c r="G361" t="s">
        <v>733</v>
      </c>
      <c r="H361">
        <v>0</v>
      </c>
      <c r="I361">
        <v>0</v>
      </c>
      <c r="J361">
        <v>1</v>
      </c>
      <c r="K361">
        <v>0</v>
      </c>
      <c r="L361">
        <v>9</v>
      </c>
      <c r="M361">
        <v>0</v>
      </c>
      <c r="N361">
        <v>1</v>
      </c>
      <c r="O361">
        <v>6648389.9000000004</v>
      </c>
      <c r="P361">
        <f>IF(C361&gt;=200000,5,IF(C361&gt;=100000,4,IF(C361&gt;=50000,3,IF(C361&gt;=10000,2,1))))</f>
        <v>5</v>
      </c>
      <c r="Q361">
        <f>IF(B361="TRANSFER",5,IF(B361="CASH_OUT",4,IF(B361="DEBIT",2,1)))</f>
        <v>5</v>
      </c>
      <c r="R361">
        <f>(P361*0.5)+(Q361*0.3)+(N361*0.1)+(M361*0.1)</f>
        <v>4.0999999999999996</v>
      </c>
      <c r="S361" t="str">
        <f t="shared" si="5"/>
        <v>HIGH</v>
      </c>
    </row>
    <row r="362" spans="1:19" x14ac:dyDescent="0.3">
      <c r="A362">
        <v>33</v>
      </c>
      <c r="B362" t="s">
        <v>18</v>
      </c>
      <c r="C362">
        <v>6648389.9000000004</v>
      </c>
      <c r="D362" t="s">
        <v>734</v>
      </c>
      <c r="E362">
        <v>6648389.9000000004</v>
      </c>
      <c r="F362">
        <v>0</v>
      </c>
      <c r="G362" t="s">
        <v>735</v>
      </c>
      <c r="H362">
        <v>2609209.5499999998</v>
      </c>
      <c r="I362">
        <v>9257599.4499999993</v>
      </c>
      <c r="J362">
        <v>1</v>
      </c>
      <c r="K362">
        <v>0</v>
      </c>
      <c r="L362">
        <v>9</v>
      </c>
      <c r="M362">
        <v>0</v>
      </c>
      <c r="N362">
        <v>1</v>
      </c>
      <c r="O362">
        <v>6648389.9000000004</v>
      </c>
      <c r="P362">
        <f>IF(C362&gt;=200000,5,IF(C362&gt;=100000,4,IF(C362&gt;=50000,3,IF(C362&gt;=10000,2,1))))</f>
        <v>5</v>
      </c>
      <c r="Q362">
        <f>IF(B362="TRANSFER",5,IF(B362="CASH_OUT",4,IF(B362="DEBIT",2,1)))</f>
        <v>4</v>
      </c>
      <c r="R362">
        <f>(P362*0.5)+(Q362*0.3)+(N362*0.1)+(M362*0.1)</f>
        <v>3.8000000000000003</v>
      </c>
      <c r="S362" t="str">
        <f t="shared" si="5"/>
        <v>HIGH</v>
      </c>
    </row>
    <row r="363" spans="1:19" x14ac:dyDescent="0.3">
      <c r="A363">
        <v>34</v>
      </c>
      <c r="B363" t="s">
        <v>15</v>
      </c>
      <c r="C363">
        <v>51424.22</v>
      </c>
      <c r="D363" t="s">
        <v>736</v>
      </c>
      <c r="E363">
        <v>51424.22</v>
      </c>
      <c r="F363">
        <v>0</v>
      </c>
      <c r="G363" t="s">
        <v>737</v>
      </c>
      <c r="H363">
        <v>0</v>
      </c>
      <c r="I363">
        <v>0</v>
      </c>
      <c r="J363">
        <v>1</v>
      </c>
      <c r="K363">
        <v>0</v>
      </c>
      <c r="L363">
        <v>10</v>
      </c>
      <c r="M363">
        <v>0</v>
      </c>
      <c r="N363">
        <v>1</v>
      </c>
      <c r="O363">
        <v>51424.22</v>
      </c>
      <c r="P363">
        <f>IF(C363&gt;=200000,5,IF(C363&gt;=100000,4,IF(C363&gt;=50000,3,IF(C363&gt;=10000,2,1))))</f>
        <v>3</v>
      </c>
      <c r="Q363">
        <f>IF(B363="TRANSFER",5,IF(B363="CASH_OUT",4,IF(B363="DEBIT",2,1)))</f>
        <v>5</v>
      </c>
      <c r="R363">
        <f>(P363*0.5)+(Q363*0.3)+(N363*0.1)+(M363*0.1)</f>
        <v>3.1</v>
      </c>
      <c r="S363" t="str">
        <f t="shared" si="5"/>
        <v>HIGH</v>
      </c>
    </row>
    <row r="364" spans="1:19" x14ac:dyDescent="0.3">
      <c r="A364">
        <v>34</v>
      </c>
      <c r="B364" t="s">
        <v>18</v>
      </c>
      <c r="C364">
        <v>51424.22</v>
      </c>
      <c r="D364" t="s">
        <v>738</v>
      </c>
      <c r="E364">
        <v>51424.22</v>
      </c>
      <c r="F364">
        <v>0</v>
      </c>
      <c r="G364" t="s">
        <v>739</v>
      </c>
      <c r="H364">
        <v>87252.78</v>
      </c>
      <c r="I364">
        <v>138677</v>
      </c>
      <c r="J364">
        <v>1</v>
      </c>
      <c r="K364">
        <v>0</v>
      </c>
      <c r="L364">
        <v>10</v>
      </c>
      <c r="M364">
        <v>0</v>
      </c>
      <c r="N364">
        <v>1</v>
      </c>
      <c r="O364">
        <v>51424.22</v>
      </c>
      <c r="P364">
        <f>IF(C364&gt;=200000,5,IF(C364&gt;=100000,4,IF(C364&gt;=50000,3,IF(C364&gt;=10000,2,1))))</f>
        <v>3</v>
      </c>
      <c r="Q364">
        <f>IF(B364="TRANSFER",5,IF(B364="CASH_OUT",4,IF(B364="DEBIT",2,1)))</f>
        <v>4</v>
      </c>
      <c r="R364">
        <f>(P364*0.5)+(Q364*0.3)+(N364*0.1)+(M364*0.1)</f>
        <v>2.8000000000000003</v>
      </c>
      <c r="S364" t="str">
        <f t="shared" si="5"/>
        <v>MEDIUM</v>
      </c>
    </row>
    <row r="365" spans="1:19" x14ac:dyDescent="0.3">
      <c r="A365">
        <v>34</v>
      </c>
      <c r="B365" t="s">
        <v>15</v>
      </c>
      <c r="C365">
        <v>428239.03</v>
      </c>
      <c r="D365" t="s">
        <v>740</v>
      </c>
      <c r="E365">
        <v>428239.03</v>
      </c>
      <c r="F365">
        <v>0</v>
      </c>
      <c r="G365" t="s">
        <v>741</v>
      </c>
      <c r="H365">
        <v>0</v>
      </c>
      <c r="I365">
        <v>0</v>
      </c>
      <c r="J365">
        <v>1</v>
      </c>
      <c r="K365">
        <v>0</v>
      </c>
      <c r="L365">
        <v>10</v>
      </c>
      <c r="M365">
        <v>0</v>
      </c>
      <c r="N365">
        <v>1</v>
      </c>
      <c r="O365">
        <v>428239.03</v>
      </c>
      <c r="P365">
        <f>IF(C365&gt;=200000,5,IF(C365&gt;=100000,4,IF(C365&gt;=50000,3,IF(C365&gt;=10000,2,1))))</f>
        <v>5</v>
      </c>
      <c r="Q365">
        <f>IF(B365="TRANSFER",5,IF(B365="CASH_OUT",4,IF(B365="DEBIT",2,1)))</f>
        <v>5</v>
      </c>
      <c r="R365">
        <f>(P365*0.5)+(Q365*0.3)+(N365*0.1)+(M365*0.1)</f>
        <v>4.0999999999999996</v>
      </c>
      <c r="S365" t="str">
        <f t="shared" si="5"/>
        <v>HIGH</v>
      </c>
    </row>
    <row r="366" spans="1:19" x14ac:dyDescent="0.3">
      <c r="A366">
        <v>34</v>
      </c>
      <c r="B366" t="s">
        <v>18</v>
      </c>
      <c r="C366">
        <v>428239.03</v>
      </c>
      <c r="D366" t="s">
        <v>742</v>
      </c>
      <c r="E366">
        <v>428239.03</v>
      </c>
      <c r="F366">
        <v>0</v>
      </c>
      <c r="G366" t="s">
        <v>743</v>
      </c>
      <c r="H366">
        <v>293130.02</v>
      </c>
      <c r="I366">
        <v>1456009.92</v>
      </c>
      <c r="J366">
        <v>1</v>
      </c>
      <c r="K366">
        <v>0</v>
      </c>
      <c r="L366">
        <v>10</v>
      </c>
      <c r="M366">
        <v>0</v>
      </c>
      <c r="N366">
        <v>1</v>
      </c>
      <c r="O366">
        <v>428239.03</v>
      </c>
      <c r="P366">
        <f>IF(C366&gt;=200000,5,IF(C366&gt;=100000,4,IF(C366&gt;=50000,3,IF(C366&gt;=10000,2,1))))</f>
        <v>5</v>
      </c>
      <c r="Q366">
        <f>IF(B366="TRANSFER",5,IF(B366="CASH_OUT",4,IF(B366="DEBIT",2,1)))</f>
        <v>4</v>
      </c>
      <c r="R366">
        <f>(P366*0.5)+(Q366*0.3)+(N366*0.1)+(M366*0.1)</f>
        <v>3.8000000000000003</v>
      </c>
      <c r="S366" t="str">
        <f t="shared" si="5"/>
        <v>HIGH</v>
      </c>
    </row>
    <row r="367" spans="1:19" x14ac:dyDescent="0.3">
      <c r="A367">
        <v>34</v>
      </c>
      <c r="B367" t="s">
        <v>15</v>
      </c>
      <c r="C367">
        <v>52557.21</v>
      </c>
      <c r="D367" t="s">
        <v>744</v>
      </c>
      <c r="E367">
        <v>52557.21</v>
      </c>
      <c r="F367">
        <v>0</v>
      </c>
      <c r="G367" t="s">
        <v>745</v>
      </c>
      <c r="H367">
        <v>0</v>
      </c>
      <c r="I367">
        <v>0</v>
      </c>
      <c r="J367">
        <v>1</v>
      </c>
      <c r="K367">
        <v>0</v>
      </c>
      <c r="L367">
        <v>10</v>
      </c>
      <c r="M367">
        <v>0</v>
      </c>
      <c r="N367">
        <v>1</v>
      </c>
      <c r="O367">
        <v>52557.21</v>
      </c>
      <c r="P367">
        <f>IF(C367&gt;=200000,5,IF(C367&gt;=100000,4,IF(C367&gt;=50000,3,IF(C367&gt;=10000,2,1))))</f>
        <v>3</v>
      </c>
      <c r="Q367">
        <f>IF(B367="TRANSFER",5,IF(B367="CASH_OUT",4,IF(B367="DEBIT",2,1)))</f>
        <v>5</v>
      </c>
      <c r="R367">
        <f>(P367*0.5)+(Q367*0.3)+(N367*0.1)+(M367*0.1)</f>
        <v>3.1</v>
      </c>
      <c r="S367" t="str">
        <f t="shared" si="5"/>
        <v>HIGH</v>
      </c>
    </row>
    <row r="368" spans="1:19" x14ac:dyDescent="0.3">
      <c r="A368">
        <v>34</v>
      </c>
      <c r="B368" t="s">
        <v>18</v>
      </c>
      <c r="C368">
        <v>52557.21</v>
      </c>
      <c r="D368" t="s">
        <v>746</v>
      </c>
      <c r="E368">
        <v>52557.21</v>
      </c>
      <c r="F368">
        <v>0</v>
      </c>
      <c r="G368" t="s">
        <v>747</v>
      </c>
      <c r="H368">
        <v>0</v>
      </c>
      <c r="I368">
        <v>52557.21</v>
      </c>
      <c r="J368">
        <v>1</v>
      </c>
      <c r="K368">
        <v>0</v>
      </c>
      <c r="L368">
        <v>10</v>
      </c>
      <c r="M368">
        <v>0</v>
      </c>
      <c r="N368">
        <v>1</v>
      </c>
      <c r="O368">
        <v>52557.21</v>
      </c>
      <c r="P368">
        <f>IF(C368&gt;=200000,5,IF(C368&gt;=100000,4,IF(C368&gt;=50000,3,IF(C368&gt;=10000,2,1))))</f>
        <v>3</v>
      </c>
      <c r="Q368">
        <f>IF(B368="TRANSFER",5,IF(B368="CASH_OUT",4,IF(B368="DEBIT",2,1)))</f>
        <v>4</v>
      </c>
      <c r="R368">
        <f>(P368*0.5)+(Q368*0.3)+(N368*0.1)+(M368*0.1)</f>
        <v>2.8000000000000003</v>
      </c>
      <c r="S368" t="str">
        <f t="shared" si="5"/>
        <v>MEDIUM</v>
      </c>
    </row>
    <row r="369" spans="1:19" x14ac:dyDescent="0.3">
      <c r="A369">
        <v>34</v>
      </c>
      <c r="B369" t="s">
        <v>15</v>
      </c>
      <c r="C369">
        <v>1462355.44</v>
      </c>
      <c r="D369" t="s">
        <v>748</v>
      </c>
      <c r="E369">
        <v>1462355.44</v>
      </c>
      <c r="F369">
        <v>0</v>
      </c>
      <c r="G369" t="s">
        <v>749</v>
      </c>
      <c r="H369">
        <v>0</v>
      </c>
      <c r="I369">
        <v>0</v>
      </c>
      <c r="J369">
        <v>1</v>
      </c>
      <c r="K369">
        <v>0</v>
      </c>
      <c r="L369">
        <v>10</v>
      </c>
      <c r="M369">
        <v>0</v>
      </c>
      <c r="N369">
        <v>1</v>
      </c>
      <c r="O369">
        <v>1462355.44</v>
      </c>
      <c r="P369">
        <f>IF(C369&gt;=200000,5,IF(C369&gt;=100000,4,IF(C369&gt;=50000,3,IF(C369&gt;=10000,2,1))))</f>
        <v>5</v>
      </c>
      <c r="Q369">
        <f>IF(B369="TRANSFER",5,IF(B369="CASH_OUT",4,IF(B369="DEBIT",2,1)))</f>
        <v>5</v>
      </c>
      <c r="R369">
        <f>(P369*0.5)+(Q369*0.3)+(N369*0.1)+(M369*0.1)</f>
        <v>4.0999999999999996</v>
      </c>
      <c r="S369" t="str">
        <f t="shared" si="5"/>
        <v>HIGH</v>
      </c>
    </row>
    <row r="370" spans="1:19" x14ac:dyDescent="0.3">
      <c r="A370">
        <v>34</v>
      </c>
      <c r="B370" t="s">
        <v>18</v>
      </c>
      <c r="C370">
        <v>1462355.44</v>
      </c>
      <c r="D370" t="s">
        <v>750</v>
      </c>
      <c r="E370">
        <v>1462355.44</v>
      </c>
      <c r="F370">
        <v>0</v>
      </c>
      <c r="G370" t="s">
        <v>751</v>
      </c>
      <c r="H370">
        <v>1544724.84</v>
      </c>
      <c r="I370">
        <v>3007080.29</v>
      </c>
      <c r="J370">
        <v>1</v>
      </c>
      <c r="K370">
        <v>0</v>
      </c>
      <c r="L370">
        <v>10</v>
      </c>
      <c r="M370">
        <v>0</v>
      </c>
      <c r="N370">
        <v>1</v>
      </c>
      <c r="O370">
        <v>1462355.44</v>
      </c>
      <c r="P370">
        <f>IF(C370&gt;=200000,5,IF(C370&gt;=100000,4,IF(C370&gt;=50000,3,IF(C370&gt;=10000,2,1))))</f>
        <v>5</v>
      </c>
      <c r="Q370">
        <f>IF(B370="TRANSFER",5,IF(B370="CASH_OUT",4,IF(B370="DEBIT",2,1)))</f>
        <v>4</v>
      </c>
      <c r="R370">
        <f>(P370*0.5)+(Q370*0.3)+(N370*0.1)+(M370*0.1)</f>
        <v>3.8000000000000003</v>
      </c>
      <c r="S370" t="str">
        <f t="shared" si="5"/>
        <v>HIGH</v>
      </c>
    </row>
    <row r="371" spans="1:19" x14ac:dyDescent="0.3">
      <c r="A371">
        <v>34</v>
      </c>
      <c r="B371" t="s">
        <v>15</v>
      </c>
      <c r="C371">
        <v>27951.26</v>
      </c>
      <c r="D371" t="s">
        <v>752</v>
      </c>
      <c r="E371">
        <v>27951.26</v>
      </c>
      <c r="F371">
        <v>0</v>
      </c>
      <c r="G371" t="s">
        <v>753</v>
      </c>
      <c r="H371">
        <v>0</v>
      </c>
      <c r="I371">
        <v>0</v>
      </c>
      <c r="J371">
        <v>1</v>
      </c>
      <c r="K371">
        <v>0</v>
      </c>
      <c r="L371">
        <v>10</v>
      </c>
      <c r="M371">
        <v>0</v>
      </c>
      <c r="N371">
        <v>1</v>
      </c>
      <c r="O371">
        <v>27951.26</v>
      </c>
      <c r="P371">
        <f>IF(C371&gt;=200000,5,IF(C371&gt;=100000,4,IF(C371&gt;=50000,3,IF(C371&gt;=10000,2,1))))</f>
        <v>2</v>
      </c>
      <c r="Q371">
        <f>IF(B371="TRANSFER",5,IF(B371="CASH_OUT",4,IF(B371="DEBIT",2,1)))</f>
        <v>5</v>
      </c>
      <c r="R371">
        <f>(P371*0.5)+(Q371*0.3)+(N371*0.1)+(M371*0.1)</f>
        <v>2.6</v>
      </c>
      <c r="S371" t="str">
        <f t="shared" si="5"/>
        <v>MEDIUM</v>
      </c>
    </row>
    <row r="372" spans="1:19" x14ac:dyDescent="0.3">
      <c r="A372">
        <v>34</v>
      </c>
      <c r="B372" t="s">
        <v>18</v>
      </c>
      <c r="C372">
        <v>27951.26</v>
      </c>
      <c r="D372" t="s">
        <v>754</v>
      </c>
      <c r="E372">
        <v>27951.26</v>
      </c>
      <c r="F372">
        <v>0</v>
      </c>
      <c r="G372" t="s">
        <v>755</v>
      </c>
      <c r="H372">
        <v>10439</v>
      </c>
      <c r="I372">
        <v>698752.71</v>
      </c>
      <c r="J372">
        <v>1</v>
      </c>
      <c r="K372">
        <v>0</v>
      </c>
      <c r="L372">
        <v>10</v>
      </c>
      <c r="M372">
        <v>0</v>
      </c>
      <c r="N372">
        <v>1</v>
      </c>
      <c r="O372">
        <v>27951.26</v>
      </c>
      <c r="P372">
        <f>IF(C372&gt;=200000,5,IF(C372&gt;=100000,4,IF(C372&gt;=50000,3,IF(C372&gt;=10000,2,1))))</f>
        <v>2</v>
      </c>
      <c r="Q372">
        <f>IF(B372="TRANSFER",5,IF(B372="CASH_OUT",4,IF(B372="DEBIT",2,1)))</f>
        <v>4</v>
      </c>
      <c r="R372">
        <f>(P372*0.5)+(Q372*0.3)+(N372*0.1)+(M372*0.1)</f>
        <v>2.3000000000000003</v>
      </c>
      <c r="S372" t="str">
        <f t="shared" si="5"/>
        <v>MEDIUM</v>
      </c>
    </row>
    <row r="373" spans="1:19" x14ac:dyDescent="0.3">
      <c r="A373">
        <v>34</v>
      </c>
      <c r="B373" t="s">
        <v>15</v>
      </c>
      <c r="C373">
        <v>989311.12</v>
      </c>
      <c r="D373" t="s">
        <v>756</v>
      </c>
      <c r="E373">
        <v>989311.12</v>
      </c>
      <c r="F373">
        <v>0</v>
      </c>
      <c r="G373" t="s">
        <v>757</v>
      </c>
      <c r="H373">
        <v>0</v>
      </c>
      <c r="I373">
        <v>0</v>
      </c>
      <c r="J373">
        <v>1</v>
      </c>
      <c r="K373">
        <v>0</v>
      </c>
      <c r="L373">
        <v>10</v>
      </c>
      <c r="M373">
        <v>0</v>
      </c>
      <c r="N373">
        <v>1</v>
      </c>
      <c r="O373">
        <v>989311.12</v>
      </c>
      <c r="P373">
        <f>IF(C373&gt;=200000,5,IF(C373&gt;=100000,4,IF(C373&gt;=50000,3,IF(C373&gt;=10000,2,1))))</f>
        <v>5</v>
      </c>
      <c r="Q373">
        <f>IF(B373="TRANSFER",5,IF(B373="CASH_OUT",4,IF(B373="DEBIT",2,1)))</f>
        <v>5</v>
      </c>
      <c r="R373">
        <f>(P373*0.5)+(Q373*0.3)+(N373*0.1)+(M373*0.1)</f>
        <v>4.0999999999999996</v>
      </c>
      <c r="S373" t="str">
        <f t="shared" si="5"/>
        <v>HIGH</v>
      </c>
    </row>
    <row r="374" spans="1:19" x14ac:dyDescent="0.3">
      <c r="A374">
        <v>34</v>
      </c>
      <c r="B374" t="s">
        <v>18</v>
      </c>
      <c r="C374">
        <v>989311.12</v>
      </c>
      <c r="D374" t="s">
        <v>758</v>
      </c>
      <c r="E374">
        <v>989311.12</v>
      </c>
      <c r="F374">
        <v>0</v>
      </c>
      <c r="G374" t="s">
        <v>759</v>
      </c>
      <c r="H374">
        <v>1009370.24</v>
      </c>
      <c r="I374">
        <v>1998681.36</v>
      </c>
      <c r="J374">
        <v>1</v>
      </c>
      <c r="K374">
        <v>0</v>
      </c>
      <c r="L374">
        <v>10</v>
      </c>
      <c r="M374">
        <v>0</v>
      </c>
      <c r="N374">
        <v>1</v>
      </c>
      <c r="O374">
        <v>989311.12</v>
      </c>
      <c r="P374">
        <f>IF(C374&gt;=200000,5,IF(C374&gt;=100000,4,IF(C374&gt;=50000,3,IF(C374&gt;=10000,2,1))))</f>
        <v>5</v>
      </c>
      <c r="Q374">
        <f>IF(B374="TRANSFER",5,IF(B374="CASH_OUT",4,IF(B374="DEBIT",2,1)))</f>
        <v>4</v>
      </c>
      <c r="R374">
        <f>(P374*0.5)+(Q374*0.3)+(N374*0.1)+(M374*0.1)</f>
        <v>3.8000000000000003</v>
      </c>
      <c r="S374" t="str">
        <f t="shared" si="5"/>
        <v>HIGH</v>
      </c>
    </row>
    <row r="375" spans="1:19" x14ac:dyDescent="0.3">
      <c r="A375">
        <v>34</v>
      </c>
      <c r="B375" t="s">
        <v>15</v>
      </c>
      <c r="C375">
        <v>865948.49</v>
      </c>
      <c r="D375" t="s">
        <v>760</v>
      </c>
      <c r="E375">
        <v>865948.49</v>
      </c>
      <c r="F375">
        <v>0</v>
      </c>
      <c r="G375" t="s">
        <v>761</v>
      </c>
      <c r="H375">
        <v>0</v>
      </c>
      <c r="I375">
        <v>0</v>
      </c>
      <c r="J375">
        <v>1</v>
      </c>
      <c r="K375">
        <v>0</v>
      </c>
      <c r="L375">
        <v>10</v>
      </c>
      <c r="M375">
        <v>0</v>
      </c>
      <c r="N375">
        <v>1</v>
      </c>
      <c r="O375">
        <v>865948.49</v>
      </c>
      <c r="P375">
        <f>IF(C375&gt;=200000,5,IF(C375&gt;=100000,4,IF(C375&gt;=50000,3,IF(C375&gt;=10000,2,1))))</f>
        <v>5</v>
      </c>
      <c r="Q375">
        <f>IF(B375="TRANSFER",5,IF(B375="CASH_OUT",4,IF(B375="DEBIT",2,1)))</f>
        <v>5</v>
      </c>
      <c r="R375">
        <f>(P375*0.5)+(Q375*0.3)+(N375*0.1)+(M375*0.1)</f>
        <v>4.0999999999999996</v>
      </c>
      <c r="S375" t="str">
        <f t="shared" si="5"/>
        <v>HIGH</v>
      </c>
    </row>
    <row r="376" spans="1:19" x14ac:dyDescent="0.3">
      <c r="A376">
        <v>34</v>
      </c>
      <c r="B376" t="s">
        <v>18</v>
      </c>
      <c r="C376">
        <v>865948.49</v>
      </c>
      <c r="D376" t="s">
        <v>762</v>
      </c>
      <c r="E376">
        <v>865948.49</v>
      </c>
      <c r="F376">
        <v>0</v>
      </c>
      <c r="G376" t="s">
        <v>763</v>
      </c>
      <c r="H376">
        <v>0</v>
      </c>
      <c r="I376">
        <v>865948.49</v>
      </c>
      <c r="J376">
        <v>1</v>
      </c>
      <c r="K376">
        <v>0</v>
      </c>
      <c r="L376">
        <v>10</v>
      </c>
      <c r="M376">
        <v>0</v>
      </c>
      <c r="N376">
        <v>1</v>
      </c>
      <c r="O376">
        <v>865948.49</v>
      </c>
      <c r="P376">
        <f>IF(C376&gt;=200000,5,IF(C376&gt;=100000,4,IF(C376&gt;=50000,3,IF(C376&gt;=10000,2,1))))</f>
        <v>5</v>
      </c>
      <c r="Q376">
        <f>IF(B376="TRANSFER",5,IF(B376="CASH_OUT",4,IF(B376="DEBIT",2,1)))</f>
        <v>4</v>
      </c>
      <c r="R376">
        <f>(P376*0.5)+(Q376*0.3)+(N376*0.1)+(M376*0.1)</f>
        <v>3.8000000000000003</v>
      </c>
      <c r="S376" t="str">
        <f t="shared" si="5"/>
        <v>HIGH</v>
      </c>
    </row>
    <row r="377" spans="1:19" x14ac:dyDescent="0.3">
      <c r="A377">
        <v>34</v>
      </c>
      <c r="B377" t="s">
        <v>15</v>
      </c>
      <c r="C377">
        <v>30917.39</v>
      </c>
      <c r="D377" t="s">
        <v>764</v>
      </c>
      <c r="E377">
        <v>30917.39</v>
      </c>
      <c r="F377">
        <v>0</v>
      </c>
      <c r="G377" t="s">
        <v>765</v>
      </c>
      <c r="H377">
        <v>0</v>
      </c>
      <c r="I377">
        <v>0</v>
      </c>
      <c r="J377">
        <v>1</v>
      </c>
      <c r="K377">
        <v>0</v>
      </c>
      <c r="L377">
        <v>10</v>
      </c>
      <c r="M377">
        <v>0</v>
      </c>
      <c r="N377">
        <v>1</v>
      </c>
      <c r="O377">
        <v>30917.39</v>
      </c>
      <c r="P377">
        <f>IF(C377&gt;=200000,5,IF(C377&gt;=100000,4,IF(C377&gt;=50000,3,IF(C377&gt;=10000,2,1))))</f>
        <v>2</v>
      </c>
      <c r="Q377">
        <f>IF(B377="TRANSFER",5,IF(B377="CASH_OUT",4,IF(B377="DEBIT",2,1)))</f>
        <v>5</v>
      </c>
      <c r="R377">
        <f>(P377*0.5)+(Q377*0.3)+(N377*0.1)+(M377*0.1)</f>
        <v>2.6</v>
      </c>
      <c r="S377" t="str">
        <f t="shared" si="5"/>
        <v>MEDIUM</v>
      </c>
    </row>
    <row r="378" spans="1:19" x14ac:dyDescent="0.3">
      <c r="A378">
        <v>34</v>
      </c>
      <c r="B378" t="s">
        <v>18</v>
      </c>
      <c r="C378">
        <v>30917.39</v>
      </c>
      <c r="D378" t="s">
        <v>766</v>
      </c>
      <c r="E378">
        <v>30917.39</v>
      </c>
      <c r="F378">
        <v>0</v>
      </c>
      <c r="G378" t="s">
        <v>767</v>
      </c>
      <c r="H378">
        <v>339926.42</v>
      </c>
      <c r="I378">
        <v>370843.82</v>
      </c>
      <c r="J378">
        <v>1</v>
      </c>
      <c r="K378">
        <v>0</v>
      </c>
      <c r="L378">
        <v>10</v>
      </c>
      <c r="M378">
        <v>0</v>
      </c>
      <c r="N378">
        <v>1</v>
      </c>
      <c r="O378">
        <v>30917.39</v>
      </c>
      <c r="P378">
        <f>IF(C378&gt;=200000,5,IF(C378&gt;=100000,4,IF(C378&gt;=50000,3,IF(C378&gt;=10000,2,1))))</f>
        <v>2</v>
      </c>
      <c r="Q378">
        <f>IF(B378="TRANSFER",5,IF(B378="CASH_OUT",4,IF(B378="DEBIT",2,1)))</f>
        <v>4</v>
      </c>
      <c r="R378">
        <f>(P378*0.5)+(Q378*0.3)+(N378*0.1)+(M378*0.1)</f>
        <v>2.3000000000000003</v>
      </c>
      <c r="S378" t="str">
        <f t="shared" si="5"/>
        <v>MEDIUM</v>
      </c>
    </row>
    <row r="379" spans="1:19" x14ac:dyDescent="0.3">
      <c r="A379">
        <v>34</v>
      </c>
      <c r="B379" t="s">
        <v>15</v>
      </c>
      <c r="C379">
        <v>40458</v>
      </c>
      <c r="D379" t="s">
        <v>768</v>
      </c>
      <c r="E379">
        <v>40458</v>
      </c>
      <c r="F379">
        <v>0</v>
      </c>
      <c r="G379" t="s">
        <v>769</v>
      </c>
      <c r="H379">
        <v>0</v>
      </c>
      <c r="I379">
        <v>0</v>
      </c>
      <c r="J379">
        <v>1</v>
      </c>
      <c r="K379">
        <v>0</v>
      </c>
      <c r="L379">
        <v>10</v>
      </c>
      <c r="M379">
        <v>0</v>
      </c>
      <c r="N379">
        <v>1</v>
      </c>
      <c r="O379">
        <v>40458</v>
      </c>
      <c r="P379">
        <f>IF(C379&gt;=200000,5,IF(C379&gt;=100000,4,IF(C379&gt;=50000,3,IF(C379&gt;=10000,2,1))))</f>
        <v>2</v>
      </c>
      <c r="Q379">
        <f>IF(B379="TRANSFER",5,IF(B379="CASH_OUT",4,IF(B379="DEBIT",2,1)))</f>
        <v>5</v>
      </c>
      <c r="R379">
        <f>(P379*0.5)+(Q379*0.3)+(N379*0.1)+(M379*0.1)</f>
        <v>2.6</v>
      </c>
      <c r="S379" t="str">
        <f t="shared" si="5"/>
        <v>MEDIUM</v>
      </c>
    </row>
    <row r="380" spans="1:19" x14ac:dyDescent="0.3">
      <c r="A380">
        <v>34</v>
      </c>
      <c r="B380" t="s">
        <v>18</v>
      </c>
      <c r="C380">
        <v>40458</v>
      </c>
      <c r="D380" t="s">
        <v>770</v>
      </c>
      <c r="E380">
        <v>40458</v>
      </c>
      <c r="F380">
        <v>0</v>
      </c>
      <c r="G380" t="s">
        <v>771</v>
      </c>
      <c r="H380">
        <v>561393.36</v>
      </c>
      <c r="I380">
        <v>331179.02</v>
      </c>
      <c r="J380">
        <v>1</v>
      </c>
      <c r="K380">
        <v>0</v>
      </c>
      <c r="L380">
        <v>10</v>
      </c>
      <c r="M380">
        <v>0</v>
      </c>
      <c r="N380">
        <v>1</v>
      </c>
      <c r="O380">
        <v>40458</v>
      </c>
      <c r="P380">
        <f>IF(C380&gt;=200000,5,IF(C380&gt;=100000,4,IF(C380&gt;=50000,3,IF(C380&gt;=10000,2,1))))</f>
        <v>2</v>
      </c>
      <c r="Q380">
        <f>IF(B380="TRANSFER",5,IF(B380="CASH_OUT",4,IF(B380="DEBIT",2,1)))</f>
        <v>4</v>
      </c>
      <c r="R380">
        <f>(P380*0.5)+(Q380*0.3)+(N380*0.1)+(M380*0.1)</f>
        <v>2.3000000000000003</v>
      </c>
      <c r="S380" t="str">
        <f t="shared" si="5"/>
        <v>MEDIUM</v>
      </c>
    </row>
    <row r="381" spans="1:19" x14ac:dyDescent="0.3">
      <c r="A381">
        <v>34</v>
      </c>
      <c r="B381" t="s">
        <v>15</v>
      </c>
      <c r="C381">
        <v>1016540.35</v>
      </c>
      <c r="D381" t="s">
        <v>772</v>
      </c>
      <c r="E381">
        <v>1016540.35</v>
      </c>
      <c r="F381">
        <v>0</v>
      </c>
      <c r="G381" t="s">
        <v>773</v>
      </c>
      <c r="H381">
        <v>0</v>
      </c>
      <c r="I381">
        <v>0</v>
      </c>
      <c r="J381">
        <v>1</v>
      </c>
      <c r="K381">
        <v>0</v>
      </c>
      <c r="L381">
        <v>10</v>
      </c>
      <c r="M381">
        <v>0</v>
      </c>
      <c r="N381">
        <v>1</v>
      </c>
      <c r="O381">
        <v>1016540.35</v>
      </c>
      <c r="P381">
        <f>IF(C381&gt;=200000,5,IF(C381&gt;=100000,4,IF(C381&gt;=50000,3,IF(C381&gt;=10000,2,1))))</f>
        <v>5</v>
      </c>
      <c r="Q381">
        <f>IF(B381="TRANSFER",5,IF(B381="CASH_OUT",4,IF(B381="DEBIT",2,1)))</f>
        <v>5</v>
      </c>
      <c r="R381">
        <f>(P381*0.5)+(Q381*0.3)+(N381*0.1)+(M381*0.1)</f>
        <v>4.0999999999999996</v>
      </c>
      <c r="S381" t="str">
        <f t="shared" si="5"/>
        <v>HIGH</v>
      </c>
    </row>
    <row r="382" spans="1:19" x14ac:dyDescent="0.3">
      <c r="A382">
        <v>34</v>
      </c>
      <c r="B382" t="s">
        <v>18</v>
      </c>
      <c r="C382">
        <v>1016540.35</v>
      </c>
      <c r="D382" t="s">
        <v>774</v>
      </c>
      <c r="E382">
        <v>1016540.35</v>
      </c>
      <c r="F382">
        <v>0</v>
      </c>
      <c r="G382" t="s">
        <v>775</v>
      </c>
      <c r="H382">
        <v>4463851.6399999997</v>
      </c>
      <c r="I382">
        <v>5700161.7400000002</v>
      </c>
      <c r="J382">
        <v>1</v>
      </c>
      <c r="K382">
        <v>0</v>
      </c>
      <c r="L382">
        <v>10</v>
      </c>
      <c r="M382">
        <v>0</v>
      </c>
      <c r="N382">
        <v>1</v>
      </c>
      <c r="O382">
        <v>1016540.35</v>
      </c>
      <c r="P382">
        <f>IF(C382&gt;=200000,5,IF(C382&gt;=100000,4,IF(C382&gt;=50000,3,IF(C382&gt;=10000,2,1))))</f>
        <v>5</v>
      </c>
      <c r="Q382">
        <f>IF(B382="TRANSFER",5,IF(B382="CASH_OUT",4,IF(B382="DEBIT",2,1)))</f>
        <v>4</v>
      </c>
      <c r="R382">
        <f>(P382*0.5)+(Q382*0.3)+(N382*0.1)+(M382*0.1)</f>
        <v>3.8000000000000003</v>
      </c>
      <c r="S382" t="str">
        <f t="shared" si="5"/>
        <v>HIGH</v>
      </c>
    </row>
    <row r="383" spans="1:19" x14ac:dyDescent="0.3">
      <c r="A383">
        <v>34</v>
      </c>
      <c r="B383" t="s">
        <v>15</v>
      </c>
      <c r="C383">
        <v>71693.42</v>
      </c>
      <c r="D383" t="s">
        <v>776</v>
      </c>
      <c r="E383">
        <v>71693.42</v>
      </c>
      <c r="F383">
        <v>0</v>
      </c>
      <c r="G383" t="s">
        <v>777</v>
      </c>
      <c r="H383">
        <v>0</v>
      </c>
      <c r="I383">
        <v>0</v>
      </c>
      <c r="J383">
        <v>1</v>
      </c>
      <c r="K383">
        <v>0</v>
      </c>
      <c r="L383">
        <v>10</v>
      </c>
      <c r="M383">
        <v>0</v>
      </c>
      <c r="N383">
        <v>1</v>
      </c>
      <c r="O383">
        <v>71693.42</v>
      </c>
      <c r="P383">
        <f>IF(C383&gt;=200000,5,IF(C383&gt;=100000,4,IF(C383&gt;=50000,3,IF(C383&gt;=10000,2,1))))</f>
        <v>3</v>
      </c>
      <c r="Q383">
        <f>IF(B383="TRANSFER",5,IF(B383="CASH_OUT",4,IF(B383="DEBIT",2,1)))</f>
        <v>5</v>
      </c>
      <c r="R383">
        <f>(P383*0.5)+(Q383*0.3)+(N383*0.1)+(M383*0.1)</f>
        <v>3.1</v>
      </c>
      <c r="S383" t="str">
        <f t="shared" si="5"/>
        <v>HIGH</v>
      </c>
    </row>
    <row r="384" spans="1:19" x14ac:dyDescent="0.3">
      <c r="A384">
        <v>34</v>
      </c>
      <c r="B384" t="s">
        <v>18</v>
      </c>
      <c r="C384">
        <v>71693.42</v>
      </c>
      <c r="D384" t="s">
        <v>778</v>
      </c>
      <c r="E384">
        <v>71693.42</v>
      </c>
      <c r="F384">
        <v>0</v>
      </c>
      <c r="G384" t="s">
        <v>779</v>
      </c>
      <c r="H384">
        <v>0</v>
      </c>
      <c r="I384">
        <v>71693.42</v>
      </c>
      <c r="J384">
        <v>1</v>
      </c>
      <c r="K384">
        <v>0</v>
      </c>
      <c r="L384">
        <v>10</v>
      </c>
      <c r="M384">
        <v>0</v>
      </c>
      <c r="N384">
        <v>1</v>
      </c>
      <c r="O384">
        <v>71693.42</v>
      </c>
      <c r="P384">
        <f>IF(C384&gt;=200000,5,IF(C384&gt;=100000,4,IF(C384&gt;=50000,3,IF(C384&gt;=10000,2,1))))</f>
        <v>3</v>
      </c>
      <c r="Q384">
        <f>IF(B384="TRANSFER",5,IF(B384="CASH_OUT",4,IF(B384="DEBIT",2,1)))</f>
        <v>4</v>
      </c>
      <c r="R384">
        <f>(P384*0.5)+(Q384*0.3)+(N384*0.1)+(M384*0.1)</f>
        <v>2.8000000000000003</v>
      </c>
      <c r="S384" t="str">
        <f t="shared" si="5"/>
        <v>MEDIUM</v>
      </c>
    </row>
    <row r="385" spans="1:19" x14ac:dyDescent="0.3">
      <c r="A385">
        <v>35</v>
      </c>
      <c r="B385" t="s">
        <v>15</v>
      </c>
      <c r="C385">
        <v>472692.51</v>
      </c>
      <c r="D385" t="s">
        <v>780</v>
      </c>
      <c r="E385">
        <v>472692.51</v>
      </c>
      <c r="F385">
        <v>0</v>
      </c>
      <c r="G385" t="s">
        <v>781</v>
      </c>
      <c r="H385">
        <v>0</v>
      </c>
      <c r="I385">
        <v>0</v>
      </c>
      <c r="J385">
        <v>1</v>
      </c>
      <c r="K385">
        <v>0</v>
      </c>
      <c r="L385">
        <v>11</v>
      </c>
      <c r="M385">
        <v>0</v>
      </c>
      <c r="N385">
        <v>1</v>
      </c>
      <c r="O385">
        <v>472692.51</v>
      </c>
      <c r="P385">
        <f>IF(C385&gt;=200000,5,IF(C385&gt;=100000,4,IF(C385&gt;=50000,3,IF(C385&gt;=10000,2,1))))</f>
        <v>5</v>
      </c>
      <c r="Q385">
        <f>IF(B385="TRANSFER",5,IF(B385="CASH_OUT",4,IF(B385="DEBIT",2,1)))</f>
        <v>5</v>
      </c>
      <c r="R385">
        <f>(P385*0.5)+(Q385*0.3)+(N385*0.1)+(M385*0.1)</f>
        <v>4.0999999999999996</v>
      </c>
      <c r="S385" t="str">
        <f t="shared" si="5"/>
        <v>HIGH</v>
      </c>
    </row>
    <row r="386" spans="1:19" x14ac:dyDescent="0.3">
      <c r="A386">
        <v>35</v>
      </c>
      <c r="B386" t="s">
        <v>18</v>
      </c>
      <c r="C386">
        <v>472692.51</v>
      </c>
      <c r="D386" t="s">
        <v>782</v>
      </c>
      <c r="E386">
        <v>472692.51</v>
      </c>
      <c r="F386">
        <v>0</v>
      </c>
      <c r="G386" t="s">
        <v>783</v>
      </c>
      <c r="H386">
        <v>193065.83</v>
      </c>
      <c r="I386">
        <v>665758.34</v>
      </c>
      <c r="J386">
        <v>1</v>
      </c>
      <c r="K386">
        <v>0</v>
      </c>
      <c r="L386">
        <v>11</v>
      </c>
      <c r="M386">
        <v>0</v>
      </c>
      <c r="N386">
        <v>1</v>
      </c>
      <c r="O386">
        <v>472692.51</v>
      </c>
      <c r="P386">
        <f>IF(C386&gt;=200000,5,IF(C386&gt;=100000,4,IF(C386&gt;=50000,3,IF(C386&gt;=10000,2,1))))</f>
        <v>5</v>
      </c>
      <c r="Q386">
        <f>IF(B386="TRANSFER",5,IF(B386="CASH_OUT",4,IF(B386="DEBIT",2,1)))</f>
        <v>4</v>
      </c>
      <c r="R386">
        <f>(P386*0.5)+(Q386*0.3)+(N386*0.1)+(M386*0.1)</f>
        <v>3.8000000000000003</v>
      </c>
      <c r="S386" t="str">
        <f t="shared" si="5"/>
        <v>HIGH</v>
      </c>
    </row>
    <row r="387" spans="1:19" x14ac:dyDescent="0.3">
      <c r="A387">
        <v>35</v>
      </c>
      <c r="B387" t="s">
        <v>15</v>
      </c>
      <c r="C387">
        <v>122032.62</v>
      </c>
      <c r="D387" t="s">
        <v>784</v>
      </c>
      <c r="E387">
        <v>122032.62</v>
      </c>
      <c r="F387">
        <v>0</v>
      </c>
      <c r="G387" t="s">
        <v>785</v>
      </c>
      <c r="H387">
        <v>0</v>
      </c>
      <c r="I387">
        <v>0</v>
      </c>
      <c r="J387">
        <v>1</v>
      </c>
      <c r="K387">
        <v>0</v>
      </c>
      <c r="L387">
        <v>11</v>
      </c>
      <c r="M387">
        <v>0</v>
      </c>
      <c r="N387">
        <v>1</v>
      </c>
      <c r="O387">
        <v>122032.62</v>
      </c>
      <c r="P387">
        <f>IF(C387&gt;=200000,5,IF(C387&gt;=100000,4,IF(C387&gt;=50000,3,IF(C387&gt;=10000,2,1))))</f>
        <v>4</v>
      </c>
      <c r="Q387">
        <f>IF(B387="TRANSFER",5,IF(B387="CASH_OUT",4,IF(B387="DEBIT",2,1)))</f>
        <v>5</v>
      </c>
      <c r="R387">
        <f>(P387*0.5)+(Q387*0.3)+(N387*0.1)+(M387*0.1)</f>
        <v>3.6</v>
      </c>
      <c r="S387" t="str">
        <f t="shared" ref="S387:S450" si="6">IF(R387&gt;=3,"HIGH",IF(R387&gt;=2,"MEDIUM","LOW"))</f>
        <v>HIGH</v>
      </c>
    </row>
    <row r="388" spans="1:19" x14ac:dyDescent="0.3">
      <c r="A388">
        <v>35</v>
      </c>
      <c r="B388" t="s">
        <v>18</v>
      </c>
      <c r="C388">
        <v>122032.62</v>
      </c>
      <c r="D388" t="s">
        <v>786</v>
      </c>
      <c r="E388">
        <v>122032.62</v>
      </c>
      <c r="F388">
        <v>0</v>
      </c>
      <c r="G388" t="s">
        <v>787</v>
      </c>
      <c r="H388">
        <v>0</v>
      </c>
      <c r="I388">
        <v>122032.62</v>
      </c>
      <c r="J388">
        <v>1</v>
      </c>
      <c r="K388">
        <v>0</v>
      </c>
      <c r="L388">
        <v>11</v>
      </c>
      <c r="M388">
        <v>0</v>
      </c>
      <c r="N388">
        <v>1</v>
      </c>
      <c r="O388">
        <v>122032.62</v>
      </c>
      <c r="P388">
        <f>IF(C388&gt;=200000,5,IF(C388&gt;=100000,4,IF(C388&gt;=50000,3,IF(C388&gt;=10000,2,1))))</f>
        <v>4</v>
      </c>
      <c r="Q388">
        <f>IF(B388="TRANSFER",5,IF(B388="CASH_OUT",4,IF(B388="DEBIT",2,1)))</f>
        <v>4</v>
      </c>
      <c r="R388">
        <f>(P388*0.5)+(Q388*0.3)+(N388*0.1)+(M388*0.1)</f>
        <v>3.3000000000000003</v>
      </c>
      <c r="S388" t="str">
        <f t="shared" si="6"/>
        <v>HIGH</v>
      </c>
    </row>
    <row r="389" spans="1:19" x14ac:dyDescent="0.3">
      <c r="A389">
        <v>35</v>
      </c>
      <c r="B389" t="s">
        <v>15</v>
      </c>
      <c r="C389">
        <v>3606943.31</v>
      </c>
      <c r="D389" t="s">
        <v>788</v>
      </c>
      <c r="E389">
        <v>3606943.31</v>
      </c>
      <c r="F389">
        <v>0</v>
      </c>
      <c r="G389" t="s">
        <v>789</v>
      </c>
      <c r="H389">
        <v>0</v>
      </c>
      <c r="I389">
        <v>0</v>
      </c>
      <c r="J389">
        <v>1</v>
      </c>
      <c r="K389">
        <v>0</v>
      </c>
      <c r="L389">
        <v>11</v>
      </c>
      <c r="M389">
        <v>0</v>
      </c>
      <c r="N389">
        <v>1</v>
      </c>
      <c r="O389">
        <v>3606943.31</v>
      </c>
      <c r="P389">
        <f>IF(C389&gt;=200000,5,IF(C389&gt;=100000,4,IF(C389&gt;=50000,3,IF(C389&gt;=10000,2,1))))</f>
        <v>5</v>
      </c>
      <c r="Q389">
        <f>IF(B389="TRANSFER",5,IF(B389="CASH_OUT",4,IF(B389="DEBIT",2,1)))</f>
        <v>5</v>
      </c>
      <c r="R389">
        <f>(P389*0.5)+(Q389*0.3)+(N389*0.1)+(M389*0.1)</f>
        <v>4.0999999999999996</v>
      </c>
      <c r="S389" t="str">
        <f t="shared" si="6"/>
        <v>HIGH</v>
      </c>
    </row>
    <row r="390" spans="1:19" x14ac:dyDescent="0.3">
      <c r="A390">
        <v>35</v>
      </c>
      <c r="B390" t="s">
        <v>18</v>
      </c>
      <c r="C390">
        <v>3606943.31</v>
      </c>
      <c r="D390" t="s">
        <v>790</v>
      </c>
      <c r="E390">
        <v>3606943.31</v>
      </c>
      <c r="F390">
        <v>0</v>
      </c>
      <c r="G390" t="s">
        <v>791</v>
      </c>
      <c r="H390">
        <v>0</v>
      </c>
      <c r="I390">
        <v>3606943.31</v>
      </c>
      <c r="J390">
        <v>1</v>
      </c>
      <c r="K390">
        <v>0</v>
      </c>
      <c r="L390">
        <v>11</v>
      </c>
      <c r="M390">
        <v>0</v>
      </c>
      <c r="N390">
        <v>1</v>
      </c>
      <c r="O390">
        <v>3606943.31</v>
      </c>
      <c r="P390">
        <f>IF(C390&gt;=200000,5,IF(C390&gt;=100000,4,IF(C390&gt;=50000,3,IF(C390&gt;=10000,2,1))))</f>
        <v>5</v>
      </c>
      <c r="Q390">
        <f>IF(B390="TRANSFER",5,IF(B390="CASH_OUT",4,IF(B390="DEBIT",2,1)))</f>
        <v>4</v>
      </c>
      <c r="R390">
        <f>(P390*0.5)+(Q390*0.3)+(N390*0.1)+(M390*0.1)</f>
        <v>3.8000000000000003</v>
      </c>
      <c r="S390" t="str">
        <f t="shared" si="6"/>
        <v>HIGH</v>
      </c>
    </row>
    <row r="391" spans="1:19" x14ac:dyDescent="0.3">
      <c r="A391">
        <v>35</v>
      </c>
      <c r="B391" t="s">
        <v>18</v>
      </c>
      <c r="C391">
        <v>112280.88</v>
      </c>
      <c r="D391" t="s">
        <v>792</v>
      </c>
      <c r="E391">
        <v>0</v>
      </c>
      <c r="F391">
        <v>0</v>
      </c>
      <c r="G391" t="s">
        <v>793</v>
      </c>
      <c r="H391">
        <v>40512.49</v>
      </c>
      <c r="I391">
        <v>152793.35999999999</v>
      </c>
      <c r="J391">
        <v>1</v>
      </c>
      <c r="K391">
        <v>0</v>
      </c>
      <c r="L391">
        <v>11</v>
      </c>
      <c r="M391">
        <v>0</v>
      </c>
      <c r="N391">
        <v>0</v>
      </c>
      <c r="O391">
        <v>0</v>
      </c>
      <c r="P391">
        <f>IF(C391&gt;=200000,5,IF(C391&gt;=100000,4,IF(C391&gt;=50000,3,IF(C391&gt;=10000,2,1))))</f>
        <v>4</v>
      </c>
      <c r="Q391">
        <f>IF(B391="TRANSFER",5,IF(B391="CASH_OUT",4,IF(B391="DEBIT",2,1)))</f>
        <v>4</v>
      </c>
      <c r="R391">
        <f>(P391*0.5)+(Q391*0.3)+(N391*0.1)+(M391*0.1)</f>
        <v>3.2</v>
      </c>
      <c r="S391" t="str">
        <f t="shared" si="6"/>
        <v>HIGH</v>
      </c>
    </row>
    <row r="392" spans="1:19" x14ac:dyDescent="0.3">
      <c r="A392">
        <v>35</v>
      </c>
      <c r="B392" t="s">
        <v>15</v>
      </c>
      <c r="C392">
        <v>171788.82</v>
      </c>
      <c r="D392" t="s">
        <v>794</v>
      </c>
      <c r="E392">
        <v>171788.82</v>
      </c>
      <c r="F392">
        <v>0</v>
      </c>
      <c r="G392" t="s">
        <v>795</v>
      </c>
      <c r="H392">
        <v>0</v>
      </c>
      <c r="I392">
        <v>0</v>
      </c>
      <c r="J392">
        <v>1</v>
      </c>
      <c r="K392">
        <v>0</v>
      </c>
      <c r="L392">
        <v>11</v>
      </c>
      <c r="M392">
        <v>0</v>
      </c>
      <c r="N392">
        <v>1</v>
      </c>
      <c r="O392">
        <v>171788.82</v>
      </c>
      <c r="P392">
        <f>IF(C392&gt;=200000,5,IF(C392&gt;=100000,4,IF(C392&gt;=50000,3,IF(C392&gt;=10000,2,1))))</f>
        <v>4</v>
      </c>
      <c r="Q392">
        <f>IF(B392="TRANSFER",5,IF(B392="CASH_OUT",4,IF(B392="DEBIT",2,1)))</f>
        <v>5</v>
      </c>
      <c r="R392">
        <f>(P392*0.5)+(Q392*0.3)+(N392*0.1)+(M392*0.1)</f>
        <v>3.6</v>
      </c>
      <c r="S392" t="str">
        <f t="shared" si="6"/>
        <v>HIGH</v>
      </c>
    </row>
    <row r="393" spans="1:19" x14ac:dyDescent="0.3">
      <c r="A393">
        <v>35</v>
      </c>
      <c r="B393" t="s">
        <v>18</v>
      </c>
      <c r="C393">
        <v>171788.82</v>
      </c>
      <c r="D393" t="s">
        <v>796</v>
      </c>
      <c r="E393">
        <v>171788.82</v>
      </c>
      <c r="F393">
        <v>0</v>
      </c>
      <c r="G393" t="s">
        <v>797</v>
      </c>
      <c r="H393">
        <v>19962</v>
      </c>
      <c r="I393">
        <v>0</v>
      </c>
      <c r="J393">
        <v>1</v>
      </c>
      <c r="K393">
        <v>0</v>
      </c>
      <c r="L393">
        <v>11</v>
      </c>
      <c r="M393">
        <v>0</v>
      </c>
      <c r="N393">
        <v>1</v>
      </c>
      <c r="O393">
        <v>171788.82</v>
      </c>
      <c r="P393">
        <f>IF(C393&gt;=200000,5,IF(C393&gt;=100000,4,IF(C393&gt;=50000,3,IF(C393&gt;=10000,2,1))))</f>
        <v>4</v>
      </c>
      <c r="Q393">
        <f>IF(B393="TRANSFER",5,IF(B393="CASH_OUT",4,IF(B393="DEBIT",2,1)))</f>
        <v>4</v>
      </c>
      <c r="R393">
        <f>(P393*0.5)+(Q393*0.3)+(N393*0.1)+(M393*0.1)</f>
        <v>3.3000000000000003</v>
      </c>
      <c r="S393" t="str">
        <f t="shared" si="6"/>
        <v>HIGH</v>
      </c>
    </row>
    <row r="394" spans="1:19" x14ac:dyDescent="0.3">
      <c r="A394">
        <v>35</v>
      </c>
      <c r="B394" t="s">
        <v>15</v>
      </c>
      <c r="C394">
        <v>9465988.8200000003</v>
      </c>
      <c r="D394" t="s">
        <v>798</v>
      </c>
      <c r="E394">
        <v>9465988.8200000003</v>
      </c>
      <c r="F394">
        <v>0</v>
      </c>
      <c r="G394" t="s">
        <v>799</v>
      </c>
      <c r="H394">
        <v>0</v>
      </c>
      <c r="I394">
        <v>0</v>
      </c>
      <c r="J394">
        <v>1</v>
      </c>
      <c r="K394">
        <v>0</v>
      </c>
      <c r="L394">
        <v>11</v>
      </c>
      <c r="M394">
        <v>0</v>
      </c>
      <c r="N394">
        <v>1</v>
      </c>
      <c r="O394">
        <v>9465988.8200000003</v>
      </c>
      <c r="P394">
        <f>IF(C394&gt;=200000,5,IF(C394&gt;=100000,4,IF(C394&gt;=50000,3,IF(C394&gt;=10000,2,1))))</f>
        <v>5</v>
      </c>
      <c r="Q394">
        <f>IF(B394="TRANSFER",5,IF(B394="CASH_OUT",4,IF(B394="DEBIT",2,1)))</f>
        <v>5</v>
      </c>
      <c r="R394">
        <f>(P394*0.5)+(Q394*0.3)+(N394*0.1)+(M394*0.1)</f>
        <v>4.0999999999999996</v>
      </c>
      <c r="S394" t="str">
        <f t="shared" si="6"/>
        <v>HIGH</v>
      </c>
    </row>
    <row r="395" spans="1:19" x14ac:dyDescent="0.3">
      <c r="A395">
        <v>35</v>
      </c>
      <c r="B395" t="s">
        <v>18</v>
      </c>
      <c r="C395">
        <v>9465988.8200000003</v>
      </c>
      <c r="D395" t="s">
        <v>800</v>
      </c>
      <c r="E395">
        <v>9465988.8200000003</v>
      </c>
      <c r="F395">
        <v>0</v>
      </c>
      <c r="G395" t="s">
        <v>801</v>
      </c>
      <c r="H395">
        <v>0</v>
      </c>
      <c r="I395">
        <v>9465988.8200000003</v>
      </c>
      <c r="J395">
        <v>1</v>
      </c>
      <c r="K395">
        <v>0</v>
      </c>
      <c r="L395">
        <v>11</v>
      </c>
      <c r="M395">
        <v>0</v>
      </c>
      <c r="N395">
        <v>1</v>
      </c>
      <c r="O395">
        <v>9465988.8200000003</v>
      </c>
      <c r="P395">
        <f>IF(C395&gt;=200000,5,IF(C395&gt;=100000,4,IF(C395&gt;=50000,3,IF(C395&gt;=10000,2,1))))</f>
        <v>5</v>
      </c>
      <c r="Q395">
        <f>IF(B395="TRANSFER",5,IF(B395="CASH_OUT",4,IF(B395="DEBIT",2,1)))</f>
        <v>4</v>
      </c>
      <c r="R395">
        <f>(P395*0.5)+(Q395*0.3)+(N395*0.1)+(M395*0.1)</f>
        <v>3.8000000000000003</v>
      </c>
      <c r="S395" t="str">
        <f t="shared" si="6"/>
        <v>HIGH</v>
      </c>
    </row>
    <row r="396" spans="1:19" x14ac:dyDescent="0.3">
      <c r="A396">
        <v>35</v>
      </c>
      <c r="B396" t="s">
        <v>15</v>
      </c>
      <c r="C396">
        <v>454511.73</v>
      </c>
      <c r="D396" t="s">
        <v>802</v>
      </c>
      <c r="E396">
        <v>454511.73</v>
      </c>
      <c r="F396">
        <v>0</v>
      </c>
      <c r="G396" t="s">
        <v>803</v>
      </c>
      <c r="H396">
        <v>0</v>
      </c>
      <c r="I396">
        <v>0</v>
      </c>
      <c r="J396">
        <v>1</v>
      </c>
      <c r="K396">
        <v>0</v>
      </c>
      <c r="L396">
        <v>11</v>
      </c>
      <c r="M396">
        <v>0</v>
      </c>
      <c r="N396">
        <v>1</v>
      </c>
      <c r="O396">
        <v>454511.73</v>
      </c>
      <c r="P396">
        <f>IF(C396&gt;=200000,5,IF(C396&gt;=100000,4,IF(C396&gt;=50000,3,IF(C396&gt;=10000,2,1))))</f>
        <v>5</v>
      </c>
      <c r="Q396">
        <f>IF(B396="TRANSFER",5,IF(B396="CASH_OUT",4,IF(B396="DEBIT",2,1)))</f>
        <v>5</v>
      </c>
      <c r="R396">
        <f>(P396*0.5)+(Q396*0.3)+(N396*0.1)+(M396*0.1)</f>
        <v>4.0999999999999996</v>
      </c>
      <c r="S396" t="str">
        <f t="shared" si="6"/>
        <v>HIGH</v>
      </c>
    </row>
    <row r="397" spans="1:19" x14ac:dyDescent="0.3">
      <c r="A397">
        <v>35</v>
      </c>
      <c r="B397" t="s">
        <v>18</v>
      </c>
      <c r="C397">
        <v>454511.73</v>
      </c>
      <c r="D397" t="s">
        <v>804</v>
      </c>
      <c r="E397">
        <v>454511.73</v>
      </c>
      <c r="F397">
        <v>0</v>
      </c>
      <c r="G397" t="s">
        <v>805</v>
      </c>
      <c r="H397">
        <v>140892.24</v>
      </c>
      <c r="I397">
        <v>595403.98</v>
      </c>
      <c r="J397">
        <v>1</v>
      </c>
      <c r="K397">
        <v>0</v>
      </c>
      <c r="L397">
        <v>11</v>
      </c>
      <c r="M397">
        <v>0</v>
      </c>
      <c r="N397">
        <v>1</v>
      </c>
      <c r="O397">
        <v>454511.73</v>
      </c>
      <c r="P397">
        <f>IF(C397&gt;=200000,5,IF(C397&gt;=100000,4,IF(C397&gt;=50000,3,IF(C397&gt;=10000,2,1))))</f>
        <v>5</v>
      </c>
      <c r="Q397">
        <f>IF(B397="TRANSFER",5,IF(B397="CASH_OUT",4,IF(B397="DEBIT",2,1)))</f>
        <v>4</v>
      </c>
      <c r="R397">
        <f>(P397*0.5)+(Q397*0.3)+(N397*0.1)+(M397*0.1)</f>
        <v>3.8000000000000003</v>
      </c>
      <c r="S397" t="str">
        <f t="shared" si="6"/>
        <v>HIGH</v>
      </c>
    </row>
    <row r="398" spans="1:19" x14ac:dyDescent="0.3">
      <c r="A398">
        <v>35</v>
      </c>
      <c r="B398" t="s">
        <v>15</v>
      </c>
      <c r="C398">
        <v>136983.26</v>
      </c>
      <c r="D398" t="s">
        <v>806</v>
      </c>
      <c r="E398">
        <v>136983.26</v>
      </c>
      <c r="F398">
        <v>0</v>
      </c>
      <c r="G398" t="s">
        <v>807</v>
      </c>
      <c r="H398">
        <v>0</v>
      </c>
      <c r="I398">
        <v>0</v>
      </c>
      <c r="J398">
        <v>1</v>
      </c>
      <c r="K398">
        <v>0</v>
      </c>
      <c r="L398">
        <v>11</v>
      </c>
      <c r="M398">
        <v>0</v>
      </c>
      <c r="N398">
        <v>1</v>
      </c>
      <c r="O398">
        <v>136983.26</v>
      </c>
      <c r="P398">
        <f>IF(C398&gt;=200000,5,IF(C398&gt;=100000,4,IF(C398&gt;=50000,3,IF(C398&gt;=10000,2,1))))</f>
        <v>4</v>
      </c>
      <c r="Q398">
        <f>IF(B398="TRANSFER",5,IF(B398="CASH_OUT",4,IF(B398="DEBIT",2,1)))</f>
        <v>5</v>
      </c>
      <c r="R398">
        <f>(P398*0.5)+(Q398*0.3)+(N398*0.1)+(M398*0.1)</f>
        <v>3.6</v>
      </c>
      <c r="S398" t="str">
        <f t="shared" si="6"/>
        <v>HIGH</v>
      </c>
    </row>
    <row r="399" spans="1:19" x14ac:dyDescent="0.3">
      <c r="A399">
        <v>35</v>
      </c>
      <c r="B399" t="s">
        <v>18</v>
      </c>
      <c r="C399">
        <v>136983.26</v>
      </c>
      <c r="D399" t="s">
        <v>808</v>
      </c>
      <c r="E399">
        <v>136983.26</v>
      </c>
      <c r="F399">
        <v>0</v>
      </c>
      <c r="G399" t="s">
        <v>809</v>
      </c>
      <c r="H399">
        <v>0</v>
      </c>
      <c r="I399">
        <v>136983.26</v>
      </c>
      <c r="J399">
        <v>1</v>
      </c>
      <c r="K399">
        <v>0</v>
      </c>
      <c r="L399">
        <v>11</v>
      </c>
      <c r="M399">
        <v>0</v>
      </c>
      <c r="N399">
        <v>1</v>
      </c>
      <c r="O399">
        <v>136983.26</v>
      </c>
      <c r="P399">
        <f>IF(C399&gt;=200000,5,IF(C399&gt;=100000,4,IF(C399&gt;=50000,3,IF(C399&gt;=10000,2,1))))</f>
        <v>4</v>
      </c>
      <c r="Q399">
        <f>IF(B399="TRANSFER",5,IF(B399="CASH_OUT",4,IF(B399="DEBIT",2,1)))</f>
        <v>4</v>
      </c>
      <c r="R399">
        <f>(P399*0.5)+(Q399*0.3)+(N399*0.1)+(M399*0.1)</f>
        <v>3.3000000000000003</v>
      </c>
      <c r="S399" t="str">
        <f t="shared" si="6"/>
        <v>HIGH</v>
      </c>
    </row>
    <row r="400" spans="1:19" x14ac:dyDescent="0.3">
      <c r="A400">
        <v>36</v>
      </c>
      <c r="B400" t="s">
        <v>15</v>
      </c>
      <c r="C400">
        <v>326884.31</v>
      </c>
      <c r="D400" t="s">
        <v>810</v>
      </c>
      <c r="E400">
        <v>326884.31</v>
      </c>
      <c r="F400">
        <v>0</v>
      </c>
      <c r="G400" t="s">
        <v>811</v>
      </c>
      <c r="H400">
        <v>0</v>
      </c>
      <c r="I400">
        <v>0</v>
      </c>
      <c r="J400">
        <v>1</v>
      </c>
      <c r="K400">
        <v>0</v>
      </c>
      <c r="L400">
        <v>12</v>
      </c>
      <c r="M400">
        <v>0</v>
      </c>
      <c r="N400">
        <v>1</v>
      </c>
      <c r="O400">
        <v>326884.31</v>
      </c>
      <c r="P400">
        <f>IF(C400&gt;=200000,5,IF(C400&gt;=100000,4,IF(C400&gt;=50000,3,IF(C400&gt;=10000,2,1))))</f>
        <v>5</v>
      </c>
      <c r="Q400">
        <f>IF(B400="TRANSFER",5,IF(B400="CASH_OUT",4,IF(B400="DEBIT",2,1)))</f>
        <v>5</v>
      </c>
      <c r="R400">
        <f>(P400*0.5)+(Q400*0.3)+(N400*0.1)+(M400*0.1)</f>
        <v>4.0999999999999996</v>
      </c>
      <c r="S400" t="str">
        <f t="shared" si="6"/>
        <v>HIGH</v>
      </c>
    </row>
    <row r="401" spans="1:19" x14ac:dyDescent="0.3">
      <c r="A401">
        <v>36</v>
      </c>
      <c r="B401" t="s">
        <v>18</v>
      </c>
      <c r="C401">
        <v>326884.31</v>
      </c>
      <c r="D401" t="s">
        <v>812</v>
      </c>
      <c r="E401">
        <v>326884.31</v>
      </c>
      <c r="F401">
        <v>0</v>
      </c>
      <c r="G401" t="s">
        <v>813</v>
      </c>
      <c r="H401">
        <v>337428.2</v>
      </c>
      <c r="I401">
        <v>664312.51</v>
      </c>
      <c r="J401">
        <v>1</v>
      </c>
      <c r="K401">
        <v>0</v>
      </c>
      <c r="L401">
        <v>12</v>
      </c>
      <c r="M401">
        <v>0</v>
      </c>
      <c r="N401">
        <v>1</v>
      </c>
      <c r="O401">
        <v>326884.31</v>
      </c>
      <c r="P401">
        <f>IF(C401&gt;=200000,5,IF(C401&gt;=100000,4,IF(C401&gt;=50000,3,IF(C401&gt;=10000,2,1))))</f>
        <v>5</v>
      </c>
      <c r="Q401">
        <f>IF(B401="TRANSFER",5,IF(B401="CASH_OUT",4,IF(B401="DEBIT",2,1)))</f>
        <v>4</v>
      </c>
      <c r="R401">
        <f>(P401*0.5)+(Q401*0.3)+(N401*0.1)+(M401*0.1)</f>
        <v>3.8000000000000003</v>
      </c>
      <c r="S401" t="str">
        <f t="shared" si="6"/>
        <v>HIGH</v>
      </c>
    </row>
    <row r="402" spans="1:19" x14ac:dyDescent="0.3">
      <c r="A402">
        <v>36</v>
      </c>
      <c r="B402" t="s">
        <v>15</v>
      </c>
      <c r="C402">
        <v>2352524.1800000002</v>
      </c>
      <c r="D402" t="s">
        <v>814</v>
      </c>
      <c r="E402">
        <v>2352524.1800000002</v>
      </c>
      <c r="F402">
        <v>0</v>
      </c>
      <c r="G402" t="s">
        <v>815</v>
      </c>
      <c r="H402">
        <v>0</v>
      </c>
      <c r="I402">
        <v>0</v>
      </c>
      <c r="J402">
        <v>1</v>
      </c>
      <c r="K402">
        <v>0</v>
      </c>
      <c r="L402">
        <v>12</v>
      </c>
      <c r="M402">
        <v>0</v>
      </c>
      <c r="N402">
        <v>1</v>
      </c>
      <c r="O402">
        <v>2352524.1800000002</v>
      </c>
      <c r="P402">
        <f>IF(C402&gt;=200000,5,IF(C402&gt;=100000,4,IF(C402&gt;=50000,3,IF(C402&gt;=10000,2,1))))</f>
        <v>5</v>
      </c>
      <c r="Q402">
        <f>IF(B402="TRANSFER",5,IF(B402="CASH_OUT",4,IF(B402="DEBIT",2,1)))</f>
        <v>5</v>
      </c>
      <c r="R402">
        <f>(P402*0.5)+(Q402*0.3)+(N402*0.1)+(M402*0.1)</f>
        <v>4.0999999999999996</v>
      </c>
      <c r="S402" t="str">
        <f t="shared" si="6"/>
        <v>HIGH</v>
      </c>
    </row>
    <row r="403" spans="1:19" x14ac:dyDescent="0.3">
      <c r="A403">
        <v>36</v>
      </c>
      <c r="B403" t="s">
        <v>18</v>
      </c>
      <c r="C403">
        <v>2352524.1800000002</v>
      </c>
      <c r="D403" t="s">
        <v>816</v>
      </c>
      <c r="E403">
        <v>2352524.1800000002</v>
      </c>
      <c r="F403">
        <v>0</v>
      </c>
      <c r="G403" t="s">
        <v>817</v>
      </c>
      <c r="H403">
        <v>1227902.1200000001</v>
      </c>
      <c r="I403">
        <v>3580426.31</v>
      </c>
      <c r="J403">
        <v>1</v>
      </c>
      <c r="K403">
        <v>0</v>
      </c>
      <c r="L403">
        <v>12</v>
      </c>
      <c r="M403">
        <v>0</v>
      </c>
      <c r="N403">
        <v>1</v>
      </c>
      <c r="O403">
        <v>2352524.1800000002</v>
      </c>
      <c r="P403">
        <f>IF(C403&gt;=200000,5,IF(C403&gt;=100000,4,IF(C403&gt;=50000,3,IF(C403&gt;=10000,2,1))))</f>
        <v>5</v>
      </c>
      <c r="Q403">
        <f>IF(B403="TRANSFER",5,IF(B403="CASH_OUT",4,IF(B403="DEBIT",2,1)))</f>
        <v>4</v>
      </c>
      <c r="R403">
        <f>(P403*0.5)+(Q403*0.3)+(N403*0.1)+(M403*0.1)</f>
        <v>3.8000000000000003</v>
      </c>
      <c r="S403" t="str">
        <f t="shared" si="6"/>
        <v>HIGH</v>
      </c>
    </row>
    <row r="404" spans="1:19" x14ac:dyDescent="0.3">
      <c r="A404">
        <v>36</v>
      </c>
      <c r="B404" t="s">
        <v>15</v>
      </c>
      <c r="C404">
        <v>113338.99</v>
      </c>
      <c r="D404" t="s">
        <v>818</v>
      </c>
      <c r="E404">
        <v>113338.99</v>
      </c>
      <c r="F404">
        <v>0</v>
      </c>
      <c r="G404" t="s">
        <v>819</v>
      </c>
      <c r="H404">
        <v>0</v>
      </c>
      <c r="I404">
        <v>0</v>
      </c>
      <c r="J404">
        <v>1</v>
      </c>
      <c r="K404">
        <v>0</v>
      </c>
      <c r="L404">
        <v>12</v>
      </c>
      <c r="M404">
        <v>0</v>
      </c>
      <c r="N404">
        <v>1</v>
      </c>
      <c r="O404">
        <v>113338.99</v>
      </c>
      <c r="P404">
        <f>IF(C404&gt;=200000,5,IF(C404&gt;=100000,4,IF(C404&gt;=50000,3,IF(C404&gt;=10000,2,1))))</f>
        <v>4</v>
      </c>
      <c r="Q404">
        <f>IF(B404="TRANSFER",5,IF(B404="CASH_OUT",4,IF(B404="DEBIT",2,1)))</f>
        <v>5</v>
      </c>
      <c r="R404">
        <f>(P404*0.5)+(Q404*0.3)+(N404*0.1)+(M404*0.1)</f>
        <v>3.6</v>
      </c>
      <c r="S404" t="str">
        <f t="shared" si="6"/>
        <v>HIGH</v>
      </c>
    </row>
    <row r="405" spans="1:19" x14ac:dyDescent="0.3">
      <c r="A405">
        <v>36</v>
      </c>
      <c r="B405" t="s">
        <v>18</v>
      </c>
      <c r="C405">
        <v>113338.99</v>
      </c>
      <c r="D405" t="s">
        <v>820</v>
      </c>
      <c r="E405">
        <v>113338.99</v>
      </c>
      <c r="F405">
        <v>0</v>
      </c>
      <c r="G405" t="s">
        <v>821</v>
      </c>
      <c r="H405">
        <v>3290608.15</v>
      </c>
      <c r="I405">
        <v>3403947.14</v>
      </c>
      <c r="J405">
        <v>1</v>
      </c>
      <c r="K405">
        <v>0</v>
      </c>
      <c r="L405">
        <v>12</v>
      </c>
      <c r="M405">
        <v>0</v>
      </c>
      <c r="N405">
        <v>1</v>
      </c>
      <c r="O405">
        <v>113338.99</v>
      </c>
      <c r="P405">
        <f>IF(C405&gt;=200000,5,IF(C405&gt;=100000,4,IF(C405&gt;=50000,3,IF(C405&gt;=10000,2,1))))</f>
        <v>4</v>
      </c>
      <c r="Q405">
        <f>IF(B405="TRANSFER",5,IF(B405="CASH_OUT",4,IF(B405="DEBIT",2,1)))</f>
        <v>4</v>
      </c>
      <c r="R405">
        <f>(P405*0.5)+(Q405*0.3)+(N405*0.1)+(M405*0.1)</f>
        <v>3.3000000000000003</v>
      </c>
      <c r="S405" t="str">
        <f t="shared" si="6"/>
        <v>HIGH</v>
      </c>
    </row>
    <row r="406" spans="1:19" x14ac:dyDescent="0.3">
      <c r="A406">
        <v>36</v>
      </c>
      <c r="B406" t="s">
        <v>15</v>
      </c>
      <c r="C406">
        <v>886592.76</v>
      </c>
      <c r="D406" t="s">
        <v>822</v>
      </c>
      <c r="E406">
        <v>886592.76</v>
      </c>
      <c r="F406">
        <v>0</v>
      </c>
      <c r="G406" t="s">
        <v>823</v>
      </c>
      <c r="H406">
        <v>0</v>
      </c>
      <c r="I406">
        <v>0</v>
      </c>
      <c r="J406">
        <v>1</v>
      </c>
      <c r="K406">
        <v>0</v>
      </c>
      <c r="L406">
        <v>12</v>
      </c>
      <c r="M406">
        <v>0</v>
      </c>
      <c r="N406">
        <v>1</v>
      </c>
      <c r="O406">
        <v>886592.76</v>
      </c>
      <c r="P406">
        <f>IF(C406&gt;=200000,5,IF(C406&gt;=100000,4,IF(C406&gt;=50000,3,IF(C406&gt;=10000,2,1))))</f>
        <v>5</v>
      </c>
      <c r="Q406">
        <f>IF(B406="TRANSFER",5,IF(B406="CASH_OUT",4,IF(B406="DEBIT",2,1)))</f>
        <v>5</v>
      </c>
      <c r="R406">
        <f>(P406*0.5)+(Q406*0.3)+(N406*0.1)+(M406*0.1)</f>
        <v>4.0999999999999996</v>
      </c>
      <c r="S406" t="str">
        <f t="shared" si="6"/>
        <v>HIGH</v>
      </c>
    </row>
    <row r="407" spans="1:19" x14ac:dyDescent="0.3">
      <c r="A407">
        <v>36</v>
      </c>
      <c r="B407" t="s">
        <v>18</v>
      </c>
      <c r="C407">
        <v>886592.76</v>
      </c>
      <c r="D407" t="s">
        <v>824</v>
      </c>
      <c r="E407">
        <v>886592.76</v>
      </c>
      <c r="F407">
        <v>0</v>
      </c>
      <c r="G407" t="s">
        <v>825</v>
      </c>
      <c r="H407">
        <v>112531.06</v>
      </c>
      <c r="I407">
        <v>999123.82</v>
      </c>
      <c r="J407">
        <v>1</v>
      </c>
      <c r="K407">
        <v>0</v>
      </c>
      <c r="L407">
        <v>12</v>
      </c>
      <c r="M407">
        <v>0</v>
      </c>
      <c r="N407">
        <v>1</v>
      </c>
      <c r="O407">
        <v>886592.76</v>
      </c>
      <c r="P407">
        <f>IF(C407&gt;=200000,5,IF(C407&gt;=100000,4,IF(C407&gt;=50000,3,IF(C407&gt;=10000,2,1))))</f>
        <v>5</v>
      </c>
      <c r="Q407">
        <f>IF(B407="TRANSFER",5,IF(B407="CASH_OUT",4,IF(B407="DEBIT",2,1)))</f>
        <v>4</v>
      </c>
      <c r="R407">
        <f>(P407*0.5)+(Q407*0.3)+(N407*0.1)+(M407*0.1)</f>
        <v>3.8000000000000003</v>
      </c>
      <c r="S407" t="str">
        <f t="shared" si="6"/>
        <v>HIGH</v>
      </c>
    </row>
    <row r="408" spans="1:19" x14ac:dyDescent="0.3">
      <c r="A408">
        <v>36</v>
      </c>
      <c r="B408" t="s">
        <v>15</v>
      </c>
      <c r="C408">
        <v>819503.92</v>
      </c>
      <c r="D408" t="s">
        <v>826</v>
      </c>
      <c r="E408">
        <v>819503.92</v>
      </c>
      <c r="F408">
        <v>0</v>
      </c>
      <c r="G408" t="s">
        <v>827</v>
      </c>
      <c r="H408">
        <v>0</v>
      </c>
      <c r="I408">
        <v>0</v>
      </c>
      <c r="J408">
        <v>1</v>
      </c>
      <c r="K408">
        <v>0</v>
      </c>
      <c r="L408">
        <v>12</v>
      </c>
      <c r="M408">
        <v>0</v>
      </c>
      <c r="N408">
        <v>1</v>
      </c>
      <c r="O408">
        <v>819503.92</v>
      </c>
      <c r="P408">
        <f>IF(C408&gt;=200000,5,IF(C408&gt;=100000,4,IF(C408&gt;=50000,3,IF(C408&gt;=10000,2,1))))</f>
        <v>5</v>
      </c>
      <c r="Q408">
        <f>IF(B408="TRANSFER",5,IF(B408="CASH_OUT",4,IF(B408="DEBIT",2,1)))</f>
        <v>5</v>
      </c>
      <c r="R408">
        <f>(P408*0.5)+(Q408*0.3)+(N408*0.1)+(M408*0.1)</f>
        <v>4.0999999999999996</v>
      </c>
      <c r="S408" t="str">
        <f t="shared" si="6"/>
        <v>HIGH</v>
      </c>
    </row>
    <row r="409" spans="1:19" x14ac:dyDescent="0.3">
      <c r="A409">
        <v>36</v>
      </c>
      <c r="B409" t="s">
        <v>18</v>
      </c>
      <c r="C409">
        <v>819503.92</v>
      </c>
      <c r="D409" t="s">
        <v>828</v>
      </c>
      <c r="E409">
        <v>819503.92</v>
      </c>
      <c r="F409">
        <v>0</v>
      </c>
      <c r="G409" t="s">
        <v>829</v>
      </c>
      <c r="H409">
        <v>255585.23</v>
      </c>
      <c r="I409">
        <v>1470226.48</v>
      </c>
      <c r="J409">
        <v>1</v>
      </c>
      <c r="K409">
        <v>0</v>
      </c>
      <c r="L409">
        <v>12</v>
      </c>
      <c r="M409">
        <v>0</v>
      </c>
      <c r="N409">
        <v>1</v>
      </c>
      <c r="O409">
        <v>819503.92</v>
      </c>
      <c r="P409">
        <f>IF(C409&gt;=200000,5,IF(C409&gt;=100000,4,IF(C409&gt;=50000,3,IF(C409&gt;=10000,2,1))))</f>
        <v>5</v>
      </c>
      <c r="Q409">
        <f>IF(B409="TRANSFER",5,IF(B409="CASH_OUT",4,IF(B409="DEBIT",2,1)))</f>
        <v>4</v>
      </c>
      <c r="R409">
        <f>(P409*0.5)+(Q409*0.3)+(N409*0.1)+(M409*0.1)</f>
        <v>3.8000000000000003</v>
      </c>
      <c r="S409" t="str">
        <f t="shared" si="6"/>
        <v>HIGH</v>
      </c>
    </row>
    <row r="410" spans="1:19" x14ac:dyDescent="0.3">
      <c r="A410">
        <v>36</v>
      </c>
      <c r="B410" t="s">
        <v>15</v>
      </c>
      <c r="C410">
        <v>636</v>
      </c>
      <c r="D410" t="s">
        <v>830</v>
      </c>
      <c r="E410">
        <v>636</v>
      </c>
      <c r="F410">
        <v>0</v>
      </c>
      <c r="G410" t="s">
        <v>831</v>
      </c>
      <c r="H410">
        <v>0</v>
      </c>
      <c r="I410">
        <v>0</v>
      </c>
      <c r="J410">
        <v>1</v>
      </c>
      <c r="K410">
        <v>0</v>
      </c>
      <c r="L410">
        <v>12</v>
      </c>
      <c r="M410">
        <v>0</v>
      </c>
      <c r="N410">
        <v>1</v>
      </c>
      <c r="O410">
        <v>636</v>
      </c>
      <c r="P410">
        <f>IF(C410&gt;=200000,5,IF(C410&gt;=100000,4,IF(C410&gt;=50000,3,IF(C410&gt;=10000,2,1))))</f>
        <v>1</v>
      </c>
      <c r="Q410">
        <f>IF(B410="TRANSFER",5,IF(B410="CASH_OUT",4,IF(B410="DEBIT",2,1)))</f>
        <v>5</v>
      </c>
      <c r="R410">
        <f>(P410*0.5)+(Q410*0.3)+(N410*0.1)+(M410*0.1)</f>
        <v>2.1</v>
      </c>
      <c r="S410" t="str">
        <f t="shared" si="6"/>
        <v>MEDIUM</v>
      </c>
    </row>
    <row r="411" spans="1:19" x14ac:dyDescent="0.3">
      <c r="A411">
        <v>36</v>
      </c>
      <c r="B411" t="s">
        <v>18</v>
      </c>
      <c r="C411">
        <v>636</v>
      </c>
      <c r="D411" t="s">
        <v>832</v>
      </c>
      <c r="E411">
        <v>636</v>
      </c>
      <c r="F411">
        <v>0</v>
      </c>
      <c r="G411" t="s">
        <v>833</v>
      </c>
      <c r="H411">
        <v>0</v>
      </c>
      <c r="I411">
        <v>636</v>
      </c>
      <c r="J411">
        <v>1</v>
      </c>
      <c r="K411">
        <v>0</v>
      </c>
      <c r="L411">
        <v>12</v>
      </c>
      <c r="M411">
        <v>0</v>
      </c>
      <c r="N411">
        <v>1</v>
      </c>
      <c r="O411">
        <v>636</v>
      </c>
      <c r="P411">
        <f>IF(C411&gt;=200000,5,IF(C411&gt;=100000,4,IF(C411&gt;=50000,3,IF(C411&gt;=10000,2,1))))</f>
        <v>1</v>
      </c>
      <c r="Q411">
        <f>IF(B411="TRANSFER",5,IF(B411="CASH_OUT",4,IF(B411="DEBIT",2,1)))</f>
        <v>4</v>
      </c>
      <c r="R411">
        <f>(P411*0.5)+(Q411*0.3)+(N411*0.1)+(M411*0.1)</f>
        <v>1.8</v>
      </c>
      <c r="S411" t="str">
        <f t="shared" si="6"/>
        <v>LOW</v>
      </c>
    </row>
    <row r="412" spans="1:19" x14ac:dyDescent="0.3">
      <c r="A412">
        <v>36</v>
      </c>
      <c r="B412" t="s">
        <v>15</v>
      </c>
      <c r="C412">
        <v>32382.959999999999</v>
      </c>
      <c r="D412" t="s">
        <v>834</v>
      </c>
      <c r="E412">
        <v>32382.959999999999</v>
      </c>
      <c r="F412">
        <v>0</v>
      </c>
      <c r="G412" t="s">
        <v>835</v>
      </c>
      <c r="H412">
        <v>0</v>
      </c>
      <c r="I412">
        <v>0</v>
      </c>
      <c r="J412">
        <v>1</v>
      </c>
      <c r="K412">
        <v>0</v>
      </c>
      <c r="L412">
        <v>12</v>
      </c>
      <c r="M412">
        <v>0</v>
      </c>
      <c r="N412">
        <v>1</v>
      </c>
      <c r="O412">
        <v>32382.959999999999</v>
      </c>
      <c r="P412">
        <f>IF(C412&gt;=200000,5,IF(C412&gt;=100000,4,IF(C412&gt;=50000,3,IF(C412&gt;=10000,2,1))))</f>
        <v>2</v>
      </c>
      <c r="Q412">
        <f>IF(B412="TRANSFER",5,IF(B412="CASH_OUT",4,IF(B412="DEBIT",2,1)))</f>
        <v>5</v>
      </c>
      <c r="R412">
        <f>(P412*0.5)+(Q412*0.3)+(N412*0.1)+(M412*0.1)</f>
        <v>2.6</v>
      </c>
      <c r="S412" t="str">
        <f t="shared" si="6"/>
        <v>MEDIUM</v>
      </c>
    </row>
    <row r="413" spans="1:19" x14ac:dyDescent="0.3">
      <c r="A413">
        <v>36</v>
      </c>
      <c r="B413" t="s">
        <v>18</v>
      </c>
      <c r="C413">
        <v>32382.959999999999</v>
      </c>
      <c r="D413" t="s">
        <v>836</v>
      </c>
      <c r="E413">
        <v>32382.959999999999</v>
      </c>
      <c r="F413">
        <v>0</v>
      </c>
      <c r="G413" t="s">
        <v>837</v>
      </c>
      <c r="H413">
        <v>0</v>
      </c>
      <c r="I413">
        <v>32382.959999999999</v>
      </c>
      <c r="J413">
        <v>1</v>
      </c>
      <c r="K413">
        <v>0</v>
      </c>
      <c r="L413">
        <v>12</v>
      </c>
      <c r="M413">
        <v>0</v>
      </c>
      <c r="N413">
        <v>1</v>
      </c>
      <c r="O413">
        <v>32382.959999999999</v>
      </c>
      <c r="P413">
        <f>IF(C413&gt;=200000,5,IF(C413&gt;=100000,4,IF(C413&gt;=50000,3,IF(C413&gt;=10000,2,1))))</f>
        <v>2</v>
      </c>
      <c r="Q413">
        <f>IF(B413="TRANSFER",5,IF(B413="CASH_OUT",4,IF(B413="DEBIT",2,1)))</f>
        <v>4</v>
      </c>
      <c r="R413">
        <f>(P413*0.5)+(Q413*0.3)+(N413*0.1)+(M413*0.1)</f>
        <v>2.3000000000000003</v>
      </c>
      <c r="S413" t="str">
        <f t="shared" si="6"/>
        <v>MEDIUM</v>
      </c>
    </row>
    <row r="414" spans="1:19" x14ac:dyDescent="0.3">
      <c r="A414">
        <v>36</v>
      </c>
      <c r="B414" t="s">
        <v>15</v>
      </c>
      <c r="C414">
        <v>103056</v>
      </c>
      <c r="D414" t="s">
        <v>838</v>
      </c>
      <c r="E414">
        <v>103056</v>
      </c>
      <c r="F414">
        <v>0</v>
      </c>
      <c r="G414" t="s">
        <v>839</v>
      </c>
      <c r="H414">
        <v>0</v>
      </c>
      <c r="I414">
        <v>0</v>
      </c>
      <c r="J414">
        <v>1</v>
      </c>
      <c r="K414">
        <v>0</v>
      </c>
      <c r="L414">
        <v>12</v>
      </c>
      <c r="M414">
        <v>0</v>
      </c>
      <c r="N414">
        <v>1</v>
      </c>
      <c r="O414">
        <v>103056</v>
      </c>
      <c r="P414">
        <f>IF(C414&gt;=200000,5,IF(C414&gt;=100000,4,IF(C414&gt;=50000,3,IF(C414&gt;=10000,2,1))))</f>
        <v>4</v>
      </c>
      <c r="Q414">
        <f>IF(B414="TRANSFER",5,IF(B414="CASH_OUT",4,IF(B414="DEBIT",2,1)))</f>
        <v>5</v>
      </c>
      <c r="R414">
        <f>(P414*0.5)+(Q414*0.3)+(N414*0.1)+(M414*0.1)</f>
        <v>3.6</v>
      </c>
      <c r="S414" t="str">
        <f t="shared" si="6"/>
        <v>HIGH</v>
      </c>
    </row>
    <row r="415" spans="1:19" x14ac:dyDescent="0.3">
      <c r="A415">
        <v>36</v>
      </c>
      <c r="B415" t="s">
        <v>18</v>
      </c>
      <c r="C415">
        <v>103056</v>
      </c>
      <c r="D415" t="s">
        <v>840</v>
      </c>
      <c r="E415">
        <v>103056</v>
      </c>
      <c r="F415">
        <v>0</v>
      </c>
      <c r="G415" t="s">
        <v>841</v>
      </c>
      <c r="H415">
        <v>444182.13</v>
      </c>
      <c r="I415">
        <v>547238.13</v>
      </c>
      <c r="J415">
        <v>1</v>
      </c>
      <c r="K415">
        <v>0</v>
      </c>
      <c r="L415">
        <v>12</v>
      </c>
      <c r="M415">
        <v>0</v>
      </c>
      <c r="N415">
        <v>1</v>
      </c>
      <c r="O415">
        <v>103056</v>
      </c>
      <c r="P415">
        <f>IF(C415&gt;=200000,5,IF(C415&gt;=100000,4,IF(C415&gt;=50000,3,IF(C415&gt;=10000,2,1))))</f>
        <v>4</v>
      </c>
      <c r="Q415">
        <f>IF(B415="TRANSFER",5,IF(B415="CASH_OUT",4,IF(B415="DEBIT",2,1)))</f>
        <v>4</v>
      </c>
      <c r="R415">
        <f>(P415*0.5)+(Q415*0.3)+(N415*0.1)+(M415*0.1)</f>
        <v>3.3000000000000003</v>
      </c>
      <c r="S415" t="str">
        <f t="shared" si="6"/>
        <v>HIGH</v>
      </c>
    </row>
    <row r="416" spans="1:19" x14ac:dyDescent="0.3">
      <c r="A416">
        <v>36</v>
      </c>
      <c r="B416" t="s">
        <v>18</v>
      </c>
      <c r="C416">
        <v>234377.29</v>
      </c>
      <c r="D416" t="s">
        <v>842</v>
      </c>
      <c r="E416">
        <v>0</v>
      </c>
      <c r="F416">
        <v>0</v>
      </c>
      <c r="G416" t="s">
        <v>843</v>
      </c>
      <c r="H416">
        <v>34937.86</v>
      </c>
      <c r="I416">
        <v>269315.15000000002</v>
      </c>
      <c r="J416">
        <v>1</v>
      </c>
      <c r="K416">
        <v>0</v>
      </c>
      <c r="L416">
        <v>12</v>
      </c>
      <c r="M416">
        <v>0</v>
      </c>
      <c r="N416">
        <v>0</v>
      </c>
      <c r="O416">
        <v>0</v>
      </c>
      <c r="P416">
        <f>IF(C416&gt;=200000,5,IF(C416&gt;=100000,4,IF(C416&gt;=50000,3,IF(C416&gt;=10000,2,1))))</f>
        <v>5</v>
      </c>
      <c r="Q416">
        <f>IF(B416="TRANSFER",5,IF(B416="CASH_OUT",4,IF(B416="DEBIT",2,1)))</f>
        <v>4</v>
      </c>
      <c r="R416">
        <f>(P416*0.5)+(Q416*0.3)+(N416*0.1)+(M416*0.1)</f>
        <v>3.7</v>
      </c>
      <c r="S416" t="str">
        <f t="shared" si="6"/>
        <v>HIGH</v>
      </c>
    </row>
    <row r="417" spans="1:19" x14ac:dyDescent="0.3">
      <c r="A417">
        <v>36</v>
      </c>
      <c r="B417" t="s">
        <v>15</v>
      </c>
      <c r="C417">
        <v>1684039.12</v>
      </c>
      <c r="D417" t="s">
        <v>844</v>
      </c>
      <c r="E417">
        <v>1684039.12</v>
      </c>
      <c r="F417">
        <v>0</v>
      </c>
      <c r="G417" t="s">
        <v>845</v>
      </c>
      <c r="H417">
        <v>0</v>
      </c>
      <c r="I417">
        <v>0</v>
      </c>
      <c r="J417">
        <v>1</v>
      </c>
      <c r="K417">
        <v>0</v>
      </c>
      <c r="L417">
        <v>12</v>
      </c>
      <c r="M417">
        <v>0</v>
      </c>
      <c r="N417">
        <v>1</v>
      </c>
      <c r="O417">
        <v>1684039.12</v>
      </c>
      <c r="P417">
        <f>IF(C417&gt;=200000,5,IF(C417&gt;=100000,4,IF(C417&gt;=50000,3,IF(C417&gt;=10000,2,1))))</f>
        <v>5</v>
      </c>
      <c r="Q417">
        <f>IF(B417="TRANSFER",5,IF(B417="CASH_OUT",4,IF(B417="DEBIT",2,1)))</f>
        <v>5</v>
      </c>
      <c r="R417">
        <f>(P417*0.5)+(Q417*0.3)+(N417*0.1)+(M417*0.1)</f>
        <v>4.0999999999999996</v>
      </c>
      <c r="S417" t="str">
        <f t="shared" si="6"/>
        <v>HIGH</v>
      </c>
    </row>
    <row r="418" spans="1:19" x14ac:dyDescent="0.3">
      <c r="A418">
        <v>36</v>
      </c>
      <c r="B418" t="s">
        <v>18</v>
      </c>
      <c r="C418">
        <v>1684039.12</v>
      </c>
      <c r="D418" t="s">
        <v>846</v>
      </c>
      <c r="E418">
        <v>1684039.12</v>
      </c>
      <c r="F418">
        <v>0</v>
      </c>
      <c r="G418" t="s">
        <v>99</v>
      </c>
      <c r="H418">
        <v>33000000</v>
      </c>
      <c r="I418">
        <v>34600000</v>
      </c>
      <c r="J418">
        <v>1</v>
      </c>
      <c r="K418">
        <v>0</v>
      </c>
      <c r="L418">
        <v>12</v>
      </c>
      <c r="M418">
        <v>0</v>
      </c>
      <c r="N418">
        <v>1</v>
      </c>
      <c r="O418">
        <v>1684039.12</v>
      </c>
      <c r="P418">
        <f>IF(C418&gt;=200000,5,IF(C418&gt;=100000,4,IF(C418&gt;=50000,3,IF(C418&gt;=10000,2,1))))</f>
        <v>5</v>
      </c>
      <c r="Q418">
        <f>IF(B418="TRANSFER",5,IF(B418="CASH_OUT",4,IF(B418="DEBIT",2,1)))</f>
        <v>4</v>
      </c>
      <c r="R418">
        <f>(P418*0.5)+(Q418*0.3)+(N418*0.1)+(M418*0.1)</f>
        <v>3.8000000000000003</v>
      </c>
      <c r="S418" t="str">
        <f t="shared" si="6"/>
        <v>HIGH</v>
      </c>
    </row>
    <row r="419" spans="1:19" x14ac:dyDescent="0.3">
      <c r="A419">
        <v>37</v>
      </c>
      <c r="B419" t="s">
        <v>15</v>
      </c>
      <c r="C419">
        <v>1842</v>
      </c>
      <c r="D419" t="s">
        <v>847</v>
      </c>
      <c r="E419">
        <v>1842</v>
      </c>
      <c r="F419">
        <v>0</v>
      </c>
      <c r="G419" t="s">
        <v>848</v>
      </c>
      <c r="H419">
        <v>0</v>
      </c>
      <c r="I419">
        <v>0</v>
      </c>
      <c r="J419">
        <v>1</v>
      </c>
      <c r="K419">
        <v>0</v>
      </c>
      <c r="L419">
        <v>13</v>
      </c>
      <c r="M419">
        <v>0</v>
      </c>
      <c r="N419">
        <v>1</v>
      </c>
      <c r="O419">
        <v>1842</v>
      </c>
      <c r="P419">
        <f>IF(C419&gt;=200000,5,IF(C419&gt;=100000,4,IF(C419&gt;=50000,3,IF(C419&gt;=10000,2,1))))</f>
        <v>1</v>
      </c>
      <c r="Q419">
        <f>IF(B419="TRANSFER",5,IF(B419="CASH_OUT",4,IF(B419="DEBIT",2,1)))</f>
        <v>5</v>
      </c>
      <c r="R419">
        <f>(P419*0.5)+(Q419*0.3)+(N419*0.1)+(M419*0.1)</f>
        <v>2.1</v>
      </c>
      <c r="S419" t="str">
        <f t="shared" si="6"/>
        <v>MEDIUM</v>
      </c>
    </row>
    <row r="420" spans="1:19" x14ac:dyDescent="0.3">
      <c r="A420">
        <v>37</v>
      </c>
      <c r="B420" t="s">
        <v>18</v>
      </c>
      <c r="C420">
        <v>1842</v>
      </c>
      <c r="D420" t="s">
        <v>849</v>
      </c>
      <c r="E420">
        <v>1842</v>
      </c>
      <c r="F420">
        <v>0</v>
      </c>
      <c r="G420" t="s">
        <v>850</v>
      </c>
      <c r="H420">
        <v>0</v>
      </c>
      <c r="I420">
        <v>1842</v>
      </c>
      <c r="J420">
        <v>1</v>
      </c>
      <c r="K420">
        <v>0</v>
      </c>
      <c r="L420">
        <v>13</v>
      </c>
      <c r="M420">
        <v>0</v>
      </c>
      <c r="N420">
        <v>1</v>
      </c>
      <c r="O420">
        <v>1842</v>
      </c>
      <c r="P420">
        <f>IF(C420&gt;=200000,5,IF(C420&gt;=100000,4,IF(C420&gt;=50000,3,IF(C420&gt;=10000,2,1))))</f>
        <v>1</v>
      </c>
      <c r="Q420">
        <f>IF(B420="TRANSFER",5,IF(B420="CASH_OUT",4,IF(B420="DEBIT",2,1)))</f>
        <v>4</v>
      </c>
      <c r="R420">
        <f>(P420*0.5)+(Q420*0.3)+(N420*0.1)+(M420*0.1)</f>
        <v>1.8</v>
      </c>
      <c r="S420" t="str">
        <f t="shared" si="6"/>
        <v>LOW</v>
      </c>
    </row>
    <row r="421" spans="1:19" x14ac:dyDescent="0.3">
      <c r="A421">
        <v>37</v>
      </c>
      <c r="B421" t="s">
        <v>15</v>
      </c>
      <c r="C421">
        <v>180967.56</v>
      </c>
      <c r="D421" t="s">
        <v>851</v>
      </c>
      <c r="E421">
        <v>180967.56</v>
      </c>
      <c r="F421">
        <v>0</v>
      </c>
      <c r="G421" t="s">
        <v>852</v>
      </c>
      <c r="H421">
        <v>0</v>
      </c>
      <c r="I421">
        <v>0</v>
      </c>
      <c r="J421">
        <v>1</v>
      </c>
      <c r="K421">
        <v>0</v>
      </c>
      <c r="L421">
        <v>13</v>
      </c>
      <c r="M421">
        <v>0</v>
      </c>
      <c r="N421">
        <v>1</v>
      </c>
      <c r="O421">
        <v>180967.56</v>
      </c>
      <c r="P421">
        <f>IF(C421&gt;=200000,5,IF(C421&gt;=100000,4,IF(C421&gt;=50000,3,IF(C421&gt;=10000,2,1))))</f>
        <v>4</v>
      </c>
      <c r="Q421">
        <f>IF(B421="TRANSFER",5,IF(B421="CASH_OUT",4,IF(B421="DEBIT",2,1)))</f>
        <v>5</v>
      </c>
      <c r="R421">
        <f>(P421*0.5)+(Q421*0.3)+(N421*0.1)+(M421*0.1)</f>
        <v>3.6</v>
      </c>
      <c r="S421" t="str">
        <f t="shared" si="6"/>
        <v>HIGH</v>
      </c>
    </row>
    <row r="422" spans="1:19" x14ac:dyDescent="0.3">
      <c r="A422">
        <v>37</v>
      </c>
      <c r="B422" t="s">
        <v>18</v>
      </c>
      <c r="C422">
        <v>180967.56</v>
      </c>
      <c r="D422" t="s">
        <v>853</v>
      </c>
      <c r="E422">
        <v>180967.56</v>
      </c>
      <c r="F422">
        <v>0</v>
      </c>
      <c r="G422" t="s">
        <v>854</v>
      </c>
      <c r="H422">
        <v>95280.53</v>
      </c>
      <c r="I422">
        <v>276248.09999999998</v>
      </c>
      <c r="J422">
        <v>1</v>
      </c>
      <c r="K422">
        <v>0</v>
      </c>
      <c r="L422">
        <v>13</v>
      </c>
      <c r="M422">
        <v>0</v>
      </c>
      <c r="N422">
        <v>1</v>
      </c>
      <c r="O422">
        <v>180967.56</v>
      </c>
      <c r="P422">
        <f>IF(C422&gt;=200000,5,IF(C422&gt;=100000,4,IF(C422&gt;=50000,3,IF(C422&gt;=10000,2,1))))</f>
        <v>4</v>
      </c>
      <c r="Q422">
        <f>IF(B422="TRANSFER",5,IF(B422="CASH_OUT",4,IF(B422="DEBIT",2,1)))</f>
        <v>4</v>
      </c>
      <c r="R422">
        <f>(P422*0.5)+(Q422*0.3)+(N422*0.1)+(M422*0.1)</f>
        <v>3.3000000000000003</v>
      </c>
      <c r="S422" t="str">
        <f t="shared" si="6"/>
        <v>HIGH</v>
      </c>
    </row>
    <row r="423" spans="1:19" x14ac:dyDescent="0.3">
      <c r="A423">
        <v>37</v>
      </c>
      <c r="B423" t="s">
        <v>15</v>
      </c>
      <c r="C423">
        <v>93083.27</v>
      </c>
      <c r="D423" t="s">
        <v>855</v>
      </c>
      <c r="E423">
        <v>93083.27</v>
      </c>
      <c r="F423">
        <v>0</v>
      </c>
      <c r="G423" t="s">
        <v>856</v>
      </c>
      <c r="H423">
        <v>0</v>
      </c>
      <c r="I423">
        <v>0</v>
      </c>
      <c r="J423">
        <v>1</v>
      </c>
      <c r="K423">
        <v>0</v>
      </c>
      <c r="L423">
        <v>13</v>
      </c>
      <c r="M423">
        <v>0</v>
      </c>
      <c r="N423">
        <v>1</v>
      </c>
      <c r="O423">
        <v>93083.27</v>
      </c>
      <c r="P423">
        <f>IF(C423&gt;=200000,5,IF(C423&gt;=100000,4,IF(C423&gt;=50000,3,IF(C423&gt;=10000,2,1))))</f>
        <v>3</v>
      </c>
      <c r="Q423">
        <f>IF(B423="TRANSFER",5,IF(B423="CASH_OUT",4,IF(B423="DEBIT",2,1)))</f>
        <v>5</v>
      </c>
      <c r="R423">
        <f>(P423*0.5)+(Q423*0.3)+(N423*0.1)+(M423*0.1)</f>
        <v>3.1</v>
      </c>
      <c r="S423" t="str">
        <f t="shared" si="6"/>
        <v>HIGH</v>
      </c>
    </row>
    <row r="424" spans="1:19" x14ac:dyDescent="0.3">
      <c r="A424">
        <v>37</v>
      </c>
      <c r="B424" t="s">
        <v>18</v>
      </c>
      <c r="C424">
        <v>93083.27</v>
      </c>
      <c r="D424" t="s">
        <v>857</v>
      </c>
      <c r="E424">
        <v>93083.27</v>
      </c>
      <c r="F424">
        <v>0</v>
      </c>
      <c r="G424" t="s">
        <v>858</v>
      </c>
      <c r="H424">
        <v>2466124.85</v>
      </c>
      <c r="I424">
        <v>2559208.13</v>
      </c>
      <c r="J424">
        <v>1</v>
      </c>
      <c r="K424">
        <v>0</v>
      </c>
      <c r="L424">
        <v>13</v>
      </c>
      <c r="M424">
        <v>0</v>
      </c>
      <c r="N424">
        <v>1</v>
      </c>
      <c r="O424">
        <v>93083.27</v>
      </c>
      <c r="P424">
        <f>IF(C424&gt;=200000,5,IF(C424&gt;=100000,4,IF(C424&gt;=50000,3,IF(C424&gt;=10000,2,1))))</f>
        <v>3</v>
      </c>
      <c r="Q424">
        <f>IF(B424="TRANSFER",5,IF(B424="CASH_OUT",4,IF(B424="DEBIT",2,1)))</f>
        <v>4</v>
      </c>
      <c r="R424">
        <f>(P424*0.5)+(Q424*0.3)+(N424*0.1)+(M424*0.1)</f>
        <v>2.8000000000000003</v>
      </c>
      <c r="S424" t="str">
        <f t="shared" si="6"/>
        <v>MEDIUM</v>
      </c>
    </row>
    <row r="425" spans="1:19" x14ac:dyDescent="0.3">
      <c r="A425">
        <v>37</v>
      </c>
      <c r="B425" t="s">
        <v>15</v>
      </c>
      <c r="C425">
        <v>5979556.0599999996</v>
      </c>
      <c r="D425" t="s">
        <v>859</v>
      </c>
      <c r="E425">
        <v>5979556.0599999996</v>
      </c>
      <c r="F425">
        <v>0</v>
      </c>
      <c r="G425" t="s">
        <v>860</v>
      </c>
      <c r="H425">
        <v>0</v>
      </c>
      <c r="I425">
        <v>0</v>
      </c>
      <c r="J425">
        <v>1</v>
      </c>
      <c r="K425">
        <v>0</v>
      </c>
      <c r="L425">
        <v>13</v>
      </c>
      <c r="M425">
        <v>0</v>
      </c>
      <c r="N425">
        <v>1</v>
      </c>
      <c r="O425">
        <v>5979556.0599999996</v>
      </c>
      <c r="P425">
        <f>IF(C425&gt;=200000,5,IF(C425&gt;=100000,4,IF(C425&gt;=50000,3,IF(C425&gt;=10000,2,1))))</f>
        <v>5</v>
      </c>
      <c r="Q425">
        <f>IF(B425="TRANSFER",5,IF(B425="CASH_OUT",4,IF(B425="DEBIT",2,1)))</f>
        <v>5</v>
      </c>
      <c r="R425">
        <f>(P425*0.5)+(Q425*0.3)+(N425*0.1)+(M425*0.1)</f>
        <v>4.0999999999999996</v>
      </c>
      <c r="S425" t="str">
        <f t="shared" si="6"/>
        <v>HIGH</v>
      </c>
    </row>
    <row r="426" spans="1:19" x14ac:dyDescent="0.3">
      <c r="A426">
        <v>37</v>
      </c>
      <c r="B426" t="s">
        <v>18</v>
      </c>
      <c r="C426">
        <v>5979556.0599999996</v>
      </c>
      <c r="D426" t="s">
        <v>861</v>
      </c>
      <c r="E426">
        <v>5979556.0599999996</v>
      </c>
      <c r="F426">
        <v>0</v>
      </c>
      <c r="G426" t="s">
        <v>862</v>
      </c>
      <c r="H426">
        <v>0</v>
      </c>
      <c r="I426">
        <v>5979556.0599999996</v>
      </c>
      <c r="J426">
        <v>1</v>
      </c>
      <c r="K426">
        <v>0</v>
      </c>
      <c r="L426">
        <v>13</v>
      </c>
      <c r="M426">
        <v>0</v>
      </c>
      <c r="N426">
        <v>1</v>
      </c>
      <c r="O426">
        <v>5979556.0599999996</v>
      </c>
      <c r="P426">
        <f>IF(C426&gt;=200000,5,IF(C426&gt;=100000,4,IF(C426&gt;=50000,3,IF(C426&gt;=10000,2,1))))</f>
        <v>5</v>
      </c>
      <c r="Q426">
        <f>IF(B426="TRANSFER",5,IF(B426="CASH_OUT",4,IF(B426="DEBIT",2,1)))</f>
        <v>4</v>
      </c>
      <c r="R426">
        <f>(P426*0.5)+(Q426*0.3)+(N426*0.1)+(M426*0.1)</f>
        <v>3.8000000000000003</v>
      </c>
      <c r="S426" t="str">
        <f t="shared" si="6"/>
        <v>HIGH</v>
      </c>
    </row>
    <row r="427" spans="1:19" x14ac:dyDescent="0.3">
      <c r="A427">
        <v>37</v>
      </c>
      <c r="B427" t="s">
        <v>15</v>
      </c>
      <c r="C427">
        <v>128133</v>
      </c>
      <c r="D427" t="s">
        <v>863</v>
      </c>
      <c r="E427">
        <v>128133</v>
      </c>
      <c r="F427">
        <v>0</v>
      </c>
      <c r="G427" t="s">
        <v>864</v>
      </c>
      <c r="H427">
        <v>0</v>
      </c>
      <c r="I427">
        <v>0</v>
      </c>
      <c r="J427">
        <v>1</v>
      </c>
      <c r="K427">
        <v>0</v>
      </c>
      <c r="L427">
        <v>13</v>
      </c>
      <c r="M427">
        <v>0</v>
      </c>
      <c r="N427">
        <v>1</v>
      </c>
      <c r="O427">
        <v>128133</v>
      </c>
      <c r="P427">
        <f>IF(C427&gt;=200000,5,IF(C427&gt;=100000,4,IF(C427&gt;=50000,3,IF(C427&gt;=10000,2,1))))</f>
        <v>4</v>
      </c>
      <c r="Q427">
        <f>IF(B427="TRANSFER",5,IF(B427="CASH_OUT",4,IF(B427="DEBIT",2,1)))</f>
        <v>5</v>
      </c>
      <c r="R427">
        <f>(P427*0.5)+(Q427*0.3)+(N427*0.1)+(M427*0.1)</f>
        <v>3.6</v>
      </c>
      <c r="S427" t="str">
        <f t="shared" si="6"/>
        <v>HIGH</v>
      </c>
    </row>
    <row r="428" spans="1:19" x14ac:dyDescent="0.3">
      <c r="A428">
        <v>37</v>
      </c>
      <c r="B428" t="s">
        <v>18</v>
      </c>
      <c r="C428">
        <v>128133</v>
      </c>
      <c r="D428" t="s">
        <v>865</v>
      </c>
      <c r="E428">
        <v>128133</v>
      </c>
      <c r="F428">
        <v>0</v>
      </c>
      <c r="G428" t="s">
        <v>866</v>
      </c>
      <c r="H428">
        <v>160395.62</v>
      </c>
      <c r="I428">
        <v>288528.62</v>
      </c>
      <c r="J428">
        <v>1</v>
      </c>
      <c r="K428">
        <v>0</v>
      </c>
      <c r="L428">
        <v>13</v>
      </c>
      <c r="M428">
        <v>0</v>
      </c>
      <c r="N428">
        <v>1</v>
      </c>
      <c r="O428">
        <v>128133</v>
      </c>
      <c r="P428">
        <f>IF(C428&gt;=200000,5,IF(C428&gt;=100000,4,IF(C428&gt;=50000,3,IF(C428&gt;=10000,2,1))))</f>
        <v>4</v>
      </c>
      <c r="Q428">
        <f>IF(B428="TRANSFER",5,IF(B428="CASH_OUT",4,IF(B428="DEBIT",2,1)))</f>
        <v>4</v>
      </c>
      <c r="R428">
        <f>(P428*0.5)+(Q428*0.3)+(N428*0.1)+(M428*0.1)</f>
        <v>3.3000000000000003</v>
      </c>
      <c r="S428" t="str">
        <f t="shared" si="6"/>
        <v>HIGH</v>
      </c>
    </row>
    <row r="429" spans="1:19" x14ac:dyDescent="0.3">
      <c r="A429">
        <v>37</v>
      </c>
      <c r="B429" t="s">
        <v>15</v>
      </c>
      <c r="C429">
        <v>503793.25</v>
      </c>
      <c r="D429" t="s">
        <v>867</v>
      </c>
      <c r="E429">
        <v>503793.25</v>
      </c>
      <c r="F429">
        <v>0</v>
      </c>
      <c r="G429" t="s">
        <v>868</v>
      </c>
      <c r="H429">
        <v>0</v>
      </c>
      <c r="I429">
        <v>95709.62</v>
      </c>
      <c r="J429">
        <v>1</v>
      </c>
      <c r="K429">
        <v>0</v>
      </c>
      <c r="L429">
        <v>13</v>
      </c>
      <c r="M429">
        <v>0</v>
      </c>
      <c r="N429">
        <v>1</v>
      </c>
      <c r="O429">
        <v>503793.25</v>
      </c>
      <c r="P429">
        <f>IF(C429&gt;=200000,5,IF(C429&gt;=100000,4,IF(C429&gt;=50000,3,IF(C429&gt;=10000,2,1))))</f>
        <v>5</v>
      </c>
      <c r="Q429">
        <f>IF(B429="TRANSFER",5,IF(B429="CASH_OUT",4,IF(B429="DEBIT",2,1)))</f>
        <v>5</v>
      </c>
      <c r="R429">
        <f>(P429*0.5)+(Q429*0.3)+(N429*0.1)+(M429*0.1)</f>
        <v>4.0999999999999996</v>
      </c>
      <c r="S429" t="str">
        <f t="shared" si="6"/>
        <v>HIGH</v>
      </c>
    </row>
    <row r="430" spans="1:19" x14ac:dyDescent="0.3">
      <c r="A430">
        <v>37</v>
      </c>
      <c r="B430" t="s">
        <v>18</v>
      </c>
      <c r="C430">
        <v>503793.25</v>
      </c>
      <c r="D430" t="s">
        <v>869</v>
      </c>
      <c r="E430">
        <v>503793.25</v>
      </c>
      <c r="F430">
        <v>0</v>
      </c>
      <c r="G430" t="s">
        <v>870</v>
      </c>
      <c r="H430">
        <v>10100000</v>
      </c>
      <c r="I430">
        <v>10600000</v>
      </c>
      <c r="J430">
        <v>1</v>
      </c>
      <c r="K430">
        <v>0</v>
      </c>
      <c r="L430">
        <v>13</v>
      </c>
      <c r="M430">
        <v>0</v>
      </c>
      <c r="N430">
        <v>1</v>
      </c>
      <c r="O430">
        <v>503793.25</v>
      </c>
      <c r="P430">
        <f>IF(C430&gt;=200000,5,IF(C430&gt;=100000,4,IF(C430&gt;=50000,3,IF(C430&gt;=10000,2,1))))</f>
        <v>5</v>
      </c>
      <c r="Q430">
        <f>IF(B430="TRANSFER",5,IF(B430="CASH_OUT",4,IF(B430="DEBIT",2,1)))</f>
        <v>4</v>
      </c>
      <c r="R430">
        <f>(P430*0.5)+(Q430*0.3)+(N430*0.1)+(M430*0.1)</f>
        <v>3.8000000000000003</v>
      </c>
      <c r="S430" t="str">
        <f t="shared" si="6"/>
        <v>HIGH</v>
      </c>
    </row>
    <row r="431" spans="1:19" x14ac:dyDescent="0.3">
      <c r="A431">
        <v>37</v>
      </c>
      <c r="B431" t="s">
        <v>18</v>
      </c>
      <c r="C431">
        <v>112486.46</v>
      </c>
      <c r="D431" t="s">
        <v>871</v>
      </c>
      <c r="E431">
        <v>0</v>
      </c>
      <c r="F431">
        <v>0</v>
      </c>
      <c r="G431" t="s">
        <v>872</v>
      </c>
      <c r="H431">
        <v>257274.47</v>
      </c>
      <c r="I431">
        <v>369760.93</v>
      </c>
      <c r="J431">
        <v>1</v>
      </c>
      <c r="K431">
        <v>0</v>
      </c>
      <c r="L431">
        <v>13</v>
      </c>
      <c r="M431">
        <v>0</v>
      </c>
      <c r="N431">
        <v>0</v>
      </c>
      <c r="O431">
        <v>0</v>
      </c>
      <c r="P431">
        <f>IF(C431&gt;=200000,5,IF(C431&gt;=100000,4,IF(C431&gt;=50000,3,IF(C431&gt;=10000,2,1))))</f>
        <v>4</v>
      </c>
      <c r="Q431">
        <f>IF(B431="TRANSFER",5,IF(B431="CASH_OUT",4,IF(B431="DEBIT",2,1)))</f>
        <v>4</v>
      </c>
      <c r="R431">
        <f>(P431*0.5)+(Q431*0.3)+(N431*0.1)+(M431*0.1)</f>
        <v>3.2</v>
      </c>
      <c r="S431" t="str">
        <f t="shared" si="6"/>
        <v>HIGH</v>
      </c>
    </row>
    <row r="432" spans="1:19" x14ac:dyDescent="0.3">
      <c r="A432">
        <v>38</v>
      </c>
      <c r="B432" t="s">
        <v>15</v>
      </c>
      <c r="C432">
        <v>448004.86</v>
      </c>
      <c r="D432" t="s">
        <v>873</v>
      </c>
      <c r="E432">
        <v>448004.86</v>
      </c>
      <c r="F432">
        <v>0</v>
      </c>
      <c r="G432" t="s">
        <v>874</v>
      </c>
      <c r="H432">
        <v>0</v>
      </c>
      <c r="I432">
        <v>0</v>
      </c>
      <c r="J432">
        <v>1</v>
      </c>
      <c r="K432">
        <v>0</v>
      </c>
      <c r="L432">
        <v>14</v>
      </c>
      <c r="M432">
        <v>0</v>
      </c>
      <c r="N432">
        <v>1</v>
      </c>
      <c r="O432">
        <v>448004.86</v>
      </c>
      <c r="P432">
        <f>IF(C432&gt;=200000,5,IF(C432&gt;=100000,4,IF(C432&gt;=50000,3,IF(C432&gt;=10000,2,1))))</f>
        <v>5</v>
      </c>
      <c r="Q432">
        <f>IF(B432="TRANSFER",5,IF(B432="CASH_OUT",4,IF(B432="DEBIT",2,1)))</f>
        <v>5</v>
      </c>
      <c r="R432">
        <f>(P432*0.5)+(Q432*0.3)+(N432*0.1)+(M432*0.1)</f>
        <v>4.0999999999999996</v>
      </c>
      <c r="S432" t="str">
        <f t="shared" si="6"/>
        <v>HIGH</v>
      </c>
    </row>
    <row r="433" spans="1:19" x14ac:dyDescent="0.3">
      <c r="A433">
        <v>38</v>
      </c>
      <c r="B433" t="s">
        <v>18</v>
      </c>
      <c r="C433">
        <v>448004.86</v>
      </c>
      <c r="D433" t="s">
        <v>875</v>
      </c>
      <c r="E433">
        <v>448004.86</v>
      </c>
      <c r="F433">
        <v>0</v>
      </c>
      <c r="G433" t="s">
        <v>876</v>
      </c>
      <c r="H433">
        <v>147828.66</v>
      </c>
      <c r="I433">
        <v>595833.52</v>
      </c>
      <c r="J433">
        <v>1</v>
      </c>
      <c r="K433">
        <v>0</v>
      </c>
      <c r="L433">
        <v>14</v>
      </c>
      <c r="M433">
        <v>0</v>
      </c>
      <c r="N433">
        <v>1</v>
      </c>
      <c r="O433">
        <v>448004.86</v>
      </c>
      <c r="P433">
        <f>IF(C433&gt;=200000,5,IF(C433&gt;=100000,4,IF(C433&gt;=50000,3,IF(C433&gt;=10000,2,1))))</f>
        <v>5</v>
      </c>
      <c r="Q433">
        <f>IF(B433="TRANSFER",5,IF(B433="CASH_OUT",4,IF(B433="DEBIT",2,1)))</f>
        <v>4</v>
      </c>
      <c r="R433">
        <f>(P433*0.5)+(Q433*0.3)+(N433*0.1)+(M433*0.1)</f>
        <v>3.8000000000000003</v>
      </c>
      <c r="S433" t="str">
        <f t="shared" si="6"/>
        <v>HIGH</v>
      </c>
    </row>
    <row r="434" spans="1:19" x14ac:dyDescent="0.3">
      <c r="A434">
        <v>38</v>
      </c>
      <c r="B434" t="s">
        <v>15</v>
      </c>
      <c r="C434">
        <v>90204.54</v>
      </c>
      <c r="D434" t="s">
        <v>877</v>
      </c>
      <c r="E434">
        <v>90204.54</v>
      </c>
      <c r="F434">
        <v>0</v>
      </c>
      <c r="G434" t="s">
        <v>878</v>
      </c>
      <c r="H434">
        <v>0</v>
      </c>
      <c r="I434">
        <v>0</v>
      </c>
      <c r="J434">
        <v>1</v>
      </c>
      <c r="K434">
        <v>0</v>
      </c>
      <c r="L434">
        <v>14</v>
      </c>
      <c r="M434">
        <v>0</v>
      </c>
      <c r="N434">
        <v>1</v>
      </c>
      <c r="O434">
        <v>90204.54</v>
      </c>
      <c r="P434">
        <f>IF(C434&gt;=200000,5,IF(C434&gt;=100000,4,IF(C434&gt;=50000,3,IF(C434&gt;=10000,2,1))))</f>
        <v>3</v>
      </c>
      <c r="Q434">
        <f>IF(B434="TRANSFER",5,IF(B434="CASH_OUT",4,IF(B434="DEBIT",2,1)))</f>
        <v>5</v>
      </c>
      <c r="R434">
        <f>(P434*0.5)+(Q434*0.3)+(N434*0.1)+(M434*0.1)</f>
        <v>3.1</v>
      </c>
      <c r="S434" t="str">
        <f t="shared" si="6"/>
        <v>HIGH</v>
      </c>
    </row>
    <row r="435" spans="1:19" x14ac:dyDescent="0.3">
      <c r="A435">
        <v>38</v>
      </c>
      <c r="B435" t="s">
        <v>18</v>
      </c>
      <c r="C435">
        <v>90204.54</v>
      </c>
      <c r="D435" t="s">
        <v>879</v>
      </c>
      <c r="E435">
        <v>90204.54</v>
      </c>
      <c r="F435">
        <v>0</v>
      </c>
      <c r="G435" t="s">
        <v>880</v>
      </c>
      <c r="H435">
        <v>0</v>
      </c>
      <c r="I435">
        <v>90204.54</v>
      </c>
      <c r="J435">
        <v>1</v>
      </c>
      <c r="K435">
        <v>0</v>
      </c>
      <c r="L435">
        <v>14</v>
      </c>
      <c r="M435">
        <v>0</v>
      </c>
      <c r="N435">
        <v>1</v>
      </c>
      <c r="O435">
        <v>90204.54</v>
      </c>
      <c r="P435">
        <f>IF(C435&gt;=200000,5,IF(C435&gt;=100000,4,IF(C435&gt;=50000,3,IF(C435&gt;=10000,2,1))))</f>
        <v>3</v>
      </c>
      <c r="Q435">
        <f>IF(B435="TRANSFER",5,IF(B435="CASH_OUT",4,IF(B435="DEBIT",2,1)))</f>
        <v>4</v>
      </c>
      <c r="R435">
        <f>(P435*0.5)+(Q435*0.3)+(N435*0.1)+(M435*0.1)</f>
        <v>2.8000000000000003</v>
      </c>
      <c r="S435" t="str">
        <f t="shared" si="6"/>
        <v>MEDIUM</v>
      </c>
    </row>
    <row r="436" spans="1:19" x14ac:dyDescent="0.3">
      <c r="A436">
        <v>38</v>
      </c>
      <c r="B436" t="s">
        <v>18</v>
      </c>
      <c r="C436">
        <v>577418.98</v>
      </c>
      <c r="D436" t="s">
        <v>881</v>
      </c>
      <c r="E436">
        <v>0</v>
      </c>
      <c r="F436">
        <v>0</v>
      </c>
      <c r="G436" t="s">
        <v>882</v>
      </c>
      <c r="H436">
        <v>0</v>
      </c>
      <c r="I436">
        <v>577418.98</v>
      </c>
      <c r="J436">
        <v>1</v>
      </c>
      <c r="K436">
        <v>0</v>
      </c>
      <c r="L436">
        <v>14</v>
      </c>
      <c r="M436">
        <v>0</v>
      </c>
      <c r="N436">
        <v>0</v>
      </c>
      <c r="O436">
        <v>0</v>
      </c>
      <c r="P436">
        <f>IF(C436&gt;=200000,5,IF(C436&gt;=100000,4,IF(C436&gt;=50000,3,IF(C436&gt;=10000,2,1))))</f>
        <v>5</v>
      </c>
      <c r="Q436">
        <f>IF(B436="TRANSFER",5,IF(B436="CASH_OUT",4,IF(B436="DEBIT",2,1)))</f>
        <v>4</v>
      </c>
      <c r="R436">
        <f>(P436*0.5)+(Q436*0.3)+(N436*0.1)+(M436*0.1)</f>
        <v>3.7</v>
      </c>
      <c r="S436" t="str">
        <f t="shared" si="6"/>
        <v>HIGH</v>
      </c>
    </row>
    <row r="437" spans="1:19" x14ac:dyDescent="0.3">
      <c r="A437">
        <v>38</v>
      </c>
      <c r="B437" t="s">
        <v>15</v>
      </c>
      <c r="C437">
        <v>21367</v>
      </c>
      <c r="D437" t="s">
        <v>883</v>
      </c>
      <c r="E437">
        <v>21367</v>
      </c>
      <c r="F437">
        <v>0</v>
      </c>
      <c r="G437" t="s">
        <v>884</v>
      </c>
      <c r="H437">
        <v>0</v>
      </c>
      <c r="I437">
        <v>0</v>
      </c>
      <c r="J437">
        <v>1</v>
      </c>
      <c r="K437">
        <v>0</v>
      </c>
      <c r="L437">
        <v>14</v>
      </c>
      <c r="M437">
        <v>0</v>
      </c>
      <c r="N437">
        <v>1</v>
      </c>
      <c r="O437">
        <v>21367</v>
      </c>
      <c r="P437">
        <f>IF(C437&gt;=200000,5,IF(C437&gt;=100000,4,IF(C437&gt;=50000,3,IF(C437&gt;=10000,2,1))))</f>
        <v>2</v>
      </c>
      <c r="Q437">
        <f>IF(B437="TRANSFER",5,IF(B437="CASH_OUT",4,IF(B437="DEBIT",2,1)))</f>
        <v>5</v>
      </c>
      <c r="R437">
        <f>(P437*0.5)+(Q437*0.3)+(N437*0.1)+(M437*0.1)</f>
        <v>2.6</v>
      </c>
      <c r="S437" t="str">
        <f t="shared" si="6"/>
        <v>MEDIUM</v>
      </c>
    </row>
    <row r="438" spans="1:19" x14ac:dyDescent="0.3">
      <c r="A438">
        <v>38</v>
      </c>
      <c r="B438" t="s">
        <v>18</v>
      </c>
      <c r="C438">
        <v>21367</v>
      </c>
      <c r="D438" t="s">
        <v>885</v>
      </c>
      <c r="E438">
        <v>21367</v>
      </c>
      <c r="F438">
        <v>0</v>
      </c>
      <c r="G438" t="s">
        <v>886</v>
      </c>
      <c r="H438">
        <v>898934.02</v>
      </c>
      <c r="I438">
        <v>920301.02</v>
      </c>
      <c r="J438">
        <v>1</v>
      </c>
      <c r="K438">
        <v>0</v>
      </c>
      <c r="L438">
        <v>14</v>
      </c>
      <c r="M438">
        <v>0</v>
      </c>
      <c r="N438">
        <v>1</v>
      </c>
      <c r="O438">
        <v>21367</v>
      </c>
      <c r="P438">
        <f>IF(C438&gt;=200000,5,IF(C438&gt;=100000,4,IF(C438&gt;=50000,3,IF(C438&gt;=10000,2,1))))</f>
        <v>2</v>
      </c>
      <c r="Q438">
        <f>IF(B438="TRANSFER",5,IF(B438="CASH_OUT",4,IF(B438="DEBIT",2,1)))</f>
        <v>4</v>
      </c>
      <c r="R438">
        <f>(P438*0.5)+(Q438*0.3)+(N438*0.1)+(M438*0.1)</f>
        <v>2.3000000000000003</v>
      </c>
      <c r="S438" t="str">
        <f t="shared" si="6"/>
        <v>MEDIUM</v>
      </c>
    </row>
    <row r="439" spans="1:19" x14ac:dyDescent="0.3">
      <c r="A439">
        <v>38</v>
      </c>
      <c r="B439" t="s">
        <v>15</v>
      </c>
      <c r="C439">
        <v>2395.29</v>
      </c>
      <c r="D439" t="s">
        <v>887</v>
      </c>
      <c r="E439">
        <v>2395.29</v>
      </c>
      <c r="F439">
        <v>0</v>
      </c>
      <c r="G439" t="s">
        <v>888</v>
      </c>
      <c r="H439">
        <v>0</v>
      </c>
      <c r="I439">
        <v>0</v>
      </c>
      <c r="J439">
        <v>1</v>
      </c>
      <c r="K439">
        <v>0</v>
      </c>
      <c r="L439">
        <v>14</v>
      </c>
      <c r="M439">
        <v>0</v>
      </c>
      <c r="N439">
        <v>1</v>
      </c>
      <c r="O439">
        <v>2395.29</v>
      </c>
      <c r="P439">
        <f>IF(C439&gt;=200000,5,IF(C439&gt;=100000,4,IF(C439&gt;=50000,3,IF(C439&gt;=10000,2,1))))</f>
        <v>1</v>
      </c>
      <c r="Q439">
        <f>IF(B439="TRANSFER",5,IF(B439="CASH_OUT",4,IF(B439="DEBIT",2,1)))</f>
        <v>5</v>
      </c>
      <c r="R439">
        <f>(P439*0.5)+(Q439*0.3)+(N439*0.1)+(M439*0.1)</f>
        <v>2.1</v>
      </c>
      <c r="S439" t="str">
        <f t="shared" si="6"/>
        <v>MEDIUM</v>
      </c>
    </row>
    <row r="440" spans="1:19" x14ac:dyDescent="0.3">
      <c r="A440">
        <v>38</v>
      </c>
      <c r="B440" t="s">
        <v>18</v>
      </c>
      <c r="C440">
        <v>2395.29</v>
      </c>
      <c r="D440" t="s">
        <v>889</v>
      </c>
      <c r="E440">
        <v>2395.29</v>
      </c>
      <c r="F440">
        <v>0</v>
      </c>
      <c r="G440" t="s">
        <v>890</v>
      </c>
      <c r="H440">
        <v>276538.59000000003</v>
      </c>
      <c r="I440">
        <v>470937.03</v>
      </c>
      <c r="J440">
        <v>1</v>
      </c>
      <c r="K440">
        <v>0</v>
      </c>
      <c r="L440">
        <v>14</v>
      </c>
      <c r="M440">
        <v>0</v>
      </c>
      <c r="N440">
        <v>1</v>
      </c>
      <c r="O440">
        <v>2395.29</v>
      </c>
      <c r="P440">
        <f>IF(C440&gt;=200000,5,IF(C440&gt;=100000,4,IF(C440&gt;=50000,3,IF(C440&gt;=10000,2,1))))</f>
        <v>1</v>
      </c>
      <c r="Q440">
        <f>IF(B440="TRANSFER",5,IF(B440="CASH_OUT",4,IF(B440="DEBIT",2,1)))</f>
        <v>4</v>
      </c>
      <c r="R440">
        <f>(P440*0.5)+(Q440*0.3)+(N440*0.1)+(M440*0.1)</f>
        <v>1.8</v>
      </c>
      <c r="S440" t="str">
        <f t="shared" si="6"/>
        <v>LOW</v>
      </c>
    </row>
    <row r="441" spans="1:19" x14ac:dyDescent="0.3">
      <c r="A441">
        <v>38</v>
      </c>
      <c r="B441" t="s">
        <v>15</v>
      </c>
      <c r="C441">
        <v>7567170.3600000003</v>
      </c>
      <c r="D441" t="s">
        <v>891</v>
      </c>
      <c r="E441">
        <v>7567170.3600000003</v>
      </c>
      <c r="F441">
        <v>0</v>
      </c>
      <c r="G441" t="s">
        <v>892</v>
      </c>
      <c r="H441">
        <v>0</v>
      </c>
      <c r="I441">
        <v>0</v>
      </c>
      <c r="J441">
        <v>1</v>
      </c>
      <c r="K441">
        <v>0</v>
      </c>
      <c r="L441">
        <v>14</v>
      </c>
      <c r="M441">
        <v>0</v>
      </c>
      <c r="N441">
        <v>1</v>
      </c>
      <c r="O441">
        <v>7567170.3600000003</v>
      </c>
      <c r="P441">
        <f>IF(C441&gt;=200000,5,IF(C441&gt;=100000,4,IF(C441&gt;=50000,3,IF(C441&gt;=10000,2,1))))</f>
        <v>5</v>
      </c>
      <c r="Q441">
        <f>IF(B441="TRANSFER",5,IF(B441="CASH_OUT",4,IF(B441="DEBIT",2,1)))</f>
        <v>5</v>
      </c>
      <c r="R441">
        <f>(P441*0.5)+(Q441*0.3)+(N441*0.1)+(M441*0.1)</f>
        <v>4.0999999999999996</v>
      </c>
      <c r="S441" t="str">
        <f t="shared" si="6"/>
        <v>HIGH</v>
      </c>
    </row>
    <row r="442" spans="1:19" x14ac:dyDescent="0.3">
      <c r="A442">
        <v>38</v>
      </c>
      <c r="B442" t="s">
        <v>18</v>
      </c>
      <c r="C442">
        <v>7567170.3600000003</v>
      </c>
      <c r="D442" t="s">
        <v>893</v>
      </c>
      <c r="E442">
        <v>7567170.3600000003</v>
      </c>
      <c r="F442">
        <v>0</v>
      </c>
      <c r="G442" t="s">
        <v>894</v>
      </c>
      <c r="H442">
        <v>345425.4</v>
      </c>
      <c r="I442">
        <v>7912595.75</v>
      </c>
      <c r="J442">
        <v>1</v>
      </c>
      <c r="K442">
        <v>0</v>
      </c>
      <c r="L442">
        <v>14</v>
      </c>
      <c r="M442">
        <v>0</v>
      </c>
      <c r="N442">
        <v>1</v>
      </c>
      <c r="O442">
        <v>7567170.3600000003</v>
      </c>
      <c r="P442">
        <f>IF(C442&gt;=200000,5,IF(C442&gt;=100000,4,IF(C442&gt;=50000,3,IF(C442&gt;=10000,2,1))))</f>
        <v>5</v>
      </c>
      <c r="Q442">
        <f>IF(B442="TRANSFER",5,IF(B442="CASH_OUT",4,IF(B442="DEBIT",2,1)))</f>
        <v>4</v>
      </c>
      <c r="R442">
        <f>(P442*0.5)+(Q442*0.3)+(N442*0.1)+(M442*0.1)</f>
        <v>3.8000000000000003</v>
      </c>
      <c r="S442" t="str">
        <f t="shared" si="6"/>
        <v>HIGH</v>
      </c>
    </row>
    <row r="443" spans="1:19" x14ac:dyDescent="0.3">
      <c r="A443">
        <v>38</v>
      </c>
      <c r="B443" t="s">
        <v>15</v>
      </c>
      <c r="C443">
        <v>3372</v>
      </c>
      <c r="D443" t="s">
        <v>895</v>
      </c>
      <c r="E443">
        <v>3372</v>
      </c>
      <c r="F443">
        <v>0</v>
      </c>
      <c r="G443" t="s">
        <v>896</v>
      </c>
      <c r="H443">
        <v>0</v>
      </c>
      <c r="I443">
        <v>0</v>
      </c>
      <c r="J443">
        <v>1</v>
      </c>
      <c r="K443">
        <v>0</v>
      </c>
      <c r="L443">
        <v>14</v>
      </c>
      <c r="M443">
        <v>0</v>
      </c>
      <c r="N443">
        <v>1</v>
      </c>
      <c r="O443">
        <v>3372</v>
      </c>
      <c r="P443">
        <f>IF(C443&gt;=200000,5,IF(C443&gt;=100000,4,IF(C443&gt;=50000,3,IF(C443&gt;=10000,2,1))))</f>
        <v>1</v>
      </c>
      <c r="Q443">
        <f>IF(B443="TRANSFER",5,IF(B443="CASH_OUT",4,IF(B443="DEBIT",2,1)))</f>
        <v>5</v>
      </c>
      <c r="R443">
        <f>(P443*0.5)+(Q443*0.3)+(N443*0.1)+(M443*0.1)</f>
        <v>2.1</v>
      </c>
      <c r="S443" t="str">
        <f t="shared" si="6"/>
        <v>MEDIUM</v>
      </c>
    </row>
    <row r="444" spans="1:19" x14ac:dyDescent="0.3">
      <c r="A444">
        <v>38</v>
      </c>
      <c r="B444" t="s">
        <v>18</v>
      </c>
      <c r="C444">
        <v>3372</v>
      </c>
      <c r="D444" t="s">
        <v>897</v>
      </c>
      <c r="E444">
        <v>3372</v>
      </c>
      <c r="F444">
        <v>0</v>
      </c>
      <c r="G444" t="s">
        <v>898</v>
      </c>
      <c r="H444">
        <v>456659.44</v>
      </c>
      <c r="I444">
        <v>460031.44</v>
      </c>
      <c r="J444">
        <v>1</v>
      </c>
      <c r="K444">
        <v>0</v>
      </c>
      <c r="L444">
        <v>14</v>
      </c>
      <c r="M444">
        <v>0</v>
      </c>
      <c r="N444">
        <v>1</v>
      </c>
      <c r="O444">
        <v>3372</v>
      </c>
      <c r="P444">
        <f>IF(C444&gt;=200000,5,IF(C444&gt;=100000,4,IF(C444&gt;=50000,3,IF(C444&gt;=10000,2,1))))</f>
        <v>1</v>
      </c>
      <c r="Q444">
        <f>IF(B444="TRANSFER",5,IF(B444="CASH_OUT",4,IF(B444="DEBIT",2,1)))</f>
        <v>4</v>
      </c>
      <c r="R444">
        <f>(P444*0.5)+(Q444*0.3)+(N444*0.1)+(M444*0.1)</f>
        <v>1.8</v>
      </c>
      <c r="S444" t="str">
        <f t="shared" si="6"/>
        <v>LOW</v>
      </c>
    </row>
    <row r="445" spans="1:19" x14ac:dyDescent="0.3">
      <c r="A445">
        <v>38</v>
      </c>
      <c r="B445" t="s">
        <v>18</v>
      </c>
      <c r="C445">
        <v>407005.78</v>
      </c>
      <c r="D445" t="s">
        <v>899</v>
      </c>
      <c r="E445">
        <v>0</v>
      </c>
      <c r="F445">
        <v>0</v>
      </c>
      <c r="G445" t="s">
        <v>900</v>
      </c>
      <c r="H445">
        <v>0</v>
      </c>
      <c r="I445">
        <v>407005.78</v>
      </c>
      <c r="J445">
        <v>1</v>
      </c>
      <c r="K445">
        <v>0</v>
      </c>
      <c r="L445">
        <v>14</v>
      </c>
      <c r="M445">
        <v>0</v>
      </c>
      <c r="N445">
        <v>0</v>
      </c>
      <c r="O445">
        <v>0</v>
      </c>
      <c r="P445">
        <f>IF(C445&gt;=200000,5,IF(C445&gt;=100000,4,IF(C445&gt;=50000,3,IF(C445&gt;=10000,2,1))))</f>
        <v>5</v>
      </c>
      <c r="Q445">
        <f>IF(B445="TRANSFER",5,IF(B445="CASH_OUT",4,IF(B445="DEBIT",2,1)))</f>
        <v>4</v>
      </c>
      <c r="R445">
        <f>(P445*0.5)+(Q445*0.3)+(N445*0.1)+(M445*0.1)</f>
        <v>3.7</v>
      </c>
      <c r="S445" t="str">
        <f t="shared" si="6"/>
        <v>HIGH</v>
      </c>
    </row>
    <row r="446" spans="1:19" x14ac:dyDescent="0.3">
      <c r="A446">
        <v>38</v>
      </c>
      <c r="B446" t="s">
        <v>15</v>
      </c>
      <c r="C446">
        <v>360688.3</v>
      </c>
      <c r="D446" t="s">
        <v>901</v>
      </c>
      <c r="E446">
        <v>360688.3</v>
      </c>
      <c r="F446">
        <v>0</v>
      </c>
      <c r="G446" t="s">
        <v>902</v>
      </c>
      <c r="H446">
        <v>0</v>
      </c>
      <c r="I446">
        <v>0</v>
      </c>
      <c r="J446">
        <v>1</v>
      </c>
      <c r="K446">
        <v>0</v>
      </c>
      <c r="L446">
        <v>14</v>
      </c>
      <c r="M446">
        <v>0</v>
      </c>
      <c r="N446">
        <v>1</v>
      </c>
      <c r="O446">
        <v>360688.3</v>
      </c>
      <c r="P446">
        <f>IF(C446&gt;=200000,5,IF(C446&gt;=100000,4,IF(C446&gt;=50000,3,IF(C446&gt;=10000,2,1))))</f>
        <v>5</v>
      </c>
      <c r="Q446">
        <f>IF(B446="TRANSFER",5,IF(B446="CASH_OUT",4,IF(B446="DEBIT",2,1)))</f>
        <v>5</v>
      </c>
      <c r="R446">
        <f>(P446*0.5)+(Q446*0.3)+(N446*0.1)+(M446*0.1)</f>
        <v>4.0999999999999996</v>
      </c>
      <c r="S446" t="str">
        <f t="shared" si="6"/>
        <v>HIGH</v>
      </c>
    </row>
    <row r="447" spans="1:19" x14ac:dyDescent="0.3">
      <c r="A447">
        <v>38</v>
      </c>
      <c r="B447" t="s">
        <v>18</v>
      </c>
      <c r="C447">
        <v>360688.3</v>
      </c>
      <c r="D447" t="s">
        <v>903</v>
      </c>
      <c r="E447">
        <v>360688.3</v>
      </c>
      <c r="F447">
        <v>0</v>
      </c>
      <c r="G447" t="s">
        <v>904</v>
      </c>
      <c r="H447">
        <v>0</v>
      </c>
      <c r="I447">
        <v>360688.3</v>
      </c>
      <c r="J447">
        <v>1</v>
      </c>
      <c r="K447">
        <v>0</v>
      </c>
      <c r="L447">
        <v>14</v>
      </c>
      <c r="M447">
        <v>0</v>
      </c>
      <c r="N447">
        <v>1</v>
      </c>
      <c r="O447">
        <v>360688.3</v>
      </c>
      <c r="P447">
        <f>IF(C447&gt;=200000,5,IF(C447&gt;=100000,4,IF(C447&gt;=50000,3,IF(C447&gt;=10000,2,1))))</f>
        <v>5</v>
      </c>
      <c r="Q447">
        <f>IF(B447="TRANSFER",5,IF(B447="CASH_OUT",4,IF(B447="DEBIT",2,1)))</f>
        <v>4</v>
      </c>
      <c r="R447">
        <f>(P447*0.5)+(Q447*0.3)+(N447*0.1)+(M447*0.1)</f>
        <v>3.8000000000000003</v>
      </c>
      <c r="S447" t="str">
        <f t="shared" si="6"/>
        <v>HIGH</v>
      </c>
    </row>
    <row r="448" spans="1:19" x14ac:dyDescent="0.3">
      <c r="A448">
        <v>39</v>
      </c>
      <c r="B448" t="s">
        <v>15</v>
      </c>
      <c r="C448">
        <v>2070814.27</v>
      </c>
      <c r="D448" t="s">
        <v>905</v>
      </c>
      <c r="E448">
        <v>2070814.27</v>
      </c>
      <c r="F448">
        <v>0</v>
      </c>
      <c r="G448" t="s">
        <v>906</v>
      </c>
      <c r="H448">
        <v>0</v>
      </c>
      <c r="I448">
        <v>0</v>
      </c>
      <c r="J448">
        <v>1</v>
      </c>
      <c r="K448">
        <v>0</v>
      </c>
      <c r="L448">
        <v>15</v>
      </c>
      <c r="M448">
        <v>0</v>
      </c>
      <c r="N448">
        <v>1</v>
      </c>
      <c r="O448">
        <v>2070814.27</v>
      </c>
      <c r="P448">
        <f>IF(C448&gt;=200000,5,IF(C448&gt;=100000,4,IF(C448&gt;=50000,3,IF(C448&gt;=10000,2,1))))</f>
        <v>5</v>
      </c>
      <c r="Q448">
        <f>IF(B448="TRANSFER",5,IF(B448="CASH_OUT",4,IF(B448="DEBIT",2,1)))</f>
        <v>5</v>
      </c>
      <c r="R448">
        <f>(P448*0.5)+(Q448*0.3)+(N448*0.1)+(M448*0.1)</f>
        <v>4.0999999999999996</v>
      </c>
      <c r="S448" t="str">
        <f t="shared" si="6"/>
        <v>HIGH</v>
      </c>
    </row>
    <row r="449" spans="1:19" x14ac:dyDescent="0.3">
      <c r="A449">
        <v>39</v>
      </c>
      <c r="B449" t="s">
        <v>18</v>
      </c>
      <c r="C449">
        <v>2070814.27</v>
      </c>
      <c r="D449" t="s">
        <v>907</v>
      </c>
      <c r="E449">
        <v>2070814.27</v>
      </c>
      <c r="F449">
        <v>0</v>
      </c>
      <c r="G449" t="s">
        <v>908</v>
      </c>
      <c r="H449">
        <v>0</v>
      </c>
      <c r="I449">
        <v>2070814.27</v>
      </c>
      <c r="J449">
        <v>1</v>
      </c>
      <c r="K449">
        <v>0</v>
      </c>
      <c r="L449">
        <v>15</v>
      </c>
      <c r="M449">
        <v>0</v>
      </c>
      <c r="N449">
        <v>1</v>
      </c>
      <c r="O449">
        <v>2070814.27</v>
      </c>
      <c r="P449">
        <f>IF(C449&gt;=200000,5,IF(C449&gt;=100000,4,IF(C449&gt;=50000,3,IF(C449&gt;=10000,2,1))))</f>
        <v>5</v>
      </c>
      <c r="Q449">
        <f>IF(B449="TRANSFER",5,IF(B449="CASH_OUT",4,IF(B449="DEBIT",2,1)))</f>
        <v>4</v>
      </c>
      <c r="R449">
        <f>(P449*0.5)+(Q449*0.3)+(N449*0.1)+(M449*0.1)</f>
        <v>3.8000000000000003</v>
      </c>
      <c r="S449" t="str">
        <f t="shared" si="6"/>
        <v>HIGH</v>
      </c>
    </row>
    <row r="450" spans="1:19" x14ac:dyDescent="0.3">
      <c r="A450">
        <v>39</v>
      </c>
      <c r="B450" t="s">
        <v>15</v>
      </c>
      <c r="C450">
        <v>238717.5</v>
      </c>
      <c r="D450" t="s">
        <v>909</v>
      </c>
      <c r="E450">
        <v>238717.5</v>
      </c>
      <c r="F450">
        <v>0</v>
      </c>
      <c r="G450" t="s">
        <v>910</v>
      </c>
      <c r="H450">
        <v>0</v>
      </c>
      <c r="I450">
        <v>0</v>
      </c>
      <c r="J450">
        <v>1</v>
      </c>
      <c r="K450">
        <v>0</v>
      </c>
      <c r="L450">
        <v>15</v>
      </c>
      <c r="M450">
        <v>0</v>
      </c>
      <c r="N450">
        <v>1</v>
      </c>
      <c r="O450">
        <v>238717.5</v>
      </c>
      <c r="P450">
        <f>IF(C450&gt;=200000,5,IF(C450&gt;=100000,4,IF(C450&gt;=50000,3,IF(C450&gt;=10000,2,1))))</f>
        <v>5</v>
      </c>
      <c r="Q450">
        <f>IF(B450="TRANSFER",5,IF(B450="CASH_OUT",4,IF(B450="DEBIT",2,1)))</f>
        <v>5</v>
      </c>
      <c r="R450">
        <f>(P450*0.5)+(Q450*0.3)+(N450*0.1)+(M450*0.1)</f>
        <v>4.0999999999999996</v>
      </c>
      <c r="S450" t="str">
        <f t="shared" si="6"/>
        <v>HIGH</v>
      </c>
    </row>
    <row r="451" spans="1:19" x14ac:dyDescent="0.3">
      <c r="A451">
        <v>39</v>
      </c>
      <c r="B451" t="s">
        <v>18</v>
      </c>
      <c r="C451">
        <v>238717.5</v>
      </c>
      <c r="D451" t="s">
        <v>911</v>
      </c>
      <c r="E451">
        <v>238717.5</v>
      </c>
      <c r="F451">
        <v>0</v>
      </c>
      <c r="G451" t="s">
        <v>912</v>
      </c>
      <c r="H451">
        <v>601511.4</v>
      </c>
      <c r="I451">
        <v>671690.05</v>
      </c>
      <c r="J451">
        <v>1</v>
      </c>
      <c r="K451">
        <v>0</v>
      </c>
      <c r="L451">
        <v>15</v>
      </c>
      <c r="M451">
        <v>0</v>
      </c>
      <c r="N451">
        <v>1</v>
      </c>
      <c r="O451">
        <v>238717.5</v>
      </c>
      <c r="P451">
        <f>IF(C451&gt;=200000,5,IF(C451&gt;=100000,4,IF(C451&gt;=50000,3,IF(C451&gt;=10000,2,1))))</f>
        <v>5</v>
      </c>
      <c r="Q451">
        <f>IF(B451="TRANSFER",5,IF(B451="CASH_OUT",4,IF(B451="DEBIT",2,1)))</f>
        <v>4</v>
      </c>
      <c r="R451">
        <f>(P451*0.5)+(Q451*0.3)+(N451*0.1)+(M451*0.1)</f>
        <v>3.8000000000000003</v>
      </c>
      <c r="S451" t="str">
        <f t="shared" ref="S451:S514" si="7">IF(R451&gt;=3,"HIGH",IF(R451&gt;=2,"MEDIUM","LOW"))</f>
        <v>HIGH</v>
      </c>
    </row>
    <row r="452" spans="1:19" x14ac:dyDescent="0.3">
      <c r="A452">
        <v>39</v>
      </c>
      <c r="B452" t="s">
        <v>15</v>
      </c>
      <c r="C452">
        <v>18887</v>
      </c>
      <c r="D452" t="s">
        <v>913</v>
      </c>
      <c r="E452">
        <v>18887</v>
      </c>
      <c r="F452">
        <v>0</v>
      </c>
      <c r="G452" t="s">
        <v>914</v>
      </c>
      <c r="H452">
        <v>0</v>
      </c>
      <c r="I452">
        <v>0</v>
      </c>
      <c r="J452">
        <v>1</v>
      </c>
      <c r="K452">
        <v>0</v>
      </c>
      <c r="L452">
        <v>15</v>
      </c>
      <c r="M452">
        <v>0</v>
      </c>
      <c r="N452">
        <v>1</v>
      </c>
      <c r="O452">
        <v>18887</v>
      </c>
      <c r="P452">
        <f>IF(C452&gt;=200000,5,IF(C452&gt;=100000,4,IF(C452&gt;=50000,3,IF(C452&gt;=10000,2,1))))</f>
        <v>2</v>
      </c>
      <c r="Q452">
        <f>IF(B452="TRANSFER",5,IF(B452="CASH_OUT",4,IF(B452="DEBIT",2,1)))</f>
        <v>5</v>
      </c>
      <c r="R452">
        <f>(P452*0.5)+(Q452*0.3)+(N452*0.1)+(M452*0.1)</f>
        <v>2.6</v>
      </c>
      <c r="S452" t="str">
        <f t="shared" si="7"/>
        <v>MEDIUM</v>
      </c>
    </row>
    <row r="453" spans="1:19" x14ac:dyDescent="0.3">
      <c r="A453">
        <v>39</v>
      </c>
      <c r="B453" t="s">
        <v>18</v>
      </c>
      <c r="C453">
        <v>18887</v>
      </c>
      <c r="D453" t="s">
        <v>915</v>
      </c>
      <c r="E453">
        <v>18887</v>
      </c>
      <c r="F453">
        <v>0</v>
      </c>
      <c r="G453" t="s">
        <v>916</v>
      </c>
      <c r="H453">
        <v>131489.74</v>
      </c>
      <c r="I453">
        <v>150376.74</v>
      </c>
      <c r="J453">
        <v>1</v>
      </c>
      <c r="K453">
        <v>0</v>
      </c>
      <c r="L453">
        <v>15</v>
      </c>
      <c r="M453">
        <v>0</v>
      </c>
      <c r="N453">
        <v>1</v>
      </c>
      <c r="O453">
        <v>18887</v>
      </c>
      <c r="P453">
        <f>IF(C453&gt;=200000,5,IF(C453&gt;=100000,4,IF(C453&gt;=50000,3,IF(C453&gt;=10000,2,1))))</f>
        <v>2</v>
      </c>
      <c r="Q453">
        <f>IF(B453="TRANSFER",5,IF(B453="CASH_OUT",4,IF(B453="DEBIT",2,1)))</f>
        <v>4</v>
      </c>
      <c r="R453">
        <f>(P453*0.5)+(Q453*0.3)+(N453*0.1)+(M453*0.1)</f>
        <v>2.3000000000000003</v>
      </c>
      <c r="S453" t="str">
        <f t="shared" si="7"/>
        <v>MEDIUM</v>
      </c>
    </row>
    <row r="454" spans="1:19" x14ac:dyDescent="0.3">
      <c r="A454">
        <v>39</v>
      </c>
      <c r="B454" t="s">
        <v>15</v>
      </c>
      <c r="C454">
        <v>7937954.2000000002</v>
      </c>
      <c r="D454" t="s">
        <v>917</v>
      </c>
      <c r="E454">
        <v>7937954.2000000002</v>
      </c>
      <c r="F454">
        <v>0</v>
      </c>
      <c r="G454" t="s">
        <v>918</v>
      </c>
      <c r="H454">
        <v>0</v>
      </c>
      <c r="I454">
        <v>0</v>
      </c>
      <c r="J454">
        <v>1</v>
      </c>
      <c r="K454">
        <v>0</v>
      </c>
      <c r="L454">
        <v>15</v>
      </c>
      <c r="M454">
        <v>0</v>
      </c>
      <c r="N454">
        <v>1</v>
      </c>
      <c r="O454">
        <v>7937954.2000000002</v>
      </c>
      <c r="P454">
        <f>IF(C454&gt;=200000,5,IF(C454&gt;=100000,4,IF(C454&gt;=50000,3,IF(C454&gt;=10000,2,1))))</f>
        <v>5</v>
      </c>
      <c r="Q454">
        <f>IF(B454="TRANSFER",5,IF(B454="CASH_OUT",4,IF(B454="DEBIT",2,1)))</f>
        <v>5</v>
      </c>
      <c r="R454">
        <f>(P454*0.5)+(Q454*0.3)+(N454*0.1)+(M454*0.1)</f>
        <v>4.0999999999999996</v>
      </c>
      <c r="S454" t="str">
        <f t="shared" si="7"/>
        <v>HIGH</v>
      </c>
    </row>
    <row r="455" spans="1:19" x14ac:dyDescent="0.3">
      <c r="A455">
        <v>39</v>
      </c>
      <c r="B455" t="s">
        <v>18</v>
      </c>
      <c r="C455">
        <v>7937954.2000000002</v>
      </c>
      <c r="D455" t="s">
        <v>919</v>
      </c>
      <c r="E455">
        <v>7937954.2000000002</v>
      </c>
      <c r="F455">
        <v>0</v>
      </c>
      <c r="G455" t="s">
        <v>920</v>
      </c>
      <c r="H455">
        <v>2716480.56</v>
      </c>
      <c r="I455">
        <v>10700000</v>
      </c>
      <c r="J455">
        <v>1</v>
      </c>
      <c r="K455">
        <v>0</v>
      </c>
      <c r="L455">
        <v>15</v>
      </c>
      <c r="M455">
        <v>0</v>
      </c>
      <c r="N455">
        <v>1</v>
      </c>
      <c r="O455">
        <v>7937954.2000000002</v>
      </c>
      <c r="P455">
        <f>IF(C455&gt;=200000,5,IF(C455&gt;=100000,4,IF(C455&gt;=50000,3,IF(C455&gt;=10000,2,1))))</f>
        <v>5</v>
      </c>
      <c r="Q455">
        <f>IF(B455="TRANSFER",5,IF(B455="CASH_OUT",4,IF(B455="DEBIT",2,1)))</f>
        <v>4</v>
      </c>
      <c r="R455">
        <f>(P455*0.5)+(Q455*0.3)+(N455*0.1)+(M455*0.1)</f>
        <v>3.8000000000000003</v>
      </c>
      <c r="S455" t="str">
        <f t="shared" si="7"/>
        <v>HIGH</v>
      </c>
    </row>
    <row r="456" spans="1:19" x14ac:dyDescent="0.3">
      <c r="A456">
        <v>39</v>
      </c>
      <c r="B456" t="s">
        <v>15</v>
      </c>
      <c r="C456">
        <v>39013.300000000003</v>
      </c>
      <c r="D456" t="s">
        <v>921</v>
      </c>
      <c r="E456">
        <v>39013.300000000003</v>
      </c>
      <c r="F456">
        <v>0</v>
      </c>
      <c r="G456" t="s">
        <v>922</v>
      </c>
      <c r="H456">
        <v>0</v>
      </c>
      <c r="I456">
        <v>0</v>
      </c>
      <c r="J456">
        <v>1</v>
      </c>
      <c r="K456">
        <v>0</v>
      </c>
      <c r="L456">
        <v>15</v>
      </c>
      <c r="M456">
        <v>0</v>
      </c>
      <c r="N456">
        <v>1</v>
      </c>
      <c r="O456">
        <v>39013.300000000003</v>
      </c>
      <c r="P456">
        <f>IF(C456&gt;=200000,5,IF(C456&gt;=100000,4,IF(C456&gt;=50000,3,IF(C456&gt;=10000,2,1))))</f>
        <v>2</v>
      </c>
      <c r="Q456">
        <f>IF(B456="TRANSFER",5,IF(B456="CASH_OUT",4,IF(B456="DEBIT",2,1)))</f>
        <v>5</v>
      </c>
      <c r="R456">
        <f>(P456*0.5)+(Q456*0.3)+(N456*0.1)+(M456*0.1)</f>
        <v>2.6</v>
      </c>
      <c r="S456" t="str">
        <f t="shared" si="7"/>
        <v>MEDIUM</v>
      </c>
    </row>
    <row r="457" spans="1:19" x14ac:dyDescent="0.3">
      <c r="A457">
        <v>39</v>
      </c>
      <c r="B457" t="s">
        <v>18</v>
      </c>
      <c r="C457">
        <v>39013.300000000003</v>
      </c>
      <c r="D457" t="s">
        <v>923</v>
      </c>
      <c r="E457">
        <v>39013.300000000003</v>
      </c>
      <c r="F457">
        <v>0</v>
      </c>
      <c r="G457" t="s">
        <v>924</v>
      </c>
      <c r="H457">
        <v>924162.55</v>
      </c>
      <c r="I457">
        <v>1089489.1100000001</v>
      </c>
      <c r="J457">
        <v>1</v>
      </c>
      <c r="K457">
        <v>0</v>
      </c>
      <c r="L457">
        <v>15</v>
      </c>
      <c r="M457">
        <v>0</v>
      </c>
      <c r="N457">
        <v>1</v>
      </c>
      <c r="O457">
        <v>39013.300000000003</v>
      </c>
      <c r="P457">
        <f>IF(C457&gt;=200000,5,IF(C457&gt;=100000,4,IF(C457&gt;=50000,3,IF(C457&gt;=10000,2,1))))</f>
        <v>2</v>
      </c>
      <c r="Q457">
        <f>IF(B457="TRANSFER",5,IF(B457="CASH_OUT",4,IF(B457="DEBIT",2,1)))</f>
        <v>4</v>
      </c>
      <c r="R457">
        <f>(P457*0.5)+(Q457*0.3)+(N457*0.1)+(M457*0.1)</f>
        <v>2.3000000000000003</v>
      </c>
      <c r="S457" t="str">
        <f t="shared" si="7"/>
        <v>MEDIUM</v>
      </c>
    </row>
    <row r="458" spans="1:19" x14ac:dyDescent="0.3">
      <c r="A458">
        <v>39</v>
      </c>
      <c r="B458" t="s">
        <v>15</v>
      </c>
      <c r="C458">
        <v>152042.16</v>
      </c>
      <c r="D458" t="s">
        <v>925</v>
      </c>
      <c r="E458">
        <v>152042.16</v>
      </c>
      <c r="F458">
        <v>0</v>
      </c>
      <c r="G458" t="s">
        <v>926</v>
      </c>
      <c r="H458">
        <v>0</v>
      </c>
      <c r="I458">
        <v>0</v>
      </c>
      <c r="J458">
        <v>1</v>
      </c>
      <c r="K458">
        <v>0</v>
      </c>
      <c r="L458">
        <v>15</v>
      </c>
      <c r="M458">
        <v>0</v>
      </c>
      <c r="N458">
        <v>1</v>
      </c>
      <c r="O458">
        <v>152042.16</v>
      </c>
      <c r="P458">
        <f>IF(C458&gt;=200000,5,IF(C458&gt;=100000,4,IF(C458&gt;=50000,3,IF(C458&gt;=10000,2,1))))</f>
        <v>4</v>
      </c>
      <c r="Q458">
        <f>IF(B458="TRANSFER",5,IF(B458="CASH_OUT",4,IF(B458="DEBIT",2,1)))</f>
        <v>5</v>
      </c>
      <c r="R458">
        <f>(P458*0.5)+(Q458*0.3)+(N458*0.1)+(M458*0.1)</f>
        <v>3.6</v>
      </c>
      <c r="S458" t="str">
        <f t="shared" si="7"/>
        <v>HIGH</v>
      </c>
    </row>
    <row r="459" spans="1:19" x14ac:dyDescent="0.3">
      <c r="A459">
        <v>39</v>
      </c>
      <c r="B459" t="s">
        <v>18</v>
      </c>
      <c r="C459">
        <v>152042.16</v>
      </c>
      <c r="D459" t="s">
        <v>927</v>
      </c>
      <c r="E459">
        <v>152042.16</v>
      </c>
      <c r="F459">
        <v>0</v>
      </c>
      <c r="G459" t="s">
        <v>928</v>
      </c>
      <c r="H459">
        <v>710428.02</v>
      </c>
      <c r="I459">
        <v>862470.18</v>
      </c>
      <c r="J459">
        <v>1</v>
      </c>
      <c r="K459">
        <v>0</v>
      </c>
      <c r="L459">
        <v>15</v>
      </c>
      <c r="M459">
        <v>0</v>
      </c>
      <c r="N459">
        <v>1</v>
      </c>
      <c r="O459">
        <v>152042.16</v>
      </c>
      <c r="P459">
        <f>IF(C459&gt;=200000,5,IF(C459&gt;=100000,4,IF(C459&gt;=50000,3,IF(C459&gt;=10000,2,1))))</f>
        <v>4</v>
      </c>
      <c r="Q459">
        <f>IF(B459="TRANSFER",5,IF(B459="CASH_OUT",4,IF(B459="DEBIT",2,1)))</f>
        <v>4</v>
      </c>
      <c r="R459">
        <f>(P459*0.5)+(Q459*0.3)+(N459*0.1)+(M459*0.1)</f>
        <v>3.3000000000000003</v>
      </c>
      <c r="S459" t="str">
        <f t="shared" si="7"/>
        <v>HIGH</v>
      </c>
    </row>
    <row r="460" spans="1:19" x14ac:dyDescent="0.3">
      <c r="A460">
        <v>40</v>
      </c>
      <c r="B460" t="s">
        <v>15</v>
      </c>
      <c r="C460">
        <v>26950.06</v>
      </c>
      <c r="D460" t="s">
        <v>929</v>
      </c>
      <c r="E460">
        <v>26950.06</v>
      </c>
      <c r="F460">
        <v>0</v>
      </c>
      <c r="G460" t="s">
        <v>930</v>
      </c>
      <c r="H460">
        <v>0</v>
      </c>
      <c r="I460">
        <v>0</v>
      </c>
      <c r="J460">
        <v>1</v>
      </c>
      <c r="K460">
        <v>0</v>
      </c>
      <c r="L460">
        <v>16</v>
      </c>
      <c r="M460">
        <v>0</v>
      </c>
      <c r="N460">
        <v>1</v>
      </c>
      <c r="O460">
        <v>26950.06</v>
      </c>
      <c r="P460">
        <f>IF(C460&gt;=200000,5,IF(C460&gt;=100000,4,IF(C460&gt;=50000,3,IF(C460&gt;=10000,2,1))))</f>
        <v>2</v>
      </c>
      <c r="Q460">
        <f>IF(B460="TRANSFER",5,IF(B460="CASH_OUT",4,IF(B460="DEBIT",2,1)))</f>
        <v>5</v>
      </c>
      <c r="R460">
        <f>(P460*0.5)+(Q460*0.3)+(N460*0.1)+(M460*0.1)</f>
        <v>2.6</v>
      </c>
      <c r="S460" t="str">
        <f t="shared" si="7"/>
        <v>MEDIUM</v>
      </c>
    </row>
    <row r="461" spans="1:19" x14ac:dyDescent="0.3">
      <c r="A461">
        <v>40</v>
      </c>
      <c r="B461" t="s">
        <v>18</v>
      </c>
      <c r="C461">
        <v>26950.06</v>
      </c>
      <c r="D461" t="s">
        <v>931</v>
      </c>
      <c r="E461">
        <v>26950.06</v>
      </c>
      <c r="F461">
        <v>0</v>
      </c>
      <c r="G461" t="s">
        <v>932</v>
      </c>
      <c r="H461">
        <v>255430.21</v>
      </c>
      <c r="I461">
        <v>282380.27</v>
      </c>
      <c r="J461">
        <v>1</v>
      </c>
      <c r="K461">
        <v>0</v>
      </c>
      <c r="L461">
        <v>16</v>
      </c>
      <c r="M461">
        <v>0</v>
      </c>
      <c r="N461">
        <v>1</v>
      </c>
      <c r="O461">
        <v>26950.06</v>
      </c>
      <c r="P461">
        <f>IF(C461&gt;=200000,5,IF(C461&gt;=100000,4,IF(C461&gt;=50000,3,IF(C461&gt;=10000,2,1))))</f>
        <v>2</v>
      </c>
      <c r="Q461">
        <f>IF(B461="TRANSFER",5,IF(B461="CASH_OUT",4,IF(B461="DEBIT",2,1)))</f>
        <v>4</v>
      </c>
      <c r="R461">
        <f>(P461*0.5)+(Q461*0.3)+(N461*0.1)+(M461*0.1)</f>
        <v>2.3000000000000003</v>
      </c>
      <c r="S461" t="str">
        <f t="shared" si="7"/>
        <v>MEDIUM</v>
      </c>
    </row>
    <row r="462" spans="1:19" x14ac:dyDescent="0.3">
      <c r="A462">
        <v>40</v>
      </c>
      <c r="B462" t="s">
        <v>15</v>
      </c>
      <c r="C462">
        <v>20314.97</v>
      </c>
      <c r="D462" t="s">
        <v>933</v>
      </c>
      <c r="E462">
        <v>20314.97</v>
      </c>
      <c r="F462">
        <v>0</v>
      </c>
      <c r="G462" t="s">
        <v>934</v>
      </c>
      <c r="H462">
        <v>0</v>
      </c>
      <c r="I462">
        <v>0</v>
      </c>
      <c r="J462">
        <v>1</v>
      </c>
      <c r="K462">
        <v>0</v>
      </c>
      <c r="L462">
        <v>16</v>
      </c>
      <c r="M462">
        <v>0</v>
      </c>
      <c r="N462">
        <v>1</v>
      </c>
      <c r="O462">
        <v>20314.97</v>
      </c>
      <c r="P462">
        <f>IF(C462&gt;=200000,5,IF(C462&gt;=100000,4,IF(C462&gt;=50000,3,IF(C462&gt;=10000,2,1))))</f>
        <v>2</v>
      </c>
      <c r="Q462">
        <f>IF(B462="TRANSFER",5,IF(B462="CASH_OUT",4,IF(B462="DEBIT",2,1)))</f>
        <v>5</v>
      </c>
      <c r="R462">
        <f>(P462*0.5)+(Q462*0.3)+(N462*0.1)+(M462*0.1)</f>
        <v>2.6</v>
      </c>
      <c r="S462" t="str">
        <f t="shared" si="7"/>
        <v>MEDIUM</v>
      </c>
    </row>
    <row r="463" spans="1:19" x14ac:dyDescent="0.3">
      <c r="A463">
        <v>40</v>
      </c>
      <c r="B463" t="s">
        <v>18</v>
      </c>
      <c r="C463">
        <v>20314.97</v>
      </c>
      <c r="D463" t="s">
        <v>935</v>
      </c>
      <c r="E463">
        <v>20314.97</v>
      </c>
      <c r="F463">
        <v>0</v>
      </c>
      <c r="G463" t="s">
        <v>936</v>
      </c>
      <c r="H463">
        <v>1270005.54</v>
      </c>
      <c r="I463">
        <v>1290320.51</v>
      </c>
      <c r="J463">
        <v>1</v>
      </c>
      <c r="K463">
        <v>0</v>
      </c>
      <c r="L463">
        <v>16</v>
      </c>
      <c r="M463">
        <v>0</v>
      </c>
      <c r="N463">
        <v>1</v>
      </c>
      <c r="O463">
        <v>20314.97</v>
      </c>
      <c r="P463">
        <f>IF(C463&gt;=200000,5,IF(C463&gt;=100000,4,IF(C463&gt;=50000,3,IF(C463&gt;=10000,2,1))))</f>
        <v>2</v>
      </c>
      <c r="Q463">
        <f>IF(B463="TRANSFER",5,IF(B463="CASH_OUT",4,IF(B463="DEBIT",2,1)))</f>
        <v>4</v>
      </c>
      <c r="R463">
        <f>(P463*0.5)+(Q463*0.3)+(N463*0.1)+(M463*0.1)</f>
        <v>2.3000000000000003</v>
      </c>
      <c r="S463" t="str">
        <f t="shared" si="7"/>
        <v>MEDIUM</v>
      </c>
    </row>
    <row r="464" spans="1:19" x14ac:dyDescent="0.3">
      <c r="A464">
        <v>40</v>
      </c>
      <c r="B464" t="s">
        <v>15</v>
      </c>
      <c r="C464">
        <v>6188772.4400000004</v>
      </c>
      <c r="D464" t="s">
        <v>937</v>
      </c>
      <c r="E464">
        <v>6188772.4400000004</v>
      </c>
      <c r="F464">
        <v>0</v>
      </c>
      <c r="G464" t="s">
        <v>938</v>
      </c>
      <c r="H464">
        <v>0</v>
      </c>
      <c r="I464">
        <v>0</v>
      </c>
      <c r="J464">
        <v>1</v>
      </c>
      <c r="K464">
        <v>0</v>
      </c>
      <c r="L464">
        <v>16</v>
      </c>
      <c r="M464">
        <v>0</v>
      </c>
      <c r="N464">
        <v>1</v>
      </c>
      <c r="O464">
        <v>6188772.4400000004</v>
      </c>
      <c r="P464">
        <f>IF(C464&gt;=200000,5,IF(C464&gt;=100000,4,IF(C464&gt;=50000,3,IF(C464&gt;=10000,2,1))))</f>
        <v>5</v>
      </c>
      <c r="Q464">
        <f>IF(B464="TRANSFER",5,IF(B464="CASH_OUT",4,IF(B464="DEBIT",2,1)))</f>
        <v>5</v>
      </c>
      <c r="R464">
        <f>(P464*0.5)+(Q464*0.3)+(N464*0.1)+(M464*0.1)</f>
        <v>4.0999999999999996</v>
      </c>
      <c r="S464" t="str">
        <f t="shared" si="7"/>
        <v>HIGH</v>
      </c>
    </row>
    <row r="465" spans="1:19" x14ac:dyDescent="0.3">
      <c r="A465">
        <v>40</v>
      </c>
      <c r="B465" t="s">
        <v>18</v>
      </c>
      <c r="C465">
        <v>6188772.4400000004</v>
      </c>
      <c r="D465" t="s">
        <v>939</v>
      </c>
      <c r="E465">
        <v>6188772.4400000004</v>
      </c>
      <c r="F465">
        <v>0</v>
      </c>
      <c r="G465" t="s">
        <v>940</v>
      </c>
      <c r="H465">
        <v>6056796.7400000002</v>
      </c>
      <c r="I465">
        <v>12400000</v>
      </c>
      <c r="J465">
        <v>1</v>
      </c>
      <c r="K465">
        <v>0</v>
      </c>
      <c r="L465">
        <v>16</v>
      </c>
      <c r="M465">
        <v>0</v>
      </c>
      <c r="N465">
        <v>1</v>
      </c>
      <c r="O465">
        <v>6188772.4400000004</v>
      </c>
      <c r="P465">
        <f>IF(C465&gt;=200000,5,IF(C465&gt;=100000,4,IF(C465&gt;=50000,3,IF(C465&gt;=10000,2,1))))</f>
        <v>5</v>
      </c>
      <c r="Q465">
        <f>IF(B465="TRANSFER",5,IF(B465="CASH_OUT",4,IF(B465="DEBIT",2,1)))</f>
        <v>4</v>
      </c>
      <c r="R465">
        <f>(P465*0.5)+(Q465*0.3)+(N465*0.1)+(M465*0.1)</f>
        <v>3.8000000000000003</v>
      </c>
      <c r="S465" t="str">
        <f t="shared" si="7"/>
        <v>HIGH</v>
      </c>
    </row>
    <row r="466" spans="1:19" x14ac:dyDescent="0.3">
      <c r="A466">
        <v>40</v>
      </c>
      <c r="B466" t="s">
        <v>15</v>
      </c>
      <c r="C466">
        <v>2757431.53</v>
      </c>
      <c r="D466" t="s">
        <v>941</v>
      </c>
      <c r="E466">
        <v>2757431.53</v>
      </c>
      <c r="F466">
        <v>0</v>
      </c>
      <c r="G466" t="s">
        <v>942</v>
      </c>
      <c r="H466">
        <v>0</v>
      </c>
      <c r="I466">
        <v>0</v>
      </c>
      <c r="J466">
        <v>1</v>
      </c>
      <c r="K466">
        <v>0</v>
      </c>
      <c r="L466">
        <v>16</v>
      </c>
      <c r="M466">
        <v>0</v>
      </c>
      <c r="N466">
        <v>1</v>
      </c>
      <c r="O466">
        <v>2757431.53</v>
      </c>
      <c r="P466">
        <f>IF(C466&gt;=200000,5,IF(C466&gt;=100000,4,IF(C466&gt;=50000,3,IF(C466&gt;=10000,2,1))))</f>
        <v>5</v>
      </c>
      <c r="Q466">
        <f>IF(B466="TRANSFER",5,IF(B466="CASH_OUT",4,IF(B466="DEBIT",2,1)))</f>
        <v>5</v>
      </c>
      <c r="R466">
        <f>(P466*0.5)+(Q466*0.3)+(N466*0.1)+(M466*0.1)</f>
        <v>4.0999999999999996</v>
      </c>
      <c r="S466" t="str">
        <f t="shared" si="7"/>
        <v>HIGH</v>
      </c>
    </row>
    <row r="467" spans="1:19" x14ac:dyDescent="0.3">
      <c r="A467">
        <v>40</v>
      </c>
      <c r="B467" t="s">
        <v>18</v>
      </c>
      <c r="C467">
        <v>2757431.53</v>
      </c>
      <c r="D467" t="s">
        <v>943</v>
      </c>
      <c r="E467">
        <v>2757431.53</v>
      </c>
      <c r="F467">
        <v>0</v>
      </c>
      <c r="G467" t="s">
        <v>944</v>
      </c>
      <c r="H467">
        <v>0</v>
      </c>
      <c r="I467">
        <v>2757431.53</v>
      </c>
      <c r="J467">
        <v>1</v>
      </c>
      <c r="K467">
        <v>0</v>
      </c>
      <c r="L467">
        <v>16</v>
      </c>
      <c r="M467">
        <v>0</v>
      </c>
      <c r="N467">
        <v>1</v>
      </c>
      <c r="O467">
        <v>2757431.53</v>
      </c>
      <c r="P467">
        <f>IF(C467&gt;=200000,5,IF(C467&gt;=100000,4,IF(C467&gt;=50000,3,IF(C467&gt;=10000,2,1))))</f>
        <v>5</v>
      </c>
      <c r="Q467">
        <f>IF(B467="TRANSFER",5,IF(B467="CASH_OUT",4,IF(B467="DEBIT",2,1)))</f>
        <v>4</v>
      </c>
      <c r="R467">
        <f>(P467*0.5)+(Q467*0.3)+(N467*0.1)+(M467*0.1)</f>
        <v>3.8000000000000003</v>
      </c>
      <c r="S467" t="str">
        <f t="shared" si="7"/>
        <v>HIGH</v>
      </c>
    </row>
    <row r="468" spans="1:19" x14ac:dyDescent="0.3">
      <c r="A468">
        <v>40</v>
      </c>
      <c r="B468" t="s">
        <v>15</v>
      </c>
      <c r="C468">
        <v>7887.75</v>
      </c>
      <c r="D468" t="s">
        <v>945</v>
      </c>
      <c r="E468">
        <v>7887.75</v>
      </c>
      <c r="F468">
        <v>0</v>
      </c>
      <c r="G468" t="s">
        <v>946</v>
      </c>
      <c r="H468">
        <v>0</v>
      </c>
      <c r="I468">
        <v>0</v>
      </c>
      <c r="J468">
        <v>1</v>
      </c>
      <c r="K468">
        <v>0</v>
      </c>
      <c r="L468">
        <v>16</v>
      </c>
      <c r="M468">
        <v>0</v>
      </c>
      <c r="N468">
        <v>1</v>
      </c>
      <c r="O468">
        <v>7887.75</v>
      </c>
      <c r="P468">
        <f>IF(C468&gt;=200000,5,IF(C468&gt;=100000,4,IF(C468&gt;=50000,3,IF(C468&gt;=10000,2,1))))</f>
        <v>1</v>
      </c>
      <c r="Q468">
        <f>IF(B468="TRANSFER",5,IF(B468="CASH_OUT",4,IF(B468="DEBIT",2,1)))</f>
        <v>5</v>
      </c>
      <c r="R468">
        <f>(P468*0.5)+(Q468*0.3)+(N468*0.1)+(M468*0.1)</f>
        <v>2.1</v>
      </c>
      <c r="S468" t="str">
        <f t="shared" si="7"/>
        <v>MEDIUM</v>
      </c>
    </row>
    <row r="469" spans="1:19" x14ac:dyDescent="0.3">
      <c r="A469">
        <v>40</v>
      </c>
      <c r="B469" t="s">
        <v>18</v>
      </c>
      <c r="C469">
        <v>7887.75</v>
      </c>
      <c r="D469" t="s">
        <v>947</v>
      </c>
      <c r="E469">
        <v>7887.75</v>
      </c>
      <c r="F469">
        <v>0</v>
      </c>
      <c r="G469" t="s">
        <v>948</v>
      </c>
      <c r="H469">
        <v>0</v>
      </c>
      <c r="I469">
        <v>7887.75</v>
      </c>
      <c r="J469">
        <v>1</v>
      </c>
      <c r="K469">
        <v>0</v>
      </c>
      <c r="L469">
        <v>16</v>
      </c>
      <c r="M469">
        <v>0</v>
      </c>
      <c r="N469">
        <v>1</v>
      </c>
      <c r="O469">
        <v>7887.75</v>
      </c>
      <c r="P469">
        <f>IF(C469&gt;=200000,5,IF(C469&gt;=100000,4,IF(C469&gt;=50000,3,IF(C469&gt;=10000,2,1))))</f>
        <v>1</v>
      </c>
      <c r="Q469">
        <f>IF(B469="TRANSFER",5,IF(B469="CASH_OUT",4,IF(B469="DEBIT",2,1)))</f>
        <v>4</v>
      </c>
      <c r="R469">
        <f>(P469*0.5)+(Q469*0.3)+(N469*0.1)+(M469*0.1)</f>
        <v>1.8</v>
      </c>
      <c r="S469" t="str">
        <f t="shared" si="7"/>
        <v>LOW</v>
      </c>
    </row>
    <row r="470" spans="1:19" x14ac:dyDescent="0.3">
      <c r="A470">
        <v>40</v>
      </c>
      <c r="B470" t="s">
        <v>15</v>
      </c>
      <c r="C470">
        <v>31930.240000000002</v>
      </c>
      <c r="D470" t="s">
        <v>949</v>
      </c>
      <c r="E470">
        <v>31930.240000000002</v>
      </c>
      <c r="F470">
        <v>0</v>
      </c>
      <c r="G470" t="s">
        <v>950</v>
      </c>
      <c r="H470">
        <v>0</v>
      </c>
      <c r="I470">
        <v>0</v>
      </c>
      <c r="J470">
        <v>1</v>
      </c>
      <c r="K470">
        <v>0</v>
      </c>
      <c r="L470">
        <v>16</v>
      </c>
      <c r="M470">
        <v>0</v>
      </c>
      <c r="N470">
        <v>1</v>
      </c>
      <c r="O470">
        <v>31930.240000000002</v>
      </c>
      <c r="P470">
        <f>IF(C470&gt;=200000,5,IF(C470&gt;=100000,4,IF(C470&gt;=50000,3,IF(C470&gt;=10000,2,1))))</f>
        <v>2</v>
      </c>
      <c r="Q470">
        <f>IF(B470="TRANSFER",5,IF(B470="CASH_OUT",4,IF(B470="DEBIT",2,1)))</f>
        <v>5</v>
      </c>
      <c r="R470">
        <f>(P470*0.5)+(Q470*0.3)+(N470*0.1)+(M470*0.1)</f>
        <v>2.6</v>
      </c>
      <c r="S470" t="str">
        <f t="shared" si="7"/>
        <v>MEDIUM</v>
      </c>
    </row>
    <row r="471" spans="1:19" x14ac:dyDescent="0.3">
      <c r="A471">
        <v>40</v>
      </c>
      <c r="B471" t="s">
        <v>18</v>
      </c>
      <c r="C471">
        <v>31930.240000000002</v>
      </c>
      <c r="D471" t="s">
        <v>951</v>
      </c>
      <c r="E471">
        <v>31930.240000000002</v>
      </c>
      <c r="F471">
        <v>0</v>
      </c>
      <c r="G471" t="s">
        <v>952</v>
      </c>
      <c r="H471">
        <v>113287.58</v>
      </c>
      <c r="I471">
        <v>145217.82</v>
      </c>
      <c r="J471">
        <v>1</v>
      </c>
      <c r="K471">
        <v>0</v>
      </c>
      <c r="L471">
        <v>16</v>
      </c>
      <c r="M471">
        <v>0</v>
      </c>
      <c r="N471">
        <v>1</v>
      </c>
      <c r="O471">
        <v>31930.240000000002</v>
      </c>
      <c r="P471">
        <f>IF(C471&gt;=200000,5,IF(C471&gt;=100000,4,IF(C471&gt;=50000,3,IF(C471&gt;=10000,2,1))))</f>
        <v>2</v>
      </c>
      <c r="Q471">
        <f>IF(B471="TRANSFER",5,IF(B471="CASH_OUT",4,IF(B471="DEBIT",2,1)))</f>
        <v>4</v>
      </c>
      <c r="R471">
        <f>(P471*0.5)+(Q471*0.3)+(N471*0.1)+(M471*0.1)</f>
        <v>2.3000000000000003</v>
      </c>
      <c r="S471" t="str">
        <f t="shared" si="7"/>
        <v>MEDIUM</v>
      </c>
    </row>
    <row r="472" spans="1:19" x14ac:dyDescent="0.3">
      <c r="A472">
        <v>40</v>
      </c>
      <c r="B472" t="s">
        <v>15</v>
      </c>
      <c r="C472">
        <v>212613.29</v>
      </c>
      <c r="D472" t="s">
        <v>953</v>
      </c>
      <c r="E472">
        <v>212613.29</v>
      </c>
      <c r="F472">
        <v>0</v>
      </c>
      <c r="G472" t="s">
        <v>954</v>
      </c>
      <c r="H472">
        <v>0</v>
      </c>
      <c r="I472">
        <v>0</v>
      </c>
      <c r="J472">
        <v>1</v>
      </c>
      <c r="K472">
        <v>0</v>
      </c>
      <c r="L472">
        <v>16</v>
      </c>
      <c r="M472">
        <v>0</v>
      </c>
      <c r="N472">
        <v>1</v>
      </c>
      <c r="O472">
        <v>212613.29</v>
      </c>
      <c r="P472">
        <f>IF(C472&gt;=200000,5,IF(C472&gt;=100000,4,IF(C472&gt;=50000,3,IF(C472&gt;=10000,2,1))))</f>
        <v>5</v>
      </c>
      <c r="Q472">
        <f>IF(B472="TRANSFER",5,IF(B472="CASH_OUT",4,IF(B472="DEBIT",2,1)))</f>
        <v>5</v>
      </c>
      <c r="R472">
        <f>(P472*0.5)+(Q472*0.3)+(N472*0.1)+(M472*0.1)</f>
        <v>4.0999999999999996</v>
      </c>
      <c r="S472" t="str">
        <f t="shared" si="7"/>
        <v>HIGH</v>
      </c>
    </row>
    <row r="473" spans="1:19" x14ac:dyDescent="0.3">
      <c r="A473">
        <v>40</v>
      </c>
      <c r="B473" t="s">
        <v>18</v>
      </c>
      <c r="C473">
        <v>212613.29</v>
      </c>
      <c r="D473" t="s">
        <v>955</v>
      </c>
      <c r="E473">
        <v>212613.29</v>
      </c>
      <c r="F473">
        <v>0</v>
      </c>
      <c r="G473" t="s">
        <v>956</v>
      </c>
      <c r="H473">
        <v>1370788.41</v>
      </c>
      <c r="I473">
        <v>1583401.69</v>
      </c>
      <c r="J473">
        <v>1</v>
      </c>
      <c r="K473">
        <v>0</v>
      </c>
      <c r="L473">
        <v>16</v>
      </c>
      <c r="M473">
        <v>0</v>
      </c>
      <c r="N473">
        <v>1</v>
      </c>
      <c r="O473">
        <v>212613.29</v>
      </c>
      <c r="P473">
        <f>IF(C473&gt;=200000,5,IF(C473&gt;=100000,4,IF(C473&gt;=50000,3,IF(C473&gt;=10000,2,1))))</f>
        <v>5</v>
      </c>
      <c r="Q473">
        <f>IF(B473="TRANSFER",5,IF(B473="CASH_OUT",4,IF(B473="DEBIT",2,1)))</f>
        <v>4</v>
      </c>
      <c r="R473">
        <f>(P473*0.5)+(Q473*0.3)+(N473*0.1)+(M473*0.1)</f>
        <v>3.8000000000000003</v>
      </c>
      <c r="S473" t="str">
        <f t="shared" si="7"/>
        <v>HIGH</v>
      </c>
    </row>
    <row r="474" spans="1:19" x14ac:dyDescent="0.3">
      <c r="A474">
        <v>41</v>
      </c>
      <c r="B474" t="s">
        <v>15</v>
      </c>
      <c r="C474">
        <v>581889.93999999994</v>
      </c>
      <c r="D474" t="s">
        <v>957</v>
      </c>
      <c r="E474">
        <v>581889.93999999994</v>
      </c>
      <c r="F474">
        <v>0</v>
      </c>
      <c r="G474" t="s">
        <v>958</v>
      </c>
      <c r="H474">
        <v>0</v>
      </c>
      <c r="I474">
        <v>0</v>
      </c>
      <c r="J474">
        <v>1</v>
      </c>
      <c r="K474">
        <v>0</v>
      </c>
      <c r="L474">
        <v>17</v>
      </c>
      <c r="M474">
        <v>0</v>
      </c>
      <c r="N474">
        <v>1</v>
      </c>
      <c r="O474">
        <v>581889.93999999994</v>
      </c>
      <c r="P474">
        <f>IF(C474&gt;=200000,5,IF(C474&gt;=100000,4,IF(C474&gt;=50000,3,IF(C474&gt;=10000,2,1))))</f>
        <v>5</v>
      </c>
      <c r="Q474">
        <f>IF(B474="TRANSFER",5,IF(B474="CASH_OUT",4,IF(B474="DEBIT",2,1)))</f>
        <v>5</v>
      </c>
      <c r="R474">
        <f>(P474*0.5)+(Q474*0.3)+(N474*0.1)+(M474*0.1)</f>
        <v>4.0999999999999996</v>
      </c>
      <c r="S474" t="str">
        <f t="shared" si="7"/>
        <v>HIGH</v>
      </c>
    </row>
    <row r="475" spans="1:19" x14ac:dyDescent="0.3">
      <c r="A475">
        <v>41</v>
      </c>
      <c r="B475" t="s">
        <v>18</v>
      </c>
      <c r="C475">
        <v>581889.93999999994</v>
      </c>
      <c r="D475" t="s">
        <v>959</v>
      </c>
      <c r="E475">
        <v>581889.93999999994</v>
      </c>
      <c r="F475">
        <v>0</v>
      </c>
      <c r="G475" t="s">
        <v>960</v>
      </c>
      <c r="H475">
        <v>359585.03</v>
      </c>
      <c r="I475">
        <v>941474.97</v>
      </c>
      <c r="J475">
        <v>1</v>
      </c>
      <c r="K475">
        <v>0</v>
      </c>
      <c r="L475">
        <v>17</v>
      </c>
      <c r="M475">
        <v>0</v>
      </c>
      <c r="N475">
        <v>1</v>
      </c>
      <c r="O475">
        <v>581889.93999999994</v>
      </c>
      <c r="P475">
        <f>IF(C475&gt;=200000,5,IF(C475&gt;=100000,4,IF(C475&gt;=50000,3,IF(C475&gt;=10000,2,1))))</f>
        <v>5</v>
      </c>
      <c r="Q475">
        <f>IF(B475="TRANSFER",5,IF(B475="CASH_OUT",4,IF(B475="DEBIT",2,1)))</f>
        <v>4</v>
      </c>
      <c r="R475">
        <f>(P475*0.5)+(Q475*0.3)+(N475*0.1)+(M475*0.1)</f>
        <v>3.8000000000000003</v>
      </c>
      <c r="S475" t="str">
        <f t="shared" si="7"/>
        <v>HIGH</v>
      </c>
    </row>
    <row r="476" spans="1:19" x14ac:dyDescent="0.3">
      <c r="A476">
        <v>41</v>
      </c>
      <c r="B476" t="s">
        <v>15</v>
      </c>
      <c r="C476">
        <v>1783144.33</v>
      </c>
      <c r="D476" t="s">
        <v>961</v>
      </c>
      <c r="E476">
        <v>1783144.33</v>
      </c>
      <c r="F476">
        <v>0</v>
      </c>
      <c r="G476" t="s">
        <v>962</v>
      </c>
      <c r="H476">
        <v>0</v>
      </c>
      <c r="I476">
        <v>0</v>
      </c>
      <c r="J476">
        <v>1</v>
      </c>
      <c r="K476">
        <v>0</v>
      </c>
      <c r="L476">
        <v>17</v>
      </c>
      <c r="M476">
        <v>0</v>
      </c>
      <c r="N476">
        <v>1</v>
      </c>
      <c r="O476">
        <v>1783144.33</v>
      </c>
      <c r="P476">
        <f>IF(C476&gt;=200000,5,IF(C476&gt;=100000,4,IF(C476&gt;=50000,3,IF(C476&gt;=10000,2,1))))</f>
        <v>5</v>
      </c>
      <c r="Q476">
        <f>IF(B476="TRANSFER",5,IF(B476="CASH_OUT",4,IF(B476="DEBIT",2,1)))</f>
        <v>5</v>
      </c>
      <c r="R476">
        <f>(P476*0.5)+(Q476*0.3)+(N476*0.1)+(M476*0.1)</f>
        <v>4.0999999999999996</v>
      </c>
      <c r="S476" t="str">
        <f t="shared" si="7"/>
        <v>HIGH</v>
      </c>
    </row>
    <row r="477" spans="1:19" x14ac:dyDescent="0.3">
      <c r="A477">
        <v>41</v>
      </c>
      <c r="B477" t="s">
        <v>18</v>
      </c>
      <c r="C477">
        <v>1783144.33</v>
      </c>
      <c r="D477" t="s">
        <v>963</v>
      </c>
      <c r="E477">
        <v>1783144.33</v>
      </c>
      <c r="F477">
        <v>0</v>
      </c>
      <c r="G477" t="s">
        <v>964</v>
      </c>
      <c r="H477">
        <v>1793786.8</v>
      </c>
      <c r="I477">
        <v>3576931.13</v>
      </c>
      <c r="J477">
        <v>1</v>
      </c>
      <c r="K477">
        <v>0</v>
      </c>
      <c r="L477">
        <v>17</v>
      </c>
      <c r="M477">
        <v>0</v>
      </c>
      <c r="N477">
        <v>1</v>
      </c>
      <c r="O477">
        <v>1783144.33</v>
      </c>
      <c r="P477">
        <f>IF(C477&gt;=200000,5,IF(C477&gt;=100000,4,IF(C477&gt;=50000,3,IF(C477&gt;=10000,2,1))))</f>
        <v>5</v>
      </c>
      <c r="Q477">
        <f>IF(B477="TRANSFER",5,IF(B477="CASH_OUT",4,IF(B477="DEBIT",2,1)))</f>
        <v>4</v>
      </c>
      <c r="R477">
        <f>(P477*0.5)+(Q477*0.3)+(N477*0.1)+(M477*0.1)</f>
        <v>3.8000000000000003</v>
      </c>
      <c r="S477" t="str">
        <f t="shared" si="7"/>
        <v>HIGH</v>
      </c>
    </row>
    <row r="478" spans="1:19" x14ac:dyDescent="0.3">
      <c r="A478">
        <v>41</v>
      </c>
      <c r="B478" t="s">
        <v>15</v>
      </c>
      <c r="C478">
        <v>82806.2</v>
      </c>
      <c r="D478" t="s">
        <v>965</v>
      </c>
      <c r="E478">
        <v>82806.2</v>
      </c>
      <c r="F478">
        <v>0</v>
      </c>
      <c r="G478" t="s">
        <v>966</v>
      </c>
      <c r="H478">
        <v>0</v>
      </c>
      <c r="I478">
        <v>0</v>
      </c>
      <c r="J478">
        <v>1</v>
      </c>
      <c r="K478">
        <v>0</v>
      </c>
      <c r="L478">
        <v>17</v>
      </c>
      <c r="M478">
        <v>0</v>
      </c>
      <c r="N478">
        <v>1</v>
      </c>
      <c r="O478">
        <v>82806.2</v>
      </c>
      <c r="P478">
        <f>IF(C478&gt;=200000,5,IF(C478&gt;=100000,4,IF(C478&gt;=50000,3,IF(C478&gt;=10000,2,1))))</f>
        <v>3</v>
      </c>
      <c r="Q478">
        <f>IF(B478="TRANSFER",5,IF(B478="CASH_OUT",4,IF(B478="DEBIT",2,1)))</f>
        <v>5</v>
      </c>
      <c r="R478">
        <f>(P478*0.5)+(Q478*0.3)+(N478*0.1)+(M478*0.1)</f>
        <v>3.1</v>
      </c>
      <c r="S478" t="str">
        <f t="shared" si="7"/>
        <v>HIGH</v>
      </c>
    </row>
    <row r="479" spans="1:19" x14ac:dyDescent="0.3">
      <c r="A479">
        <v>41</v>
      </c>
      <c r="B479" t="s">
        <v>18</v>
      </c>
      <c r="C479">
        <v>82806.2</v>
      </c>
      <c r="D479" t="s">
        <v>967</v>
      </c>
      <c r="E479">
        <v>82806.2</v>
      </c>
      <c r="F479">
        <v>0</v>
      </c>
      <c r="G479" t="s">
        <v>968</v>
      </c>
      <c r="H479">
        <v>0</v>
      </c>
      <c r="I479">
        <v>0</v>
      </c>
      <c r="J479">
        <v>1</v>
      </c>
      <c r="K479">
        <v>0</v>
      </c>
      <c r="L479">
        <v>17</v>
      </c>
      <c r="M479">
        <v>0</v>
      </c>
      <c r="N479">
        <v>1</v>
      </c>
      <c r="O479">
        <v>82806.2</v>
      </c>
      <c r="P479">
        <f>IF(C479&gt;=200000,5,IF(C479&gt;=100000,4,IF(C479&gt;=50000,3,IF(C479&gt;=10000,2,1))))</f>
        <v>3</v>
      </c>
      <c r="Q479">
        <f>IF(B479="TRANSFER",5,IF(B479="CASH_OUT",4,IF(B479="DEBIT",2,1)))</f>
        <v>4</v>
      </c>
      <c r="R479">
        <f>(P479*0.5)+(Q479*0.3)+(N479*0.1)+(M479*0.1)</f>
        <v>2.8000000000000003</v>
      </c>
      <c r="S479" t="str">
        <f t="shared" si="7"/>
        <v>MEDIUM</v>
      </c>
    </row>
    <row r="480" spans="1:19" x14ac:dyDescent="0.3">
      <c r="A480">
        <v>41</v>
      </c>
      <c r="B480" t="s">
        <v>15</v>
      </c>
      <c r="C480">
        <v>32690.68</v>
      </c>
      <c r="D480" t="s">
        <v>969</v>
      </c>
      <c r="E480">
        <v>32690.68</v>
      </c>
      <c r="F480">
        <v>0</v>
      </c>
      <c r="G480" t="s">
        <v>970</v>
      </c>
      <c r="H480">
        <v>0</v>
      </c>
      <c r="I480">
        <v>0</v>
      </c>
      <c r="J480">
        <v>1</v>
      </c>
      <c r="K480">
        <v>0</v>
      </c>
      <c r="L480">
        <v>17</v>
      </c>
      <c r="M480">
        <v>0</v>
      </c>
      <c r="N480">
        <v>1</v>
      </c>
      <c r="O480">
        <v>32690.68</v>
      </c>
      <c r="P480">
        <f>IF(C480&gt;=200000,5,IF(C480&gt;=100000,4,IF(C480&gt;=50000,3,IF(C480&gt;=10000,2,1))))</f>
        <v>2</v>
      </c>
      <c r="Q480">
        <f>IF(B480="TRANSFER",5,IF(B480="CASH_OUT",4,IF(B480="DEBIT",2,1)))</f>
        <v>5</v>
      </c>
      <c r="R480">
        <f>(P480*0.5)+(Q480*0.3)+(N480*0.1)+(M480*0.1)</f>
        <v>2.6</v>
      </c>
      <c r="S480" t="str">
        <f t="shared" si="7"/>
        <v>MEDIUM</v>
      </c>
    </row>
    <row r="481" spans="1:19" x14ac:dyDescent="0.3">
      <c r="A481">
        <v>41</v>
      </c>
      <c r="B481" t="s">
        <v>18</v>
      </c>
      <c r="C481">
        <v>32690.68</v>
      </c>
      <c r="D481" t="s">
        <v>971</v>
      </c>
      <c r="E481">
        <v>32690.68</v>
      </c>
      <c r="F481">
        <v>0</v>
      </c>
      <c r="G481" t="s">
        <v>972</v>
      </c>
      <c r="H481">
        <v>2361188.1</v>
      </c>
      <c r="I481">
        <v>2393878.7799999998</v>
      </c>
      <c r="J481">
        <v>1</v>
      </c>
      <c r="K481">
        <v>0</v>
      </c>
      <c r="L481">
        <v>17</v>
      </c>
      <c r="M481">
        <v>0</v>
      </c>
      <c r="N481">
        <v>1</v>
      </c>
      <c r="O481">
        <v>32690.68</v>
      </c>
      <c r="P481">
        <f>IF(C481&gt;=200000,5,IF(C481&gt;=100000,4,IF(C481&gt;=50000,3,IF(C481&gt;=10000,2,1))))</f>
        <v>2</v>
      </c>
      <c r="Q481">
        <f>IF(B481="TRANSFER",5,IF(B481="CASH_OUT",4,IF(B481="DEBIT",2,1)))</f>
        <v>4</v>
      </c>
      <c r="R481">
        <f>(P481*0.5)+(Q481*0.3)+(N481*0.1)+(M481*0.1)</f>
        <v>2.3000000000000003</v>
      </c>
      <c r="S481" t="str">
        <f t="shared" si="7"/>
        <v>MEDIUM</v>
      </c>
    </row>
    <row r="482" spans="1:19" x14ac:dyDescent="0.3">
      <c r="A482">
        <v>41</v>
      </c>
      <c r="B482" t="s">
        <v>15</v>
      </c>
      <c r="C482">
        <v>1270564.3400000001</v>
      </c>
      <c r="D482" t="s">
        <v>973</v>
      </c>
      <c r="E482">
        <v>1270564.3400000001</v>
      </c>
      <c r="F482">
        <v>0</v>
      </c>
      <c r="G482" t="s">
        <v>974</v>
      </c>
      <c r="H482">
        <v>0</v>
      </c>
      <c r="I482">
        <v>0</v>
      </c>
      <c r="J482">
        <v>1</v>
      </c>
      <c r="K482">
        <v>0</v>
      </c>
      <c r="L482">
        <v>17</v>
      </c>
      <c r="M482">
        <v>0</v>
      </c>
      <c r="N482">
        <v>1</v>
      </c>
      <c r="O482">
        <v>1270564.3400000001</v>
      </c>
      <c r="P482">
        <f>IF(C482&gt;=200000,5,IF(C482&gt;=100000,4,IF(C482&gt;=50000,3,IF(C482&gt;=10000,2,1))))</f>
        <v>5</v>
      </c>
      <c r="Q482">
        <f>IF(B482="TRANSFER",5,IF(B482="CASH_OUT",4,IF(B482="DEBIT",2,1)))</f>
        <v>5</v>
      </c>
      <c r="R482">
        <f>(P482*0.5)+(Q482*0.3)+(N482*0.1)+(M482*0.1)</f>
        <v>4.0999999999999996</v>
      </c>
      <c r="S482" t="str">
        <f t="shared" si="7"/>
        <v>HIGH</v>
      </c>
    </row>
    <row r="483" spans="1:19" x14ac:dyDescent="0.3">
      <c r="A483">
        <v>41</v>
      </c>
      <c r="B483" t="s">
        <v>18</v>
      </c>
      <c r="C483">
        <v>1270564.3400000001</v>
      </c>
      <c r="D483" t="s">
        <v>975</v>
      </c>
      <c r="E483">
        <v>1270564.3400000001</v>
      </c>
      <c r="F483">
        <v>0</v>
      </c>
      <c r="G483" t="s">
        <v>976</v>
      </c>
      <c r="H483">
        <v>0</v>
      </c>
      <c r="I483">
        <v>1270564.3400000001</v>
      </c>
      <c r="J483">
        <v>1</v>
      </c>
      <c r="K483">
        <v>0</v>
      </c>
      <c r="L483">
        <v>17</v>
      </c>
      <c r="M483">
        <v>0</v>
      </c>
      <c r="N483">
        <v>1</v>
      </c>
      <c r="O483">
        <v>1270564.3400000001</v>
      </c>
      <c r="P483">
        <f>IF(C483&gt;=200000,5,IF(C483&gt;=100000,4,IF(C483&gt;=50000,3,IF(C483&gt;=10000,2,1))))</f>
        <v>5</v>
      </c>
      <c r="Q483">
        <f>IF(B483="TRANSFER",5,IF(B483="CASH_OUT",4,IF(B483="DEBIT",2,1)))</f>
        <v>4</v>
      </c>
      <c r="R483">
        <f>(P483*0.5)+(Q483*0.3)+(N483*0.1)+(M483*0.1)</f>
        <v>3.8000000000000003</v>
      </c>
      <c r="S483" t="str">
        <f t="shared" si="7"/>
        <v>HIGH</v>
      </c>
    </row>
    <row r="484" spans="1:19" x14ac:dyDescent="0.3">
      <c r="A484">
        <v>41</v>
      </c>
      <c r="B484" t="s">
        <v>15</v>
      </c>
      <c r="C484">
        <v>2885466.96</v>
      </c>
      <c r="D484" t="s">
        <v>977</v>
      </c>
      <c r="E484">
        <v>2885466.96</v>
      </c>
      <c r="F484">
        <v>0</v>
      </c>
      <c r="G484" t="s">
        <v>978</v>
      </c>
      <c r="H484">
        <v>0</v>
      </c>
      <c r="I484">
        <v>0</v>
      </c>
      <c r="J484">
        <v>1</v>
      </c>
      <c r="K484">
        <v>0</v>
      </c>
      <c r="L484">
        <v>17</v>
      </c>
      <c r="M484">
        <v>0</v>
      </c>
      <c r="N484">
        <v>1</v>
      </c>
      <c r="O484">
        <v>2885466.96</v>
      </c>
      <c r="P484">
        <f>IF(C484&gt;=200000,5,IF(C484&gt;=100000,4,IF(C484&gt;=50000,3,IF(C484&gt;=10000,2,1))))</f>
        <v>5</v>
      </c>
      <c r="Q484">
        <f>IF(B484="TRANSFER",5,IF(B484="CASH_OUT",4,IF(B484="DEBIT",2,1)))</f>
        <v>5</v>
      </c>
      <c r="R484">
        <f>(P484*0.5)+(Q484*0.3)+(N484*0.1)+(M484*0.1)</f>
        <v>4.0999999999999996</v>
      </c>
      <c r="S484" t="str">
        <f t="shared" si="7"/>
        <v>HIGH</v>
      </c>
    </row>
    <row r="485" spans="1:19" x14ac:dyDescent="0.3">
      <c r="A485">
        <v>41</v>
      </c>
      <c r="B485" t="s">
        <v>18</v>
      </c>
      <c r="C485">
        <v>2885466.96</v>
      </c>
      <c r="D485" t="s">
        <v>979</v>
      </c>
      <c r="E485">
        <v>2885466.96</v>
      </c>
      <c r="F485">
        <v>0</v>
      </c>
      <c r="G485" t="s">
        <v>980</v>
      </c>
      <c r="H485">
        <v>28131.01</v>
      </c>
      <c r="I485">
        <v>3268477.05</v>
      </c>
      <c r="J485">
        <v>1</v>
      </c>
      <c r="K485">
        <v>0</v>
      </c>
      <c r="L485">
        <v>17</v>
      </c>
      <c r="M485">
        <v>0</v>
      </c>
      <c r="N485">
        <v>1</v>
      </c>
      <c r="O485">
        <v>2885466.96</v>
      </c>
      <c r="P485">
        <f>IF(C485&gt;=200000,5,IF(C485&gt;=100000,4,IF(C485&gt;=50000,3,IF(C485&gt;=10000,2,1))))</f>
        <v>5</v>
      </c>
      <c r="Q485">
        <f>IF(B485="TRANSFER",5,IF(B485="CASH_OUT",4,IF(B485="DEBIT",2,1)))</f>
        <v>4</v>
      </c>
      <c r="R485">
        <f>(P485*0.5)+(Q485*0.3)+(N485*0.1)+(M485*0.1)</f>
        <v>3.8000000000000003</v>
      </c>
      <c r="S485" t="str">
        <f t="shared" si="7"/>
        <v>HIGH</v>
      </c>
    </row>
    <row r="486" spans="1:19" x14ac:dyDescent="0.3">
      <c r="A486">
        <v>42</v>
      </c>
      <c r="B486" t="s">
        <v>15</v>
      </c>
      <c r="C486">
        <v>334276.08</v>
      </c>
      <c r="D486" t="s">
        <v>981</v>
      </c>
      <c r="E486">
        <v>334276.08</v>
      </c>
      <c r="F486">
        <v>0</v>
      </c>
      <c r="G486" t="s">
        <v>982</v>
      </c>
      <c r="H486">
        <v>0</v>
      </c>
      <c r="I486">
        <v>0</v>
      </c>
      <c r="J486">
        <v>1</v>
      </c>
      <c r="K486">
        <v>0</v>
      </c>
      <c r="L486">
        <v>18</v>
      </c>
      <c r="M486">
        <v>0</v>
      </c>
      <c r="N486">
        <v>1</v>
      </c>
      <c r="O486">
        <v>334276.08</v>
      </c>
      <c r="P486">
        <f>IF(C486&gt;=200000,5,IF(C486&gt;=100000,4,IF(C486&gt;=50000,3,IF(C486&gt;=10000,2,1))))</f>
        <v>5</v>
      </c>
      <c r="Q486">
        <f>IF(B486="TRANSFER",5,IF(B486="CASH_OUT",4,IF(B486="DEBIT",2,1)))</f>
        <v>5</v>
      </c>
      <c r="R486">
        <f>(P486*0.5)+(Q486*0.3)+(N486*0.1)+(M486*0.1)</f>
        <v>4.0999999999999996</v>
      </c>
      <c r="S486" t="str">
        <f t="shared" si="7"/>
        <v>HIGH</v>
      </c>
    </row>
    <row r="487" spans="1:19" x14ac:dyDescent="0.3">
      <c r="A487">
        <v>42</v>
      </c>
      <c r="B487" t="s">
        <v>18</v>
      </c>
      <c r="C487">
        <v>334276.08</v>
      </c>
      <c r="D487" t="s">
        <v>983</v>
      </c>
      <c r="E487">
        <v>334276.08</v>
      </c>
      <c r="F487">
        <v>0</v>
      </c>
      <c r="G487" t="s">
        <v>984</v>
      </c>
      <c r="H487">
        <v>318089.61</v>
      </c>
      <c r="I487">
        <v>652365.68000000005</v>
      </c>
      <c r="J487">
        <v>1</v>
      </c>
      <c r="K487">
        <v>0</v>
      </c>
      <c r="L487">
        <v>18</v>
      </c>
      <c r="M487">
        <v>0</v>
      </c>
      <c r="N487">
        <v>1</v>
      </c>
      <c r="O487">
        <v>334276.08</v>
      </c>
      <c r="P487">
        <f>IF(C487&gt;=200000,5,IF(C487&gt;=100000,4,IF(C487&gt;=50000,3,IF(C487&gt;=10000,2,1))))</f>
        <v>5</v>
      </c>
      <c r="Q487">
        <f>IF(B487="TRANSFER",5,IF(B487="CASH_OUT",4,IF(B487="DEBIT",2,1)))</f>
        <v>4</v>
      </c>
      <c r="R487">
        <f>(P487*0.5)+(Q487*0.3)+(N487*0.1)+(M487*0.1)</f>
        <v>3.8000000000000003</v>
      </c>
      <c r="S487" t="str">
        <f t="shared" si="7"/>
        <v>HIGH</v>
      </c>
    </row>
    <row r="488" spans="1:19" x14ac:dyDescent="0.3">
      <c r="A488">
        <v>42</v>
      </c>
      <c r="B488" t="s">
        <v>15</v>
      </c>
      <c r="C488">
        <v>3569720.42</v>
      </c>
      <c r="D488" t="s">
        <v>985</v>
      </c>
      <c r="E488">
        <v>3569720.42</v>
      </c>
      <c r="F488">
        <v>0</v>
      </c>
      <c r="G488" t="s">
        <v>986</v>
      </c>
      <c r="H488">
        <v>0</v>
      </c>
      <c r="I488">
        <v>0</v>
      </c>
      <c r="J488">
        <v>1</v>
      </c>
      <c r="K488">
        <v>0</v>
      </c>
      <c r="L488">
        <v>18</v>
      </c>
      <c r="M488">
        <v>0</v>
      </c>
      <c r="N488">
        <v>1</v>
      </c>
      <c r="O488">
        <v>3569720.42</v>
      </c>
      <c r="P488">
        <f>IF(C488&gt;=200000,5,IF(C488&gt;=100000,4,IF(C488&gt;=50000,3,IF(C488&gt;=10000,2,1))))</f>
        <v>5</v>
      </c>
      <c r="Q488">
        <f>IF(B488="TRANSFER",5,IF(B488="CASH_OUT",4,IF(B488="DEBIT",2,1)))</f>
        <v>5</v>
      </c>
      <c r="R488">
        <f>(P488*0.5)+(Q488*0.3)+(N488*0.1)+(M488*0.1)</f>
        <v>4.0999999999999996</v>
      </c>
      <c r="S488" t="str">
        <f t="shared" si="7"/>
        <v>HIGH</v>
      </c>
    </row>
    <row r="489" spans="1:19" x14ac:dyDescent="0.3">
      <c r="A489">
        <v>42</v>
      </c>
      <c r="B489" t="s">
        <v>18</v>
      </c>
      <c r="C489">
        <v>3569720.42</v>
      </c>
      <c r="D489" t="s">
        <v>987</v>
      </c>
      <c r="E489">
        <v>3569720.42</v>
      </c>
      <c r="F489">
        <v>0</v>
      </c>
      <c r="G489" t="s">
        <v>988</v>
      </c>
      <c r="H489">
        <v>0</v>
      </c>
      <c r="I489">
        <v>3569720.42</v>
      </c>
      <c r="J489">
        <v>1</v>
      </c>
      <c r="K489">
        <v>0</v>
      </c>
      <c r="L489">
        <v>18</v>
      </c>
      <c r="M489">
        <v>0</v>
      </c>
      <c r="N489">
        <v>1</v>
      </c>
      <c r="O489">
        <v>3569720.42</v>
      </c>
      <c r="P489">
        <f>IF(C489&gt;=200000,5,IF(C489&gt;=100000,4,IF(C489&gt;=50000,3,IF(C489&gt;=10000,2,1))))</f>
        <v>5</v>
      </c>
      <c r="Q489">
        <f>IF(B489="TRANSFER",5,IF(B489="CASH_OUT",4,IF(B489="DEBIT",2,1)))</f>
        <v>4</v>
      </c>
      <c r="R489">
        <f>(P489*0.5)+(Q489*0.3)+(N489*0.1)+(M489*0.1)</f>
        <v>3.8000000000000003</v>
      </c>
      <c r="S489" t="str">
        <f t="shared" si="7"/>
        <v>HIGH</v>
      </c>
    </row>
    <row r="490" spans="1:19" x14ac:dyDescent="0.3">
      <c r="A490">
        <v>42</v>
      </c>
      <c r="B490" t="s">
        <v>15</v>
      </c>
      <c r="C490">
        <v>1566057.28</v>
      </c>
      <c r="D490" t="s">
        <v>989</v>
      </c>
      <c r="E490">
        <v>1566057.28</v>
      </c>
      <c r="F490">
        <v>0</v>
      </c>
      <c r="G490" t="s">
        <v>990</v>
      </c>
      <c r="H490">
        <v>0</v>
      </c>
      <c r="I490">
        <v>0</v>
      </c>
      <c r="J490">
        <v>1</v>
      </c>
      <c r="K490">
        <v>0</v>
      </c>
      <c r="L490">
        <v>18</v>
      </c>
      <c r="M490">
        <v>0</v>
      </c>
      <c r="N490">
        <v>1</v>
      </c>
      <c r="O490">
        <v>1566057.28</v>
      </c>
      <c r="P490">
        <f>IF(C490&gt;=200000,5,IF(C490&gt;=100000,4,IF(C490&gt;=50000,3,IF(C490&gt;=10000,2,1))))</f>
        <v>5</v>
      </c>
      <c r="Q490">
        <f>IF(B490="TRANSFER",5,IF(B490="CASH_OUT",4,IF(B490="DEBIT",2,1)))</f>
        <v>5</v>
      </c>
      <c r="R490">
        <f>(P490*0.5)+(Q490*0.3)+(N490*0.1)+(M490*0.1)</f>
        <v>4.0999999999999996</v>
      </c>
      <c r="S490" t="str">
        <f t="shared" si="7"/>
        <v>HIGH</v>
      </c>
    </row>
    <row r="491" spans="1:19" x14ac:dyDescent="0.3">
      <c r="A491">
        <v>42</v>
      </c>
      <c r="B491" t="s">
        <v>18</v>
      </c>
      <c r="C491">
        <v>1566057.28</v>
      </c>
      <c r="D491" t="s">
        <v>991</v>
      </c>
      <c r="E491">
        <v>1566057.28</v>
      </c>
      <c r="F491">
        <v>0</v>
      </c>
      <c r="G491" t="s">
        <v>992</v>
      </c>
      <c r="H491">
        <v>0</v>
      </c>
      <c r="I491">
        <v>1566057.28</v>
      </c>
      <c r="J491">
        <v>1</v>
      </c>
      <c r="K491">
        <v>0</v>
      </c>
      <c r="L491">
        <v>18</v>
      </c>
      <c r="M491">
        <v>0</v>
      </c>
      <c r="N491">
        <v>1</v>
      </c>
      <c r="O491">
        <v>1566057.28</v>
      </c>
      <c r="P491">
        <f>IF(C491&gt;=200000,5,IF(C491&gt;=100000,4,IF(C491&gt;=50000,3,IF(C491&gt;=10000,2,1))))</f>
        <v>5</v>
      </c>
      <c r="Q491">
        <f>IF(B491="TRANSFER",5,IF(B491="CASH_OUT",4,IF(B491="DEBIT",2,1)))</f>
        <v>4</v>
      </c>
      <c r="R491">
        <f>(P491*0.5)+(Q491*0.3)+(N491*0.1)+(M491*0.1)</f>
        <v>3.8000000000000003</v>
      </c>
      <c r="S491" t="str">
        <f t="shared" si="7"/>
        <v>HIGH</v>
      </c>
    </row>
    <row r="492" spans="1:19" x14ac:dyDescent="0.3">
      <c r="A492">
        <v>42</v>
      </c>
      <c r="B492" t="s">
        <v>15</v>
      </c>
      <c r="C492">
        <v>5032484.7300000004</v>
      </c>
      <c r="D492" t="s">
        <v>993</v>
      </c>
      <c r="E492">
        <v>5032484.7300000004</v>
      </c>
      <c r="F492">
        <v>0</v>
      </c>
      <c r="G492" t="s">
        <v>994</v>
      </c>
      <c r="H492">
        <v>0</v>
      </c>
      <c r="I492">
        <v>0</v>
      </c>
      <c r="J492">
        <v>1</v>
      </c>
      <c r="K492">
        <v>0</v>
      </c>
      <c r="L492">
        <v>18</v>
      </c>
      <c r="M492">
        <v>0</v>
      </c>
      <c r="N492">
        <v>1</v>
      </c>
      <c r="O492">
        <v>5032484.7300000004</v>
      </c>
      <c r="P492">
        <f>IF(C492&gt;=200000,5,IF(C492&gt;=100000,4,IF(C492&gt;=50000,3,IF(C492&gt;=10000,2,1))))</f>
        <v>5</v>
      </c>
      <c r="Q492">
        <f>IF(B492="TRANSFER",5,IF(B492="CASH_OUT",4,IF(B492="DEBIT",2,1)))</f>
        <v>5</v>
      </c>
      <c r="R492">
        <f>(P492*0.5)+(Q492*0.3)+(N492*0.1)+(M492*0.1)</f>
        <v>4.0999999999999996</v>
      </c>
      <c r="S492" t="str">
        <f t="shared" si="7"/>
        <v>HIGH</v>
      </c>
    </row>
    <row r="493" spans="1:19" x14ac:dyDescent="0.3">
      <c r="A493">
        <v>42</v>
      </c>
      <c r="B493" t="s">
        <v>18</v>
      </c>
      <c r="C493">
        <v>5032484.7300000004</v>
      </c>
      <c r="D493" t="s">
        <v>995</v>
      </c>
      <c r="E493">
        <v>5032484.7300000004</v>
      </c>
      <c r="F493">
        <v>0</v>
      </c>
      <c r="G493" t="s">
        <v>996</v>
      </c>
      <c r="H493">
        <v>873589.17</v>
      </c>
      <c r="I493">
        <v>5906073.9000000004</v>
      </c>
      <c r="J493">
        <v>1</v>
      </c>
      <c r="K493">
        <v>0</v>
      </c>
      <c r="L493">
        <v>18</v>
      </c>
      <c r="M493">
        <v>0</v>
      </c>
      <c r="N493">
        <v>1</v>
      </c>
      <c r="O493">
        <v>5032484.7300000004</v>
      </c>
      <c r="P493">
        <f>IF(C493&gt;=200000,5,IF(C493&gt;=100000,4,IF(C493&gt;=50000,3,IF(C493&gt;=10000,2,1))))</f>
        <v>5</v>
      </c>
      <c r="Q493">
        <f>IF(B493="TRANSFER",5,IF(B493="CASH_OUT",4,IF(B493="DEBIT",2,1)))</f>
        <v>4</v>
      </c>
      <c r="R493">
        <f>(P493*0.5)+(Q493*0.3)+(N493*0.1)+(M493*0.1)</f>
        <v>3.8000000000000003</v>
      </c>
      <c r="S493" t="str">
        <f t="shared" si="7"/>
        <v>HIGH</v>
      </c>
    </row>
    <row r="494" spans="1:19" x14ac:dyDescent="0.3">
      <c r="A494">
        <v>42</v>
      </c>
      <c r="B494" t="s">
        <v>15</v>
      </c>
      <c r="C494">
        <v>36359.57</v>
      </c>
      <c r="D494" t="s">
        <v>997</v>
      </c>
      <c r="E494">
        <v>36359.57</v>
      </c>
      <c r="F494">
        <v>0</v>
      </c>
      <c r="G494" t="s">
        <v>998</v>
      </c>
      <c r="H494">
        <v>0</v>
      </c>
      <c r="I494">
        <v>0</v>
      </c>
      <c r="J494">
        <v>1</v>
      </c>
      <c r="K494">
        <v>0</v>
      </c>
      <c r="L494">
        <v>18</v>
      </c>
      <c r="M494">
        <v>0</v>
      </c>
      <c r="N494">
        <v>1</v>
      </c>
      <c r="O494">
        <v>36359.57</v>
      </c>
      <c r="P494">
        <f>IF(C494&gt;=200000,5,IF(C494&gt;=100000,4,IF(C494&gt;=50000,3,IF(C494&gt;=10000,2,1))))</f>
        <v>2</v>
      </c>
      <c r="Q494">
        <f>IF(B494="TRANSFER",5,IF(B494="CASH_OUT",4,IF(B494="DEBIT",2,1)))</f>
        <v>5</v>
      </c>
      <c r="R494">
        <f>(P494*0.5)+(Q494*0.3)+(N494*0.1)+(M494*0.1)</f>
        <v>2.6</v>
      </c>
      <c r="S494" t="str">
        <f t="shared" si="7"/>
        <v>MEDIUM</v>
      </c>
    </row>
    <row r="495" spans="1:19" x14ac:dyDescent="0.3">
      <c r="A495">
        <v>42</v>
      </c>
      <c r="B495" t="s">
        <v>18</v>
      </c>
      <c r="C495">
        <v>36359.57</v>
      </c>
      <c r="D495" t="s">
        <v>999</v>
      </c>
      <c r="E495">
        <v>36359.57</v>
      </c>
      <c r="F495">
        <v>0</v>
      </c>
      <c r="G495" t="s">
        <v>1000</v>
      </c>
      <c r="H495">
        <v>20206.650000000001</v>
      </c>
      <c r="I495">
        <v>56566.22</v>
      </c>
      <c r="J495">
        <v>1</v>
      </c>
      <c r="K495">
        <v>0</v>
      </c>
      <c r="L495">
        <v>18</v>
      </c>
      <c r="M495">
        <v>0</v>
      </c>
      <c r="N495">
        <v>1</v>
      </c>
      <c r="O495">
        <v>36359.57</v>
      </c>
      <c r="P495">
        <f>IF(C495&gt;=200000,5,IF(C495&gt;=100000,4,IF(C495&gt;=50000,3,IF(C495&gt;=10000,2,1))))</f>
        <v>2</v>
      </c>
      <c r="Q495">
        <f>IF(B495="TRANSFER",5,IF(B495="CASH_OUT",4,IF(B495="DEBIT",2,1)))</f>
        <v>4</v>
      </c>
      <c r="R495">
        <f>(P495*0.5)+(Q495*0.3)+(N495*0.1)+(M495*0.1)</f>
        <v>2.3000000000000003</v>
      </c>
      <c r="S495" t="str">
        <f t="shared" si="7"/>
        <v>MEDIUM</v>
      </c>
    </row>
    <row r="496" spans="1:19" x14ac:dyDescent="0.3">
      <c r="A496">
        <v>42</v>
      </c>
      <c r="B496" t="s">
        <v>15</v>
      </c>
      <c r="C496">
        <v>506867.52</v>
      </c>
      <c r="D496" t="s">
        <v>1001</v>
      </c>
      <c r="E496">
        <v>506867.52</v>
      </c>
      <c r="F496">
        <v>0</v>
      </c>
      <c r="G496" t="s">
        <v>1002</v>
      </c>
      <c r="H496">
        <v>0</v>
      </c>
      <c r="I496">
        <v>0</v>
      </c>
      <c r="J496">
        <v>1</v>
      </c>
      <c r="K496">
        <v>0</v>
      </c>
      <c r="L496">
        <v>18</v>
      </c>
      <c r="M496">
        <v>0</v>
      </c>
      <c r="N496">
        <v>1</v>
      </c>
      <c r="O496">
        <v>506867.52</v>
      </c>
      <c r="P496">
        <f>IF(C496&gt;=200000,5,IF(C496&gt;=100000,4,IF(C496&gt;=50000,3,IF(C496&gt;=10000,2,1))))</f>
        <v>5</v>
      </c>
      <c r="Q496">
        <f>IF(B496="TRANSFER",5,IF(B496="CASH_OUT",4,IF(B496="DEBIT",2,1)))</f>
        <v>5</v>
      </c>
      <c r="R496">
        <f>(P496*0.5)+(Q496*0.3)+(N496*0.1)+(M496*0.1)</f>
        <v>4.0999999999999996</v>
      </c>
      <c r="S496" t="str">
        <f t="shared" si="7"/>
        <v>HIGH</v>
      </c>
    </row>
    <row r="497" spans="1:19" x14ac:dyDescent="0.3">
      <c r="A497">
        <v>42</v>
      </c>
      <c r="B497" t="s">
        <v>18</v>
      </c>
      <c r="C497">
        <v>506867.52</v>
      </c>
      <c r="D497" t="s">
        <v>1003</v>
      </c>
      <c r="E497">
        <v>506867.52</v>
      </c>
      <c r="F497">
        <v>0</v>
      </c>
      <c r="G497" t="s">
        <v>1004</v>
      </c>
      <c r="H497">
        <v>0</v>
      </c>
      <c r="I497">
        <v>458682.99</v>
      </c>
      <c r="J497">
        <v>1</v>
      </c>
      <c r="K497">
        <v>0</v>
      </c>
      <c r="L497">
        <v>18</v>
      </c>
      <c r="M497">
        <v>0</v>
      </c>
      <c r="N497">
        <v>1</v>
      </c>
      <c r="O497">
        <v>506867.52</v>
      </c>
      <c r="P497">
        <f>IF(C497&gt;=200000,5,IF(C497&gt;=100000,4,IF(C497&gt;=50000,3,IF(C497&gt;=10000,2,1))))</f>
        <v>5</v>
      </c>
      <c r="Q497">
        <f>IF(B497="TRANSFER",5,IF(B497="CASH_OUT",4,IF(B497="DEBIT",2,1)))</f>
        <v>4</v>
      </c>
      <c r="R497">
        <f>(P497*0.5)+(Q497*0.3)+(N497*0.1)+(M497*0.1)</f>
        <v>3.8000000000000003</v>
      </c>
      <c r="S497" t="str">
        <f t="shared" si="7"/>
        <v>HIGH</v>
      </c>
    </row>
    <row r="498" spans="1:19" x14ac:dyDescent="0.3">
      <c r="A498">
        <v>42</v>
      </c>
      <c r="B498" t="s">
        <v>15</v>
      </c>
      <c r="C498">
        <v>1917497.63</v>
      </c>
      <c r="D498" t="s">
        <v>1005</v>
      </c>
      <c r="E498">
        <v>1917497.63</v>
      </c>
      <c r="F498">
        <v>0</v>
      </c>
      <c r="G498" t="s">
        <v>1006</v>
      </c>
      <c r="H498">
        <v>0</v>
      </c>
      <c r="I498">
        <v>0</v>
      </c>
      <c r="J498">
        <v>1</v>
      </c>
      <c r="K498">
        <v>0</v>
      </c>
      <c r="L498">
        <v>18</v>
      </c>
      <c r="M498">
        <v>0</v>
      </c>
      <c r="N498">
        <v>1</v>
      </c>
      <c r="O498">
        <v>1917497.63</v>
      </c>
      <c r="P498">
        <f>IF(C498&gt;=200000,5,IF(C498&gt;=100000,4,IF(C498&gt;=50000,3,IF(C498&gt;=10000,2,1))))</f>
        <v>5</v>
      </c>
      <c r="Q498">
        <f>IF(B498="TRANSFER",5,IF(B498="CASH_OUT",4,IF(B498="DEBIT",2,1)))</f>
        <v>5</v>
      </c>
      <c r="R498">
        <f>(P498*0.5)+(Q498*0.3)+(N498*0.1)+(M498*0.1)</f>
        <v>4.0999999999999996</v>
      </c>
      <c r="S498" t="str">
        <f t="shared" si="7"/>
        <v>HIGH</v>
      </c>
    </row>
    <row r="499" spans="1:19" x14ac:dyDescent="0.3">
      <c r="A499">
        <v>42</v>
      </c>
      <c r="B499" t="s">
        <v>18</v>
      </c>
      <c r="C499">
        <v>1917497.63</v>
      </c>
      <c r="D499" t="s">
        <v>1007</v>
      </c>
      <c r="E499">
        <v>1917497.63</v>
      </c>
      <c r="F499">
        <v>0</v>
      </c>
      <c r="G499" t="s">
        <v>1008</v>
      </c>
      <c r="H499">
        <v>173507.14</v>
      </c>
      <c r="I499">
        <v>2091004.76</v>
      </c>
      <c r="J499">
        <v>1</v>
      </c>
      <c r="K499">
        <v>0</v>
      </c>
      <c r="L499">
        <v>18</v>
      </c>
      <c r="M499">
        <v>0</v>
      </c>
      <c r="N499">
        <v>1</v>
      </c>
      <c r="O499">
        <v>1917497.63</v>
      </c>
      <c r="P499">
        <f>IF(C499&gt;=200000,5,IF(C499&gt;=100000,4,IF(C499&gt;=50000,3,IF(C499&gt;=10000,2,1))))</f>
        <v>5</v>
      </c>
      <c r="Q499">
        <f>IF(B499="TRANSFER",5,IF(B499="CASH_OUT",4,IF(B499="DEBIT",2,1)))</f>
        <v>4</v>
      </c>
      <c r="R499">
        <f>(P499*0.5)+(Q499*0.3)+(N499*0.1)+(M499*0.1)</f>
        <v>3.8000000000000003</v>
      </c>
      <c r="S499" t="str">
        <f t="shared" si="7"/>
        <v>HIGH</v>
      </c>
    </row>
    <row r="500" spans="1:19" x14ac:dyDescent="0.3">
      <c r="A500">
        <v>43</v>
      </c>
      <c r="B500" t="s">
        <v>15</v>
      </c>
      <c r="C500">
        <v>29988</v>
      </c>
      <c r="D500" t="s">
        <v>1009</v>
      </c>
      <c r="E500">
        <v>29988</v>
      </c>
      <c r="F500">
        <v>0</v>
      </c>
      <c r="G500" t="s">
        <v>1010</v>
      </c>
      <c r="H500">
        <v>0</v>
      </c>
      <c r="I500">
        <v>0</v>
      </c>
      <c r="J500">
        <v>1</v>
      </c>
      <c r="K500">
        <v>0</v>
      </c>
      <c r="L500">
        <v>19</v>
      </c>
      <c r="M500">
        <v>0</v>
      </c>
      <c r="N500">
        <v>1</v>
      </c>
      <c r="O500">
        <v>29988</v>
      </c>
      <c r="P500">
        <f>IF(C500&gt;=200000,5,IF(C500&gt;=100000,4,IF(C500&gt;=50000,3,IF(C500&gt;=10000,2,1))))</f>
        <v>2</v>
      </c>
      <c r="Q500">
        <f>IF(B500="TRANSFER",5,IF(B500="CASH_OUT",4,IF(B500="DEBIT",2,1)))</f>
        <v>5</v>
      </c>
      <c r="R500">
        <f>(P500*0.5)+(Q500*0.3)+(N500*0.1)+(M500*0.1)</f>
        <v>2.6</v>
      </c>
      <c r="S500" t="str">
        <f t="shared" si="7"/>
        <v>MEDIUM</v>
      </c>
    </row>
    <row r="501" spans="1:19" x14ac:dyDescent="0.3">
      <c r="A501">
        <v>43</v>
      </c>
      <c r="B501" t="s">
        <v>18</v>
      </c>
      <c r="C501">
        <v>29988</v>
      </c>
      <c r="D501" t="s">
        <v>1011</v>
      </c>
      <c r="E501">
        <v>29988</v>
      </c>
      <c r="F501">
        <v>0</v>
      </c>
      <c r="G501" t="s">
        <v>1012</v>
      </c>
      <c r="H501">
        <v>0</v>
      </c>
      <c r="I501">
        <v>29988</v>
      </c>
      <c r="J501">
        <v>1</v>
      </c>
      <c r="K501">
        <v>0</v>
      </c>
      <c r="L501">
        <v>19</v>
      </c>
      <c r="M501">
        <v>0</v>
      </c>
      <c r="N501">
        <v>1</v>
      </c>
      <c r="O501">
        <v>29988</v>
      </c>
      <c r="P501">
        <f>IF(C501&gt;=200000,5,IF(C501&gt;=100000,4,IF(C501&gt;=50000,3,IF(C501&gt;=10000,2,1))))</f>
        <v>2</v>
      </c>
      <c r="Q501">
        <f>IF(B501="TRANSFER",5,IF(B501="CASH_OUT",4,IF(B501="DEBIT",2,1)))</f>
        <v>4</v>
      </c>
      <c r="R501">
        <f>(P501*0.5)+(Q501*0.3)+(N501*0.1)+(M501*0.1)</f>
        <v>2.3000000000000003</v>
      </c>
      <c r="S501" t="str">
        <f t="shared" si="7"/>
        <v>MEDIUM</v>
      </c>
    </row>
    <row r="502" spans="1:19" x14ac:dyDescent="0.3">
      <c r="A502">
        <v>43</v>
      </c>
      <c r="B502" t="s">
        <v>15</v>
      </c>
      <c r="C502">
        <v>350789.59</v>
      </c>
      <c r="D502" t="s">
        <v>1013</v>
      </c>
      <c r="E502">
        <v>350789.59</v>
      </c>
      <c r="F502">
        <v>0</v>
      </c>
      <c r="G502" t="s">
        <v>1014</v>
      </c>
      <c r="H502">
        <v>0</v>
      </c>
      <c r="I502">
        <v>276871.71000000002</v>
      </c>
      <c r="J502">
        <v>1</v>
      </c>
      <c r="K502">
        <v>0</v>
      </c>
      <c r="L502">
        <v>19</v>
      </c>
      <c r="M502">
        <v>0</v>
      </c>
      <c r="N502">
        <v>1</v>
      </c>
      <c r="O502">
        <v>350789.59</v>
      </c>
      <c r="P502">
        <f>IF(C502&gt;=200000,5,IF(C502&gt;=100000,4,IF(C502&gt;=50000,3,IF(C502&gt;=10000,2,1))))</f>
        <v>5</v>
      </c>
      <c r="Q502">
        <f>IF(B502="TRANSFER",5,IF(B502="CASH_OUT",4,IF(B502="DEBIT",2,1)))</f>
        <v>5</v>
      </c>
      <c r="R502">
        <f>(P502*0.5)+(Q502*0.3)+(N502*0.1)+(M502*0.1)</f>
        <v>4.0999999999999996</v>
      </c>
      <c r="S502" t="str">
        <f t="shared" si="7"/>
        <v>HIGH</v>
      </c>
    </row>
    <row r="503" spans="1:19" x14ac:dyDescent="0.3">
      <c r="A503">
        <v>43</v>
      </c>
      <c r="B503" t="s">
        <v>18</v>
      </c>
      <c r="C503">
        <v>350789.59</v>
      </c>
      <c r="D503" t="s">
        <v>1015</v>
      </c>
      <c r="E503">
        <v>350789.59</v>
      </c>
      <c r="F503">
        <v>0</v>
      </c>
      <c r="G503" t="s">
        <v>1016</v>
      </c>
      <c r="H503">
        <v>8785008.75</v>
      </c>
      <c r="I503">
        <v>9135798.3399999999</v>
      </c>
      <c r="J503">
        <v>1</v>
      </c>
      <c r="K503">
        <v>0</v>
      </c>
      <c r="L503">
        <v>19</v>
      </c>
      <c r="M503">
        <v>0</v>
      </c>
      <c r="N503">
        <v>1</v>
      </c>
      <c r="O503">
        <v>350789.59</v>
      </c>
      <c r="P503">
        <f>IF(C503&gt;=200000,5,IF(C503&gt;=100000,4,IF(C503&gt;=50000,3,IF(C503&gt;=10000,2,1))))</f>
        <v>5</v>
      </c>
      <c r="Q503">
        <f>IF(B503="TRANSFER",5,IF(B503="CASH_OUT",4,IF(B503="DEBIT",2,1)))</f>
        <v>4</v>
      </c>
      <c r="R503">
        <f>(P503*0.5)+(Q503*0.3)+(N503*0.1)+(M503*0.1)</f>
        <v>3.8000000000000003</v>
      </c>
      <c r="S503" t="str">
        <f t="shared" si="7"/>
        <v>HIGH</v>
      </c>
    </row>
    <row r="504" spans="1:19" x14ac:dyDescent="0.3">
      <c r="A504">
        <v>43</v>
      </c>
      <c r="B504" t="s">
        <v>15</v>
      </c>
      <c r="C504">
        <v>1395850.55</v>
      </c>
      <c r="D504" t="s">
        <v>1017</v>
      </c>
      <c r="E504">
        <v>0</v>
      </c>
      <c r="F504">
        <v>0</v>
      </c>
      <c r="G504" t="s">
        <v>1018</v>
      </c>
      <c r="H504">
        <v>260806.21</v>
      </c>
      <c r="I504">
        <v>1656656.77</v>
      </c>
      <c r="J504">
        <v>1</v>
      </c>
      <c r="K504">
        <v>0</v>
      </c>
      <c r="L504">
        <v>19</v>
      </c>
      <c r="M504">
        <v>0</v>
      </c>
      <c r="N504">
        <v>0</v>
      </c>
      <c r="O504">
        <v>0</v>
      </c>
      <c r="P504">
        <f>IF(C504&gt;=200000,5,IF(C504&gt;=100000,4,IF(C504&gt;=50000,3,IF(C504&gt;=10000,2,1))))</f>
        <v>5</v>
      </c>
      <c r="Q504">
        <f>IF(B504="TRANSFER",5,IF(B504="CASH_OUT",4,IF(B504="DEBIT",2,1)))</f>
        <v>5</v>
      </c>
      <c r="R504">
        <f>(P504*0.5)+(Q504*0.3)+(N504*0.1)+(M504*0.1)</f>
        <v>4</v>
      </c>
      <c r="S504" t="str">
        <f t="shared" si="7"/>
        <v>HIGH</v>
      </c>
    </row>
    <row r="505" spans="1:19" x14ac:dyDescent="0.3">
      <c r="A505">
        <v>43</v>
      </c>
      <c r="B505" t="s">
        <v>15</v>
      </c>
      <c r="C505">
        <v>93459.89</v>
      </c>
      <c r="D505" t="s">
        <v>1019</v>
      </c>
      <c r="E505">
        <v>93459.89</v>
      </c>
      <c r="F505">
        <v>0</v>
      </c>
      <c r="G505" t="s">
        <v>1020</v>
      </c>
      <c r="H505">
        <v>0</v>
      </c>
      <c r="I505">
        <v>0</v>
      </c>
      <c r="J505">
        <v>1</v>
      </c>
      <c r="K505">
        <v>0</v>
      </c>
      <c r="L505">
        <v>19</v>
      </c>
      <c r="M505">
        <v>0</v>
      </c>
      <c r="N505">
        <v>1</v>
      </c>
      <c r="O505">
        <v>93459.89</v>
      </c>
      <c r="P505">
        <f>IF(C505&gt;=200000,5,IF(C505&gt;=100000,4,IF(C505&gt;=50000,3,IF(C505&gt;=10000,2,1))))</f>
        <v>3</v>
      </c>
      <c r="Q505">
        <f>IF(B505="TRANSFER",5,IF(B505="CASH_OUT",4,IF(B505="DEBIT",2,1)))</f>
        <v>5</v>
      </c>
      <c r="R505">
        <f>(P505*0.5)+(Q505*0.3)+(N505*0.1)+(M505*0.1)</f>
        <v>3.1</v>
      </c>
      <c r="S505" t="str">
        <f t="shared" si="7"/>
        <v>HIGH</v>
      </c>
    </row>
    <row r="506" spans="1:19" x14ac:dyDescent="0.3">
      <c r="A506">
        <v>43</v>
      </c>
      <c r="B506" t="s">
        <v>18</v>
      </c>
      <c r="C506">
        <v>93459.89</v>
      </c>
      <c r="D506" t="s">
        <v>1021</v>
      </c>
      <c r="E506">
        <v>93459.89</v>
      </c>
      <c r="F506">
        <v>0</v>
      </c>
      <c r="G506" t="s">
        <v>1022</v>
      </c>
      <c r="H506">
        <v>15825.7</v>
      </c>
      <c r="I506">
        <v>109285.59</v>
      </c>
      <c r="J506">
        <v>1</v>
      </c>
      <c r="K506">
        <v>0</v>
      </c>
      <c r="L506">
        <v>19</v>
      </c>
      <c r="M506">
        <v>0</v>
      </c>
      <c r="N506">
        <v>1</v>
      </c>
      <c r="O506">
        <v>93459.89</v>
      </c>
      <c r="P506">
        <f>IF(C506&gt;=200000,5,IF(C506&gt;=100000,4,IF(C506&gt;=50000,3,IF(C506&gt;=10000,2,1))))</f>
        <v>3</v>
      </c>
      <c r="Q506">
        <f>IF(B506="TRANSFER",5,IF(B506="CASH_OUT",4,IF(B506="DEBIT",2,1)))</f>
        <v>4</v>
      </c>
      <c r="R506">
        <f>(P506*0.5)+(Q506*0.3)+(N506*0.1)+(M506*0.1)</f>
        <v>2.8000000000000003</v>
      </c>
      <c r="S506" t="str">
        <f t="shared" si="7"/>
        <v>MEDIUM</v>
      </c>
    </row>
    <row r="507" spans="1:19" x14ac:dyDescent="0.3">
      <c r="A507">
        <v>43</v>
      </c>
      <c r="B507" t="s">
        <v>15</v>
      </c>
      <c r="C507">
        <v>435166.65</v>
      </c>
      <c r="D507" t="s">
        <v>1023</v>
      </c>
      <c r="E507">
        <v>435166.65</v>
      </c>
      <c r="F507">
        <v>0</v>
      </c>
      <c r="G507" t="s">
        <v>1024</v>
      </c>
      <c r="H507">
        <v>0</v>
      </c>
      <c r="I507">
        <v>0</v>
      </c>
      <c r="J507">
        <v>1</v>
      </c>
      <c r="K507">
        <v>0</v>
      </c>
      <c r="L507">
        <v>19</v>
      </c>
      <c r="M507">
        <v>0</v>
      </c>
      <c r="N507">
        <v>1</v>
      </c>
      <c r="O507">
        <v>435166.65</v>
      </c>
      <c r="P507">
        <f>IF(C507&gt;=200000,5,IF(C507&gt;=100000,4,IF(C507&gt;=50000,3,IF(C507&gt;=10000,2,1))))</f>
        <v>5</v>
      </c>
      <c r="Q507">
        <f>IF(B507="TRANSFER",5,IF(B507="CASH_OUT",4,IF(B507="DEBIT",2,1)))</f>
        <v>5</v>
      </c>
      <c r="R507">
        <f>(P507*0.5)+(Q507*0.3)+(N507*0.1)+(M507*0.1)</f>
        <v>4.0999999999999996</v>
      </c>
      <c r="S507" t="str">
        <f t="shared" si="7"/>
        <v>HIGH</v>
      </c>
    </row>
    <row r="508" spans="1:19" x14ac:dyDescent="0.3">
      <c r="A508">
        <v>43</v>
      </c>
      <c r="B508" t="s">
        <v>18</v>
      </c>
      <c r="C508">
        <v>435166.65</v>
      </c>
      <c r="D508" t="s">
        <v>1025</v>
      </c>
      <c r="E508">
        <v>435166.65</v>
      </c>
      <c r="F508">
        <v>0</v>
      </c>
      <c r="G508" t="s">
        <v>1026</v>
      </c>
      <c r="H508">
        <v>449215.85</v>
      </c>
      <c r="I508">
        <v>884382.5</v>
      </c>
      <c r="J508">
        <v>1</v>
      </c>
      <c r="K508">
        <v>0</v>
      </c>
      <c r="L508">
        <v>19</v>
      </c>
      <c r="M508">
        <v>0</v>
      </c>
      <c r="N508">
        <v>1</v>
      </c>
      <c r="O508">
        <v>435166.65</v>
      </c>
      <c r="P508">
        <f>IF(C508&gt;=200000,5,IF(C508&gt;=100000,4,IF(C508&gt;=50000,3,IF(C508&gt;=10000,2,1))))</f>
        <v>5</v>
      </c>
      <c r="Q508">
        <f>IF(B508="TRANSFER",5,IF(B508="CASH_OUT",4,IF(B508="DEBIT",2,1)))</f>
        <v>4</v>
      </c>
      <c r="R508">
        <f>(P508*0.5)+(Q508*0.3)+(N508*0.1)+(M508*0.1)</f>
        <v>3.8000000000000003</v>
      </c>
      <c r="S508" t="str">
        <f t="shared" si="7"/>
        <v>HIGH</v>
      </c>
    </row>
    <row r="509" spans="1:19" x14ac:dyDescent="0.3">
      <c r="A509">
        <v>43</v>
      </c>
      <c r="B509" t="s">
        <v>15</v>
      </c>
      <c r="C509">
        <v>21987</v>
      </c>
      <c r="D509" t="s">
        <v>1027</v>
      </c>
      <c r="E509">
        <v>21987</v>
      </c>
      <c r="F509">
        <v>0</v>
      </c>
      <c r="G509" t="s">
        <v>1028</v>
      </c>
      <c r="H509">
        <v>0</v>
      </c>
      <c r="I509">
        <v>0</v>
      </c>
      <c r="J509">
        <v>1</v>
      </c>
      <c r="K509">
        <v>0</v>
      </c>
      <c r="L509">
        <v>19</v>
      </c>
      <c r="M509">
        <v>0</v>
      </c>
      <c r="N509">
        <v>1</v>
      </c>
      <c r="O509">
        <v>21987</v>
      </c>
      <c r="P509">
        <f>IF(C509&gt;=200000,5,IF(C509&gt;=100000,4,IF(C509&gt;=50000,3,IF(C509&gt;=10000,2,1))))</f>
        <v>2</v>
      </c>
      <c r="Q509">
        <f>IF(B509="TRANSFER",5,IF(B509="CASH_OUT",4,IF(B509="DEBIT",2,1)))</f>
        <v>5</v>
      </c>
      <c r="R509">
        <f>(P509*0.5)+(Q509*0.3)+(N509*0.1)+(M509*0.1)</f>
        <v>2.6</v>
      </c>
      <c r="S509" t="str">
        <f t="shared" si="7"/>
        <v>MEDIUM</v>
      </c>
    </row>
    <row r="510" spans="1:19" x14ac:dyDescent="0.3">
      <c r="A510">
        <v>43</v>
      </c>
      <c r="B510" t="s">
        <v>18</v>
      </c>
      <c r="C510">
        <v>21987</v>
      </c>
      <c r="D510" t="s">
        <v>1029</v>
      </c>
      <c r="E510">
        <v>21987</v>
      </c>
      <c r="F510">
        <v>0</v>
      </c>
      <c r="G510" t="s">
        <v>1030</v>
      </c>
      <c r="H510">
        <v>123690.93</v>
      </c>
      <c r="I510">
        <v>145677.94</v>
      </c>
      <c r="J510">
        <v>1</v>
      </c>
      <c r="K510">
        <v>0</v>
      </c>
      <c r="L510">
        <v>19</v>
      </c>
      <c r="M510">
        <v>0</v>
      </c>
      <c r="N510">
        <v>1</v>
      </c>
      <c r="O510">
        <v>21987</v>
      </c>
      <c r="P510">
        <f>IF(C510&gt;=200000,5,IF(C510&gt;=100000,4,IF(C510&gt;=50000,3,IF(C510&gt;=10000,2,1))))</f>
        <v>2</v>
      </c>
      <c r="Q510">
        <f>IF(B510="TRANSFER",5,IF(B510="CASH_OUT",4,IF(B510="DEBIT",2,1)))</f>
        <v>4</v>
      </c>
      <c r="R510">
        <f>(P510*0.5)+(Q510*0.3)+(N510*0.1)+(M510*0.1)</f>
        <v>2.3000000000000003</v>
      </c>
      <c r="S510" t="str">
        <f t="shared" si="7"/>
        <v>MEDIUM</v>
      </c>
    </row>
    <row r="511" spans="1:19" x14ac:dyDescent="0.3">
      <c r="A511">
        <v>43</v>
      </c>
      <c r="B511" t="s">
        <v>15</v>
      </c>
      <c r="C511">
        <v>362152.77</v>
      </c>
      <c r="D511" t="s">
        <v>1031</v>
      </c>
      <c r="E511">
        <v>362152.77</v>
      </c>
      <c r="F511">
        <v>0</v>
      </c>
      <c r="G511" t="s">
        <v>1032</v>
      </c>
      <c r="H511">
        <v>0</v>
      </c>
      <c r="I511">
        <v>0</v>
      </c>
      <c r="J511">
        <v>1</v>
      </c>
      <c r="K511">
        <v>0</v>
      </c>
      <c r="L511">
        <v>19</v>
      </c>
      <c r="M511">
        <v>0</v>
      </c>
      <c r="N511">
        <v>1</v>
      </c>
      <c r="O511">
        <v>362152.77</v>
      </c>
      <c r="P511">
        <f>IF(C511&gt;=200000,5,IF(C511&gt;=100000,4,IF(C511&gt;=50000,3,IF(C511&gt;=10000,2,1))))</f>
        <v>5</v>
      </c>
      <c r="Q511">
        <f>IF(B511="TRANSFER",5,IF(B511="CASH_OUT",4,IF(B511="DEBIT",2,1)))</f>
        <v>5</v>
      </c>
      <c r="R511">
        <f>(P511*0.5)+(Q511*0.3)+(N511*0.1)+(M511*0.1)</f>
        <v>4.0999999999999996</v>
      </c>
      <c r="S511" t="str">
        <f t="shared" si="7"/>
        <v>HIGH</v>
      </c>
    </row>
    <row r="512" spans="1:19" x14ac:dyDescent="0.3">
      <c r="A512">
        <v>43</v>
      </c>
      <c r="B512" t="s">
        <v>18</v>
      </c>
      <c r="C512">
        <v>362152.77</v>
      </c>
      <c r="D512" t="s">
        <v>1033</v>
      </c>
      <c r="E512">
        <v>362152.77</v>
      </c>
      <c r="F512">
        <v>0</v>
      </c>
      <c r="G512" t="s">
        <v>1034</v>
      </c>
      <c r="H512">
        <v>282809.46999999997</v>
      </c>
      <c r="I512">
        <v>644962.23</v>
      </c>
      <c r="J512">
        <v>1</v>
      </c>
      <c r="K512">
        <v>0</v>
      </c>
      <c r="L512">
        <v>19</v>
      </c>
      <c r="M512">
        <v>0</v>
      </c>
      <c r="N512">
        <v>1</v>
      </c>
      <c r="O512">
        <v>362152.77</v>
      </c>
      <c r="P512">
        <f>IF(C512&gt;=200000,5,IF(C512&gt;=100000,4,IF(C512&gt;=50000,3,IF(C512&gt;=10000,2,1))))</f>
        <v>5</v>
      </c>
      <c r="Q512">
        <f>IF(B512="TRANSFER",5,IF(B512="CASH_OUT",4,IF(B512="DEBIT",2,1)))</f>
        <v>4</v>
      </c>
      <c r="R512">
        <f>(P512*0.5)+(Q512*0.3)+(N512*0.1)+(M512*0.1)</f>
        <v>3.8000000000000003</v>
      </c>
      <c r="S512" t="str">
        <f t="shared" si="7"/>
        <v>HIGH</v>
      </c>
    </row>
    <row r="513" spans="1:19" x14ac:dyDescent="0.3">
      <c r="A513">
        <v>44</v>
      </c>
      <c r="B513" t="s">
        <v>15</v>
      </c>
      <c r="C513">
        <v>1649818.97</v>
      </c>
      <c r="D513" t="s">
        <v>1035</v>
      </c>
      <c r="E513">
        <v>1649818.97</v>
      </c>
      <c r="F513">
        <v>0</v>
      </c>
      <c r="G513" t="s">
        <v>1036</v>
      </c>
      <c r="H513">
        <v>0</v>
      </c>
      <c r="I513">
        <v>0</v>
      </c>
      <c r="J513">
        <v>1</v>
      </c>
      <c r="K513">
        <v>0</v>
      </c>
      <c r="L513">
        <v>20</v>
      </c>
      <c r="M513">
        <v>0</v>
      </c>
      <c r="N513">
        <v>1</v>
      </c>
      <c r="O513">
        <v>1649818.97</v>
      </c>
      <c r="P513">
        <f>IF(C513&gt;=200000,5,IF(C513&gt;=100000,4,IF(C513&gt;=50000,3,IF(C513&gt;=10000,2,1))))</f>
        <v>5</v>
      </c>
      <c r="Q513">
        <f>IF(B513="TRANSFER",5,IF(B513="CASH_OUT",4,IF(B513="DEBIT",2,1)))</f>
        <v>5</v>
      </c>
      <c r="R513">
        <f>(P513*0.5)+(Q513*0.3)+(N513*0.1)+(M513*0.1)</f>
        <v>4.0999999999999996</v>
      </c>
      <c r="S513" t="str">
        <f t="shared" si="7"/>
        <v>HIGH</v>
      </c>
    </row>
    <row r="514" spans="1:19" x14ac:dyDescent="0.3">
      <c r="A514">
        <v>44</v>
      </c>
      <c r="B514" t="s">
        <v>18</v>
      </c>
      <c r="C514">
        <v>1649818.97</v>
      </c>
      <c r="D514" t="s">
        <v>1037</v>
      </c>
      <c r="E514">
        <v>1649818.97</v>
      </c>
      <c r="F514">
        <v>0</v>
      </c>
      <c r="G514" t="s">
        <v>1038</v>
      </c>
      <c r="H514">
        <v>560704.68000000005</v>
      </c>
      <c r="I514">
        <v>2210523.64</v>
      </c>
      <c r="J514">
        <v>1</v>
      </c>
      <c r="K514">
        <v>0</v>
      </c>
      <c r="L514">
        <v>20</v>
      </c>
      <c r="M514">
        <v>0</v>
      </c>
      <c r="N514">
        <v>1</v>
      </c>
      <c r="O514">
        <v>1649818.97</v>
      </c>
      <c r="P514">
        <f>IF(C514&gt;=200000,5,IF(C514&gt;=100000,4,IF(C514&gt;=50000,3,IF(C514&gt;=10000,2,1))))</f>
        <v>5</v>
      </c>
      <c r="Q514">
        <f>IF(B514="TRANSFER",5,IF(B514="CASH_OUT",4,IF(B514="DEBIT",2,1)))</f>
        <v>4</v>
      </c>
      <c r="R514">
        <f>(P514*0.5)+(Q514*0.3)+(N514*0.1)+(M514*0.1)</f>
        <v>3.8000000000000003</v>
      </c>
      <c r="S514" t="str">
        <f t="shared" si="7"/>
        <v>HIGH</v>
      </c>
    </row>
    <row r="515" spans="1:19" x14ac:dyDescent="0.3">
      <c r="A515">
        <v>44</v>
      </c>
      <c r="B515" t="s">
        <v>15</v>
      </c>
      <c r="C515">
        <v>387952.42</v>
      </c>
      <c r="D515" t="s">
        <v>1039</v>
      </c>
      <c r="E515">
        <v>387952.42</v>
      </c>
      <c r="F515">
        <v>0</v>
      </c>
      <c r="G515" t="s">
        <v>1040</v>
      </c>
      <c r="H515">
        <v>0</v>
      </c>
      <c r="I515">
        <v>0</v>
      </c>
      <c r="J515">
        <v>1</v>
      </c>
      <c r="K515">
        <v>0</v>
      </c>
      <c r="L515">
        <v>20</v>
      </c>
      <c r="M515">
        <v>0</v>
      </c>
      <c r="N515">
        <v>1</v>
      </c>
      <c r="O515">
        <v>387952.42</v>
      </c>
      <c r="P515">
        <f>IF(C515&gt;=200000,5,IF(C515&gt;=100000,4,IF(C515&gt;=50000,3,IF(C515&gt;=10000,2,1))))</f>
        <v>5</v>
      </c>
      <c r="Q515">
        <f>IF(B515="TRANSFER",5,IF(B515="CASH_OUT",4,IF(B515="DEBIT",2,1)))</f>
        <v>5</v>
      </c>
      <c r="R515">
        <f>(P515*0.5)+(Q515*0.3)+(N515*0.1)+(M515*0.1)</f>
        <v>4.0999999999999996</v>
      </c>
      <c r="S515" t="str">
        <f t="shared" ref="S515:S578" si="8">IF(R515&gt;=3,"HIGH",IF(R515&gt;=2,"MEDIUM","LOW"))</f>
        <v>HIGH</v>
      </c>
    </row>
    <row r="516" spans="1:19" x14ac:dyDescent="0.3">
      <c r="A516">
        <v>44</v>
      </c>
      <c r="B516" t="s">
        <v>18</v>
      </c>
      <c r="C516">
        <v>387952.42</v>
      </c>
      <c r="D516" t="s">
        <v>1041</v>
      </c>
      <c r="E516">
        <v>387952.42</v>
      </c>
      <c r="F516">
        <v>0</v>
      </c>
      <c r="G516" t="s">
        <v>1042</v>
      </c>
      <c r="H516">
        <v>2070655.98</v>
      </c>
      <c r="I516">
        <v>2222177.16</v>
      </c>
      <c r="J516">
        <v>1</v>
      </c>
      <c r="K516">
        <v>0</v>
      </c>
      <c r="L516">
        <v>20</v>
      </c>
      <c r="M516">
        <v>0</v>
      </c>
      <c r="N516">
        <v>1</v>
      </c>
      <c r="O516">
        <v>387952.42</v>
      </c>
      <c r="P516">
        <f>IF(C516&gt;=200000,5,IF(C516&gt;=100000,4,IF(C516&gt;=50000,3,IF(C516&gt;=10000,2,1))))</f>
        <v>5</v>
      </c>
      <c r="Q516">
        <f>IF(B516="TRANSFER",5,IF(B516="CASH_OUT",4,IF(B516="DEBIT",2,1)))</f>
        <v>4</v>
      </c>
      <c r="R516">
        <f>(P516*0.5)+(Q516*0.3)+(N516*0.1)+(M516*0.1)</f>
        <v>3.8000000000000003</v>
      </c>
      <c r="S516" t="str">
        <f t="shared" si="8"/>
        <v>HIGH</v>
      </c>
    </row>
    <row r="517" spans="1:19" x14ac:dyDescent="0.3">
      <c r="A517">
        <v>44</v>
      </c>
      <c r="B517" t="s">
        <v>15</v>
      </c>
      <c r="C517">
        <v>44571.94</v>
      </c>
      <c r="D517" t="s">
        <v>1043</v>
      </c>
      <c r="E517">
        <v>44571.94</v>
      </c>
      <c r="F517">
        <v>0</v>
      </c>
      <c r="G517" t="s">
        <v>1044</v>
      </c>
      <c r="H517">
        <v>0</v>
      </c>
      <c r="I517">
        <v>0</v>
      </c>
      <c r="J517">
        <v>1</v>
      </c>
      <c r="K517">
        <v>0</v>
      </c>
      <c r="L517">
        <v>20</v>
      </c>
      <c r="M517">
        <v>0</v>
      </c>
      <c r="N517">
        <v>1</v>
      </c>
      <c r="O517">
        <v>44571.94</v>
      </c>
      <c r="P517">
        <f>IF(C517&gt;=200000,5,IF(C517&gt;=100000,4,IF(C517&gt;=50000,3,IF(C517&gt;=10000,2,1))))</f>
        <v>2</v>
      </c>
      <c r="Q517">
        <f>IF(B517="TRANSFER",5,IF(B517="CASH_OUT",4,IF(B517="DEBIT",2,1)))</f>
        <v>5</v>
      </c>
      <c r="R517">
        <f>(P517*0.5)+(Q517*0.3)+(N517*0.1)+(M517*0.1)</f>
        <v>2.6</v>
      </c>
      <c r="S517" t="str">
        <f t="shared" si="8"/>
        <v>MEDIUM</v>
      </c>
    </row>
    <row r="518" spans="1:19" x14ac:dyDescent="0.3">
      <c r="A518">
        <v>44</v>
      </c>
      <c r="B518" t="s">
        <v>18</v>
      </c>
      <c r="C518">
        <v>44571.94</v>
      </c>
      <c r="D518" t="s">
        <v>1045</v>
      </c>
      <c r="E518">
        <v>44571.94</v>
      </c>
      <c r="F518">
        <v>0</v>
      </c>
      <c r="G518" t="s">
        <v>1046</v>
      </c>
      <c r="H518">
        <v>11984</v>
      </c>
      <c r="I518">
        <v>0</v>
      </c>
      <c r="J518">
        <v>1</v>
      </c>
      <c r="K518">
        <v>0</v>
      </c>
      <c r="L518">
        <v>20</v>
      </c>
      <c r="M518">
        <v>0</v>
      </c>
      <c r="N518">
        <v>1</v>
      </c>
      <c r="O518">
        <v>44571.94</v>
      </c>
      <c r="P518">
        <f>IF(C518&gt;=200000,5,IF(C518&gt;=100000,4,IF(C518&gt;=50000,3,IF(C518&gt;=10000,2,1))))</f>
        <v>2</v>
      </c>
      <c r="Q518">
        <f>IF(B518="TRANSFER",5,IF(B518="CASH_OUT",4,IF(B518="DEBIT",2,1)))</f>
        <v>4</v>
      </c>
      <c r="R518">
        <f>(P518*0.5)+(Q518*0.3)+(N518*0.1)+(M518*0.1)</f>
        <v>2.3000000000000003</v>
      </c>
      <c r="S518" t="str">
        <f t="shared" si="8"/>
        <v>MEDIUM</v>
      </c>
    </row>
    <row r="519" spans="1:19" x14ac:dyDescent="0.3">
      <c r="A519">
        <v>44</v>
      </c>
      <c r="B519" t="s">
        <v>15</v>
      </c>
      <c r="C519">
        <v>534255.93999999994</v>
      </c>
      <c r="D519" t="s">
        <v>1047</v>
      </c>
      <c r="E519">
        <v>534255.93999999994</v>
      </c>
      <c r="F519">
        <v>0</v>
      </c>
      <c r="G519" t="s">
        <v>1048</v>
      </c>
      <c r="H519">
        <v>0</v>
      </c>
      <c r="I519">
        <v>0</v>
      </c>
      <c r="J519">
        <v>1</v>
      </c>
      <c r="K519">
        <v>0</v>
      </c>
      <c r="L519">
        <v>20</v>
      </c>
      <c r="M519">
        <v>0</v>
      </c>
      <c r="N519">
        <v>1</v>
      </c>
      <c r="O519">
        <v>534255.93999999994</v>
      </c>
      <c r="P519">
        <f>IF(C519&gt;=200000,5,IF(C519&gt;=100000,4,IF(C519&gt;=50000,3,IF(C519&gt;=10000,2,1))))</f>
        <v>5</v>
      </c>
      <c r="Q519">
        <f>IF(B519="TRANSFER",5,IF(B519="CASH_OUT",4,IF(B519="DEBIT",2,1)))</f>
        <v>5</v>
      </c>
      <c r="R519">
        <f>(P519*0.5)+(Q519*0.3)+(N519*0.1)+(M519*0.1)</f>
        <v>4.0999999999999996</v>
      </c>
      <c r="S519" t="str">
        <f t="shared" si="8"/>
        <v>HIGH</v>
      </c>
    </row>
    <row r="520" spans="1:19" x14ac:dyDescent="0.3">
      <c r="A520">
        <v>44</v>
      </c>
      <c r="B520" t="s">
        <v>18</v>
      </c>
      <c r="C520">
        <v>534255.93999999994</v>
      </c>
      <c r="D520" t="s">
        <v>1049</v>
      </c>
      <c r="E520">
        <v>534255.93999999994</v>
      </c>
      <c r="F520">
        <v>0</v>
      </c>
      <c r="G520" t="s">
        <v>1050</v>
      </c>
      <c r="H520">
        <v>24559</v>
      </c>
      <c r="I520">
        <v>558814.93999999994</v>
      </c>
      <c r="J520">
        <v>1</v>
      </c>
      <c r="K520">
        <v>0</v>
      </c>
      <c r="L520">
        <v>20</v>
      </c>
      <c r="M520">
        <v>0</v>
      </c>
      <c r="N520">
        <v>1</v>
      </c>
      <c r="O520">
        <v>534255.93999999994</v>
      </c>
      <c r="P520">
        <f>IF(C520&gt;=200000,5,IF(C520&gt;=100000,4,IF(C520&gt;=50000,3,IF(C520&gt;=10000,2,1))))</f>
        <v>5</v>
      </c>
      <c r="Q520">
        <f>IF(B520="TRANSFER",5,IF(B520="CASH_OUT",4,IF(B520="DEBIT",2,1)))</f>
        <v>4</v>
      </c>
      <c r="R520">
        <f>(P520*0.5)+(Q520*0.3)+(N520*0.1)+(M520*0.1)</f>
        <v>3.8000000000000003</v>
      </c>
      <c r="S520" t="str">
        <f t="shared" si="8"/>
        <v>HIGH</v>
      </c>
    </row>
    <row r="521" spans="1:19" x14ac:dyDescent="0.3">
      <c r="A521">
        <v>45</v>
      </c>
      <c r="B521" t="s">
        <v>15</v>
      </c>
      <c r="C521">
        <v>213983.59</v>
      </c>
      <c r="D521" t="s">
        <v>1051</v>
      </c>
      <c r="E521">
        <v>213983.59</v>
      </c>
      <c r="F521">
        <v>0</v>
      </c>
      <c r="G521" t="s">
        <v>1052</v>
      </c>
      <c r="H521">
        <v>0</v>
      </c>
      <c r="I521">
        <v>0</v>
      </c>
      <c r="J521">
        <v>1</v>
      </c>
      <c r="K521">
        <v>0</v>
      </c>
      <c r="L521">
        <v>21</v>
      </c>
      <c r="M521">
        <v>0</v>
      </c>
      <c r="N521">
        <v>1</v>
      </c>
      <c r="O521">
        <v>213983.59</v>
      </c>
      <c r="P521">
        <f>IF(C521&gt;=200000,5,IF(C521&gt;=100000,4,IF(C521&gt;=50000,3,IF(C521&gt;=10000,2,1))))</f>
        <v>5</v>
      </c>
      <c r="Q521">
        <f>IF(B521="TRANSFER",5,IF(B521="CASH_OUT",4,IF(B521="DEBIT",2,1)))</f>
        <v>5</v>
      </c>
      <c r="R521">
        <f>(P521*0.5)+(Q521*0.3)+(N521*0.1)+(M521*0.1)</f>
        <v>4.0999999999999996</v>
      </c>
      <c r="S521" t="str">
        <f t="shared" si="8"/>
        <v>HIGH</v>
      </c>
    </row>
    <row r="522" spans="1:19" x14ac:dyDescent="0.3">
      <c r="A522">
        <v>45</v>
      </c>
      <c r="B522" t="s">
        <v>18</v>
      </c>
      <c r="C522">
        <v>213983.59</v>
      </c>
      <c r="D522" t="s">
        <v>1053</v>
      </c>
      <c r="E522">
        <v>213983.59</v>
      </c>
      <c r="F522">
        <v>0</v>
      </c>
      <c r="G522" t="s">
        <v>1054</v>
      </c>
      <c r="H522">
        <v>0</v>
      </c>
      <c r="I522">
        <v>213983.59</v>
      </c>
      <c r="J522">
        <v>1</v>
      </c>
      <c r="K522">
        <v>0</v>
      </c>
      <c r="L522">
        <v>21</v>
      </c>
      <c r="M522">
        <v>0</v>
      </c>
      <c r="N522">
        <v>1</v>
      </c>
      <c r="O522">
        <v>213983.59</v>
      </c>
      <c r="P522">
        <f>IF(C522&gt;=200000,5,IF(C522&gt;=100000,4,IF(C522&gt;=50000,3,IF(C522&gt;=10000,2,1))))</f>
        <v>5</v>
      </c>
      <c r="Q522">
        <f>IF(B522="TRANSFER",5,IF(B522="CASH_OUT",4,IF(B522="DEBIT",2,1)))</f>
        <v>4</v>
      </c>
      <c r="R522">
        <f>(P522*0.5)+(Q522*0.3)+(N522*0.1)+(M522*0.1)</f>
        <v>3.8000000000000003</v>
      </c>
      <c r="S522" t="str">
        <f t="shared" si="8"/>
        <v>HIGH</v>
      </c>
    </row>
    <row r="523" spans="1:19" x14ac:dyDescent="0.3">
      <c r="A523">
        <v>45</v>
      </c>
      <c r="B523" t="s">
        <v>15</v>
      </c>
      <c r="C523">
        <v>217255.97</v>
      </c>
      <c r="D523" t="s">
        <v>1055</v>
      </c>
      <c r="E523">
        <v>217255.97</v>
      </c>
      <c r="F523">
        <v>0</v>
      </c>
      <c r="G523" t="s">
        <v>1056</v>
      </c>
      <c r="H523">
        <v>0</v>
      </c>
      <c r="I523">
        <v>0</v>
      </c>
      <c r="J523">
        <v>1</v>
      </c>
      <c r="K523">
        <v>0</v>
      </c>
      <c r="L523">
        <v>21</v>
      </c>
      <c r="M523">
        <v>0</v>
      </c>
      <c r="N523">
        <v>1</v>
      </c>
      <c r="O523">
        <v>217255.97</v>
      </c>
      <c r="P523">
        <f>IF(C523&gt;=200000,5,IF(C523&gt;=100000,4,IF(C523&gt;=50000,3,IF(C523&gt;=10000,2,1))))</f>
        <v>5</v>
      </c>
      <c r="Q523">
        <f>IF(B523="TRANSFER",5,IF(B523="CASH_OUT",4,IF(B523="DEBIT",2,1)))</f>
        <v>5</v>
      </c>
      <c r="R523">
        <f>(P523*0.5)+(Q523*0.3)+(N523*0.1)+(M523*0.1)</f>
        <v>4.0999999999999996</v>
      </c>
      <c r="S523" t="str">
        <f t="shared" si="8"/>
        <v>HIGH</v>
      </c>
    </row>
    <row r="524" spans="1:19" x14ac:dyDescent="0.3">
      <c r="A524">
        <v>45</v>
      </c>
      <c r="B524" t="s">
        <v>18</v>
      </c>
      <c r="C524">
        <v>217255.97</v>
      </c>
      <c r="D524" t="s">
        <v>1057</v>
      </c>
      <c r="E524">
        <v>217255.97</v>
      </c>
      <c r="F524">
        <v>0</v>
      </c>
      <c r="G524" t="s">
        <v>1058</v>
      </c>
      <c r="H524">
        <v>2115234.86</v>
      </c>
      <c r="I524">
        <v>2332490.8199999998</v>
      </c>
      <c r="J524">
        <v>1</v>
      </c>
      <c r="K524">
        <v>0</v>
      </c>
      <c r="L524">
        <v>21</v>
      </c>
      <c r="M524">
        <v>0</v>
      </c>
      <c r="N524">
        <v>1</v>
      </c>
      <c r="O524">
        <v>217255.97</v>
      </c>
      <c r="P524">
        <f>IF(C524&gt;=200000,5,IF(C524&gt;=100000,4,IF(C524&gt;=50000,3,IF(C524&gt;=10000,2,1))))</f>
        <v>5</v>
      </c>
      <c r="Q524">
        <f>IF(B524="TRANSFER",5,IF(B524="CASH_OUT",4,IF(B524="DEBIT",2,1)))</f>
        <v>4</v>
      </c>
      <c r="R524">
        <f>(P524*0.5)+(Q524*0.3)+(N524*0.1)+(M524*0.1)</f>
        <v>3.8000000000000003</v>
      </c>
      <c r="S524" t="str">
        <f t="shared" si="8"/>
        <v>HIGH</v>
      </c>
    </row>
    <row r="525" spans="1:19" x14ac:dyDescent="0.3">
      <c r="A525">
        <v>45</v>
      </c>
      <c r="B525" t="s">
        <v>15</v>
      </c>
      <c r="C525">
        <v>1069508.42</v>
      </c>
      <c r="D525" t="s">
        <v>1059</v>
      </c>
      <c r="E525">
        <v>1069508.42</v>
      </c>
      <c r="F525">
        <v>0</v>
      </c>
      <c r="G525" t="s">
        <v>1060</v>
      </c>
      <c r="H525">
        <v>0</v>
      </c>
      <c r="I525">
        <v>0</v>
      </c>
      <c r="J525">
        <v>1</v>
      </c>
      <c r="K525">
        <v>0</v>
      </c>
      <c r="L525">
        <v>21</v>
      </c>
      <c r="M525">
        <v>0</v>
      </c>
      <c r="N525">
        <v>1</v>
      </c>
      <c r="O525">
        <v>1069508.42</v>
      </c>
      <c r="P525">
        <f>IF(C525&gt;=200000,5,IF(C525&gt;=100000,4,IF(C525&gt;=50000,3,IF(C525&gt;=10000,2,1))))</f>
        <v>5</v>
      </c>
      <c r="Q525">
        <f>IF(B525="TRANSFER",5,IF(B525="CASH_OUT",4,IF(B525="DEBIT",2,1)))</f>
        <v>5</v>
      </c>
      <c r="R525">
        <f>(P525*0.5)+(Q525*0.3)+(N525*0.1)+(M525*0.1)</f>
        <v>4.0999999999999996</v>
      </c>
      <c r="S525" t="str">
        <f t="shared" si="8"/>
        <v>HIGH</v>
      </c>
    </row>
    <row r="526" spans="1:19" x14ac:dyDescent="0.3">
      <c r="A526">
        <v>45</v>
      </c>
      <c r="B526" t="s">
        <v>18</v>
      </c>
      <c r="C526">
        <v>1069508.42</v>
      </c>
      <c r="D526" t="s">
        <v>1061</v>
      </c>
      <c r="E526">
        <v>1069508.42</v>
      </c>
      <c r="F526">
        <v>0</v>
      </c>
      <c r="G526" t="s">
        <v>1062</v>
      </c>
      <c r="H526">
        <v>172254</v>
      </c>
      <c r="I526">
        <v>1439496.96</v>
      </c>
      <c r="J526">
        <v>1</v>
      </c>
      <c r="K526">
        <v>0</v>
      </c>
      <c r="L526">
        <v>21</v>
      </c>
      <c r="M526">
        <v>0</v>
      </c>
      <c r="N526">
        <v>1</v>
      </c>
      <c r="O526">
        <v>1069508.42</v>
      </c>
      <c r="P526">
        <f>IF(C526&gt;=200000,5,IF(C526&gt;=100000,4,IF(C526&gt;=50000,3,IF(C526&gt;=10000,2,1))))</f>
        <v>5</v>
      </c>
      <c r="Q526">
        <f>IF(B526="TRANSFER",5,IF(B526="CASH_OUT",4,IF(B526="DEBIT",2,1)))</f>
        <v>4</v>
      </c>
      <c r="R526">
        <f>(P526*0.5)+(Q526*0.3)+(N526*0.1)+(M526*0.1)</f>
        <v>3.8000000000000003</v>
      </c>
      <c r="S526" t="str">
        <f t="shared" si="8"/>
        <v>HIGH</v>
      </c>
    </row>
    <row r="527" spans="1:19" x14ac:dyDescent="0.3">
      <c r="A527">
        <v>45</v>
      </c>
      <c r="B527" t="s">
        <v>15</v>
      </c>
      <c r="C527">
        <v>5188875.3499999996</v>
      </c>
      <c r="D527" t="s">
        <v>1063</v>
      </c>
      <c r="E527">
        <v>5188875.3499999996</v>
      </c>
      <c r="F527">
        <v>0</v>
      </c>
      <c r="G527" t="s">
        <v>1064</v>
      </c>
      <c r="H527">
        <v>0</v>
      </c>
      <c r="I527">
        <v>0</v>
      </c>
      <c r="J527">
        <v>1</v>
      </c>
      <c r="K527">
        <v>0</v>
      </c>
      <c r="L527">
        <v>21</v>
      </c>
      <c r="M527">
        <v>0</v>
      </c>
      <c r="N527">
        <v>1</v>
      </c>
      <c r="O527">
        <v>5188875.3499999996</v>
      </c>
      <c r="P527">
        <f>IF(C527&gt;=200000,5,IF(C527&gt;=100000,4,IF(C527&gt;=50000,3,IF(C527&gt;=10000,2,1))))</f>
        <v>5</v>
      </c>
      <c r="Q527">
        <f>IF(B527="TRANSFER",5,IF(B527="CASH_OUT",4,IF(B527="DEBIT",2,1)))</f>
        <v>5</v>
      </c>
      <c r="R527">
        <f>(P527*0.5)+(Q527*0.3)+(N527*0.1)+(M527*0.1)</f>
        <v>4.0999999999999996</v>
      </c>
      <c r="S527" t="str">
        <f t="shared" si="8"/>
        <v>HIGH</v>
      </c>
    </row>
    <row r="528" spans="1:19" x14ac:dyDescent="0.3">
      <c r="A528">
        <v>45</v>
      </c>
      <c r="B528" t="s">
        <v>18</v>
      </c>
      <c r="C528">
        <v>5188875.3499999996</v>
      </c>
      <c r="D528" t="s">
        <v>1065</v>
      </c>
      <c r="E528">
        <v>5188875.3499999996</v>
      </c>
      <c r="F528">
        <v>0</v>
      </c>
      <c r="G528" t="s">
        <v>1066</v>
      </c>
      <c r="H528">
        <v>11465</v>
      </c>
      <c r="I528">
        <v>5020573.28</v>
      </c>
      <c r="J528">
        <v>1</v>
      </c>
      <c r="K528">
        <v>0</v>
      </c>
      <c r="L528">
        <v>21</v>
      </c>
      <c r="M528">
        <v>0</v>
      </c>
      <c r="N528">
        <v>1</v>
      </c>
      <c r="O528">
        <v>5188875.3499999996</v>
      </c>
      <c r="P528">
        <f>IF(C528&gt;=200000,5,IF(C528&gt;=100000,4,IF(C528&gt;=50000,3,IF(C528&gt;=10000,2,1))))</f>
        <v>5</v>
      </c>
      <c r="Q528">
        <f>IF(B528="TRANSFER",5,IF(B528="CASH_OUT",4,IF(B528="DEBIT",2,1)))</f>
        <v>4</v>
      </c>
      <c r="R528">
        <f>(P528*0.5)+(Q528*0.3)+(N528*0.1)+(M528*0.1)</f>
        <v>3.8000000000000003</v>
      </c>
      <c r="S528" t="str">
        <f t="shared" si="8"/>
        <v>HIGH</v>
      </c>
    </row>
    <row r="529" spans="1:19" x14ac:dyDescent="0.3">
      <c r="A529">
        <v>45</v>
      </c>
      <c r="B529" t="s">
        <v>15</v>
      </c>
      <c r="C529">
        <v>4919642.57</v>
      </c>
      <c r="D529" t="s">
        <v>1067</v>
      </c>
      <c r="E529">
        <v>4919642.57</v>
      </c>
      <c r="F529">
        <v>0</v>
      </c>
      <c r="G529" t="s">
        <v>1068</v>
      </c>
      <c r="H529">
        <v>0</v>
      </c>
      <c r="I529">
        <v>0</v>
      </c>
      <c r="J529">
        <v>1</v>
      </c>
      <c r="K529">
        <v>0</v>
      </c>
      <c r="L529">
        <v>21</v>
      </c>
      <c r="M529">
        <v>0</v>
      </c>
      <c r="N529">
        <v>1</v>
      </c>
      <c r="O529">
        <v>4919642.57</v>
      </c>
      <c r="P529">
        <f>IF(C529&gt;=200000,5,IF(C529&gt;=100000,4,IF(C529&gt;=50000,3,IF(C529&gt;=10000,2,1))))</f>
        <v>5</v>
      </c>
      <c r="Q529">
        <f>IF(B529="TRANSFER",5,IF(B529="CASH_OUT",4,IF(B529="DEBIT",2,1)))</f>
        <v>5</v>
      </c>
      <c r="R529">
        <f>(P529*0.5)+(Q529*0.3)+(N529*0.1)+(M529*0.1)</f>
        <v>4.0999999999999996</v>
      </c>
      <c r="S529" t="str">
        <f t="shared" si="8"/>
        <v>HIGH</v>
      </c>
    </row>
    <row r="530" spans="1:19" x14ac:dyDescent="0.3">
      <c r="A530">
        <v>45</v>
      </c>
      <c r="B530" t="s">
        <v>18</v>
      </c>
      <c r="C530">
        <v>4919642.57</v>
      </c>
      <c r="D530" t="s">
        <v>1069</v>
      </c>
      <c r="E530">
        <v>4919642.57</v>
      </c>
      <c r="F530">
        <v>0</v>
      </c>
      <c r="G530" t="s">
        <v>1070</v>
      </c>
      <c r="H530">
        <v>1414095.92</v>
      </c>
      <c r="I530">
        <v>6333738.4900000002</v>
      </c>
      <c r="J530">
        <v>1</v>
      </c>
      <c r="K530">
        <v>0</v>
      </c>
      <c r="L530">
        <v>21</v>
      </c>
      <c r="M530">
        <v>0</v>
      </c>
      <c r="N530">
        <v>1</v>
      </c>
      <c r="O530">
        <v>4919642.57</v>
      </c>
      <c r="P530">
        <f>IF(C530&gt;=200000,5,IF(C530&gt;=100000,4,IF(C530&gt;=50000,3,IF(C530&gt;=10000,2,1))))</f>
        <v>5</v>
      </c>
      <c r="Q530">
        <f>IF(B530="TRANSFER",5,IF(B530="CASH_OUT",4,IF(B530="DEBIT",2,1)))</f>
        <v>4</v>
      </c>
      <c r="R530">
        <f>(P530*0.5)+(Q530*0.3)+(N530*0.1)+(M530*0.1)</f>
        <v>3.8000000000000003</v>
      </c>
      <c r="S530" t="str">
        <f t="shared" si="8"/>
        <v>HIGH</v>
      </c>
    </row>
    <row r="531" spans="1:19" x14ac:dyDescent="0.3">
      <c r="A531">
        <v>45</v>
      </c>
      <c r="B531" t="s">
        <v>15</v>
      </c>
      <c r="C531">
        <v>357836.57</v>
      </c>
      <c r="D531" t="s">
        <v>1071</v>
      </c>
      <c r="E531">
        <v>357836.57</v>
      </c>
      <c r="F531">
        <v>0</v>
      </c>
      <c r="G531" t="s">
        <v>1072</v>
      </c>
      <c r="H531">
        <v>0</v>
      </c>
      <c r="I531">
        <v>0</v>
      </c>
      <c r="J531">
        <v>1</v>
      </c>
      <c r="K531">
        <v>0</v>
      </c>
      <c r="L531">
        <v>21</v>
      </c>
      <c r="M531">
        <v>0</v>
      </c>
      <c r="N531">
        <v>1</v>
      </c>
      <c r="O531">
        <v>357836.57</v>
      </c>
      <c r="P531">
        <f>IF(C531&gt;=200000,5,IF(C531&gt;=100000,4,IF(C531&gt;=50000,3,IF(C531&gt;=10000,2,1))))</f>
        <v>5</v>
      </c>
      <c r="Q531">
        <f>IF(B531="TRANSFER",5,IF(B531="CASH_OUT",4,IF(B531="DEBIT",2,1)))</f>
        <v>5</v>
      </c>
      <c r="R531">
        <f>(P531*0.5)+(Q531*0.3)+(N531*0.1)+(M531*0.1)</f>
        <v>4.0999999999999996</v>
      </c>
      <c r="S531" t="str">
        <f t="shared" si="8"/>
        <v>HIGH</v>
      </c>
    </row>
    <row r="532" spans="1:19" x14ac:dyDescent="0.3">
      <c r="A532">
        <v>45</v>
      </c>
      <c r="B532" t="s">
        <v>18</v>
      </c>
      <c r="C532">
        <v>357836.57</v>
      </c>
      <c r="D532" t="s">
        <v>1073</v>
      </c>
      <c r="E532">
        <v>357836.57</v>
      </c>
      <c r="F532">
        <v>0</v>
      </c>
      <c r="G532" t="s">
        <v>1074</v>
      </c>
      <c r="H532">
        <v>51217.85</v>
      </c>
      <c r="I532">
        <v>409054.43</v>
      </c>
      <c r="J532">
        <v>1</v>
      </c>
      <c r="K532">
        <v>0</v>
      </c>
      <c r="L532">
        <v>21</v>
      </c>
      <c r="M532">
        <v>0</v>
      </c>
      <c r="N532">
        <v>1</v>
      </c>
      <c r="O532">
        <v>357836.57</v>
      </c>
      <c r="P532">
        <f>IF(C532&gt;=200000,5,IF(C532&gt;=100000,4,IF(C532&gt;=50000,3,IF(C532&gt;=10000,2,1))))</f>
        <v>5</v>
      </c>
      <c r="Q532">
        <f>IF(B532="TRANSFER",5,IF(B532="CASH_OUT",4,IF(B532="DEBIT",2,1)))</f>
        <v>4</v>
      </c>
      <c r="R532">
        <f>(P532*0.5)+(Q532*0.3)+(N532*0.1)+(M532*0.1)</f>
        <v>3.8000000000000003</v>
      </c>
      <c r="S532" t="str">
        <f t="shared" si="8"/>
        <v>HIGH</v>
      </c>
    </row>
    <row r="533" spans="1:19" x14ac:dyDescent="0.3">
      <c r="A533">
        <v>45</v>
      </c>
      <c r="B533" t="s">
        <v>15</v>
      </c>
      <c r="C533">
        <v>155761.29</v>
      </c>
      <c r="D533" t="s">
        <v>1075</v>
      </c>
      <c r="E533">
        <v>155761.29</v>
      </c>
      <c r="F533">
        <v>0</v>
      </c>
      <c r="G533" t="s">
        <v>1076</v>
      </c>
      <c r="H533">
        <v>0</v>
      </c>
      <c r="I533">
        <v>0</v>
      </c>
      <c r="J533">
        <v>1</v>
      </c>
      <c r="K533">
        <v>0</v>
      </c>
      <c r="L533">
        <v>21</v>
      </c>
      <c r="M533">
        <v>0</v>
      </c>
      <c r="N533">
        <v>1</v>
      </c>
      <c r="O533">
        <v>155761.29</v>
      </c>
      <c r="P533">
        <f>IF(C533&gt;=200000,5,IF(C533&gt;=100000,4,IF(C533&gt;=50000,3,IF(C533&gt;=10000,2,1))))</f>
        <v>4</v>
      </c>
      <c r="Q533">
        <f>IF(B533="TRANSFER",5,IF(B533="CASH_OUT",4,IF(B533="DEBIT",2,1)))</f>
        <v>5</v>
      </c>
      <c r="R533">
        <f>(P533*0.5)+(Q533*0.3)+(N533*0.1)+(M533*0.1)</f>
        <v>3.6</v>
      </c>
      <c r="S533" t="str">
        <f t="shared" si="8"/>
        <v>HIGH</v>
      </c>
    </row>
    <row r="534" spans="1:19" x14ac:dyDescent="0.3">
      <c r="A534">
        <v>45</v>
      </c>
      <c r="B534" t="s">
        <v>18</v>
      </c>
      <c r="C534">
        <v>155761.29</v>
      </c>
      <c r="D534" t="s">
        <v>1077</v>
      </c>
      <c r="E534">
        <v>155761.29</v>
      </c>
      <c r="F534">
        <v>0</v>
      </c>
      <c r="G534" t="s">
        <v>1078</v>
      </c>
      <c r="H534">
        <v>192775.45</v>
      </c>
      <c r="I534">
        <v>348536.74</v>
      </c>
      <c r="J534">
        <v>1</v>
      </c>
      <c r="K534">
        <v>0</v>
      </c>
      <c r="L534">
        <v>21</v>
      </c>
      <c r="M534">
        <v>0</v>
      </c>
      <c r="N534">
        <v>1</v>
      </c>
      <c r="O534">
        <v>155761.29</v>
      </c>
      <c r="P534">
        <f>IF(C534&gt;=200000,5,IF(C534&gt;=100000,4,IF(C534&gt;=50000,3,IF(C534&gt;=10000,2,1))))</f>
        <v>4</v>
      </c>
      <c r="Q534">
        <f>IF(B534="TRANSFER",5,IF(B534="CASH_OUT",4,IF(B534="DEBIT",2,1)))</f>
        <v>4</v>
      </c>
      <c r="R534">
        <f>(P534*0.5)+(Q534*0.3)+(N534*0.1)+(M534*0.1)</f>
        <v>3.3000000000000003</v>
      </c>
      <c r="S534" t="str">
        <f t="shared" si="8"/>
        <v>HIGH</v>
      </c>
    </row>
    <row r="535" spans="1:19" x14ac:dyDescent="0.3">
      <c r="A535">
        <v>45</v>
      </c>
      <c r="B535" t="s">
        <v>15</v>
      </c>
      <c r="C535">
        <v>7335355.5700000003</v>
      </c>
      <c r="D535" t="s">
        <v>1079</v>
      </c>
      <c r="E535">
        <v>7335355.5700000003</v>
      </c>
      <c r="F535">
        <v>0</v>
      </c>
      <c r="G535" t="s">
        <v>1080</v>
      </c>
      <c r="H535">
        <v>0</v>
      </c>
      <c r="I535">
        <v>0</v>
      </c>
      <c r="J535">
        <v>1</v>
      </c>
      <c r="K535">
        <v>0</v>
      </c>
      <c r="L535">
        <v>21</v>
      </c>
      <c r="M535">
        <v>0</v>
      </c>
      <c r="N535">
        <v>1</v>
      </c>
      <c r="O535">
        <v>7335355.5700000003</v>
      </c>
      <c r="P535">
        <f>IF(C535&gt;=200000,5,IF(C535&gt;=100000,4,IF(C535&gt;=50000,3,IF(C535&gt;=10000,2,1))))</f>
        <v>5</v>
      </c>
      <c r="Q535">
        <f>IF(B535="TRANSFER",5,IF(B535="CASH_OUT",4,IF(B535="DEBIT",2,1)))</f>
        <v>5</v>
      </c>
      <c r="R535">
        <f>(P535*0.5)+(Q535*0.3)+(N535*0.1)+(M535*0.1)</f>
        <v>4.0999999999999996</v>
      </c>
      <c r="S535" t="str">
        <f t="shared" si="8"/>
        <v>HIGH</v>
      </c>
    </row>
    <row r="536" spans="1:19" x14ac:dyDescent="0.3">
      <c r="A536">
        <v>45</v>
      </c>
      <c r="B536" t="s">
        <v>18</v>
      </c>
      <c r="C536">
        <v>7335355.5700000003</v>
      </c>
      <c r="D536" t="s">
        <v>1081</v>
      </c>
      <c r="E536">
        <v>7335355.5700000003</v>
      </c>
      <c r="F536">
        <v>0</v>
      </c>
      <c r="G536" t="s">
        <v>1082</v>
      </c>
      <c r="H536">
        <v>702100.11</v>
      </c>
      <c r="I536">
        <v>8037455.6799999997</v>
      </c>
      <c r="J536">
        <v>1</v>
      </c>
      <c r="K536">
        <v>0</v>
      </c>
      <c r="L536">
        <v>21</v>
      </c>
      <c r="M536">
        <v>0</v>
      </c>
      <c r="N536">
        <v>1</v>
      </c>
      <c r="O536">
        <v>7335355.5700000003</v>
      </c>
      <c r="P536">
        <f>IF(C536&gt;=200000,5,IF(C536&gt;=100000,4,IF(C536&gt;=50000,3,IF(C536&gt;=10000,2,1))))</f>
        <v>5</v>
      </c>
      <c r="Q536">
        <f>IF(B536="TRANSFER",5,IF(B536="CASH_OUT",4,IF(B536="DEBIT",2,1)))</f>
        <v>4</v>
      </c>
      <c r="R536">
        <f>(P536*0.5)+(Q536*0.3)+(N536*0.1)+(M536*0.1)</f>
        <v>3.8000000000000003</v>
      </c>
      <c r="S536" t="str">
        <f t="shared" si="8"/>
        <v>HIGH</v>
      </c>
    </row>
    <row r="537" spans="1:19" x14ac:dyDescent="0.3">
      <c r="A537">
        <v>46</v>
      </c>
      <c r="B537" t="s">
        <v>15</v>
      </c>
      <c r="C537">
        <v>9977761.0500000007</v>
      </c>
      <c r="D537" t="s">
        <v>1083</v>
      </c>
      <c r="E537">
        <v>9977761.0500000007</v>
      </c>
      <c r="F537">
        <v>0</v>
      </c>
      <c r="G537" t="s">
        <v>1084</v>
      </c>
      <c r="H537">
        <v>0</v>
      </c>
      <c r="I537">
        <v>0</v>
      </c>
      <c r="J537">
        <v>1</v>
      </c>
      <c r="K537">
        <v>0</v>
      </c>
      <c r="L537">
        <v>22</v>
      </c>
      <c r="M537">
        <v>0</v>
      </c>
      <c r="N537">
        <v>1</v>
      </c>
      <c r="O537">
        <v>9977761.0500000007</v>
      </c>
      <c r="P537">
        <f>IF(C537&gt;=200000,5,IF(C537&gt;=100000,4,IF(C537&gt;=50000,3,IF(C537&gt;=10000,2,1))))</f>
        <v>5</v>
      </c>
      <c r="Q537">
        <f>IF(B537="TRANSFER",5,IF(B537="CASH_OUT",4,IF(B537="DEBIT",2,1)))</f>
        <v>5</v>
      </c>
      <c r="R537">
        <f>(P537*0.5)+(Q537*0.3)+(N537*0.1)+(M537*0.1)</f>
        <v>4.0999999999999996</v>
      </c>
      <c r="S537" t="str">
        <f t="shared" si="8"/>
        <v>HIGH</v>
      </c>
    </row>
    <row r="538" spans="1:19" x14ac:dyDescent="0.3">
      <c r="A538">
        <v>46</v>
      </c>
      <c r="B538" t="s">
        <v>18</v>
      </c>
      <c r="C538">
        <v>9977761.0500000007</v>
      </c>
      <c r="D538" t="s">
        <v>1085</v>
      </c>
      <c r="E538">
        <v>9977761.0500000007</v>
      </c>
      <c r="F538">
        <v>0</v>
      </c>
      <c r="G538" t="s">
        <v>1086</v>
      </c>
      <c r="H538">
        <v>0</v>
      </c>
      <c r="I538">
        <v>9977761.0500000007</v>
      </c>
      <c r="J538">
        <v>1</v>
      </c>
      <c r="K538">
        <v>0</v>
      </c>
      <c r="L538">
        <v>22</v>
      </c>
      <c r="M538">
        <v>0</v>
      </c>
      <c r="N538">
        <v>1</v>
      </c>
      <c r="O538">
        <v>9977761.0500000007</v>
      </c>
      <c r="P538">
        <f>IF(C538&gt;=200000,5,IF(C538&gt;=100000,4,IF(C538&gt;=50000,3,IF(C538&gt;=10000,2,1))))</f>
        <v>5</v>
      </c>
      <c r="Q538">
        <f>IF(B538="TRANSFER",5,IF(B538="CASH_OUT",4,IF(B538="DEBIT",2,1)))</f>
        <v>4</v>
      </c>
      <c r="R538">
        <f>(P538*0.5)+(Q538*0.3)+(N538*0.1)+(M538*0.1)</f>
        <v>3.8000000000000003</v>
      </c>
      <c r="S538" t="str">
        <f t="shared" si="8"/>
        <v>HIGH</v>
      </c>
    </row>
    <row r="539" spans="1:19" x14ac:dyDescent="0.3">
      <c r="A539">
        <v>46</v>
      </c>
      <c r="B539" t="s">
        <v>15</v>
      </c>
      <c r="C539">
        <v>35016.230000000003</v>
      </c>
      <c r="D539" t="s">
        <v>1087</v>
      </c>
      <c r="E539">
        <v>35016.230000000003</v>
      </c>
      <c r="F539">
        <v>0</v>
      </c>
      <c r="G539" t="s">
        <v>1088</v>
      </c>
      <c r="H539">
        <v>0</v>
      </c>
      <c r="I539">
        <v>0</v>
      </c>
      <c r="J539">
        <v>1</v>
      </c>
      <c r="K539">
        <v>0</v>
      </c>
      <c r="L539">
        <v>22</v>
      </c>
      <c r="M539">
        <v>0</v>
      </c>
      <c r="N539">
        <v>1</v>
      </c>
      <c r="O539">
        <v>35016.230000000003</v>
      </c>
      <c r="P539">
        <f>IF(C539&gt;=200000,5,IF(C539&gt;=100000,4,IF(C539&gt;=50000,3,IF(C539&gt;=10000,2,1))))</f>
        <v>2</v>
      </c>
      <c r="Q539">
        <f>IF(B539="TRANSFER",5,IF(B539="CASH_OUT",4,IF(B539="DEBIT",2,1)))</f>
        <v>5</v>
      </c>
      <c r="R539">
        <f>(P539*0.5)+(Q539*0.3)+(N539*0.1)+(M539*0.1)</f>
        <v>2.6</v>
      </c>
      <c r="S539" t="str">
        <f t="shared" si="8"/>
        <v>MEDIUM</v>
      </c>
    </row>
    <row r="540" spans="1:19" x14ac:dyDescent="0.3">
      <c r="A540">
        <v>46</v>
      </c>
      <c r="B540" t="s">
        <v>18</v>
      </c>
      <c r="C540">
        <v>35016.230000000003</v>
      </c>
      <c r="D540" t="s">
        <v>1089</v>
      </c>
      <c r="E540">
        <v>35016.230000000003</v>
      </c>
      <c r="F540">
        <v>0</v>
      </c>
      <c r="G540" t="s">
        <v>1090</v>
      </c>
      <c r="H540">
        <v>65435.34</v>
      </c>
      <c r="I540">
        <v>100451.57</v>
      </c>
      <c r="J540">
        <v>1</v>
      </c>
      <c r="K540">
        <v>0</v>
      </c>
      <c r="L540">
        <v>22</v>
      </c>
      <c r="M540">
        <v>0</v>
      </c>
      <c r="N540">
        <v>1</v>
      </c>
      <c r="O540">
        <v>35016.230000000003</v>
      </c>
      <c r="P540">
        <f>IF(C540&gt;=200000,5,IF(C540&gt;=100000,4,IF(C540&gt;=50000,3,IF(C540&gt;=10000,2,1))))</f>
        <v>2</v>
      </c>
      <c r="Q540">
        <f>IF(B540="TRANSFER",5,IF(B540="CASH_OUT",4,IF(B540="DEBIT",2,1)))</f>
        <v>4</v>
      </c>
      <c r="R540">
        <f>(P540*0.5)+(Q540*0.3)+(N540*0.1)+(M540*0.1)</f>
        <v>2.3000000000000003</v>
      </c>
      <c r="S540" t="str">
        <f t="shared" si="8"/>
        <v>MEDIUM</v>
      </c>
    </row>
    <row r="541" spans="1:19" x14ac:dyDescent="0.3">
      <c r="A541">
        <v>46</v>
      </c>
      <c r="B541" t="s">
        <v>15</v>
      </c>
      <c r="C541">
        <v>71372</v>
      </c>
      <c r="D541" t="s">
        <v>1091</v>
      </c>
      <c r="E541">
        <v>71372</v>
      </c>
      <c r="F541">
        <v>0</v>
      </c>
      <c r="G541" t="s">
        <v>1092</v>
      </c>
      <c r="H541">
        <v>0</v>
      </c>
      <c r="I541">
        <v>0</v>
      </c>
      <c r="J541">
        <v>1</v>
      </c>
      <c r="K541">
        <v>0</v>
      </c>
      <c r="L541">
        <v>22</v>
      </c>
      <c r="M541">
        <v>0</v>
      </c>
      <c r="N541">
        <v>1</v>
      </c>
      <c r="O541">
        <v>71372</v>
      </c>
      <c r="P541">
        <f>IF(C541&gt;=200000,5,IF(C541&gt;=100000,4,IF(C541&gt;=50000,3,IF(C541&gt;=10000,2,1))))</f>
        <v>3</v>
      </c>
      <c r="Q541">
        <f>IF(B541="TRANSFER",5,IF(B541="CASH_OUT",4,IF(B541="DEBIT",2,1)))</f>
        <v>5</v>
      </c>
      <c r="R541">
        <f>(P541*0.5)+(Q541*0.3)+(N541*0.1)+(M541*0.1)</f>
        <v>3.1</v>
      </c>
      <c r="S541" t="str">
        <f t="shared" si="8"/>
        <v>HIGH</v>
      </c>
    </row>
    <row r="542" spans="1:19" x14ac:dyDescent="0.3">
      <c r="A542">
        <v>46</v>
      </c>
      <c r="B542" t="s">
        <v>18</v>
      </c>
      <c r="C542">
        <v>71372</v>
      </c>
      <c r="D542" t="s">
        <v>1093</v>
      </c>
      <c r="E542">
        <v>71372</v>
      </c>
      <c r="F542">
        <v>0</v>
      </c>
      <c r="G542" t="s">
        <v>781</v>
      </c>
      <c r="H542">
        <v>613464.04</v>
      </c>
      <c r="I542">
        <v>684836.04</v>
      </c>
      <c r="J542">
        <v>1</v>
      </c>
      <c r="K542">
        <v>0</v>
      </c>
      <c r="L542">
        <v>22</v>
      </c>
      <c r="M542">
        <v>0</v>
      </c>
      <c r="N542">
        <v>1</v>
      </c>
      <c r="O542">
        <v>71372</v>
      </c>
      <c r="P542">
        <f>IF(C542&gt;=200000,5,IF(C542&gt;=100000,4,IF(C542&gt;=50000,3,IF(C542&gt;=10000,2,1))))</f>
        <v>3</v>
      </c>
      <c r="Q542">
        <f>IF(B542="TRANSFER",5,IF(B542="CASH_OUT",4,IF(B542="DEBIT",2,1)))</f>
        <v>4</v>
      </c>
      <c r="R542">
        <f>(P542*0.5)+(Q542*0.3)+(N542*0.1)+(M542*0.1)</f>
        <v>2.8000000000000003</v>
      </c>
      <c r="S542" t="str">
        <f t="shared" si="8"/>
        <v>MEDIUM</v>
      </c>
    </row>
    <row r="543" spans="1:19" x14ac:dyDescent="0.3">
      <c r="A543">
        <v>46</v>
      </c>
      <c r="B543" t="s">
        <v>15</v>
      </c>
      <c r="C543">
        <v>945131.85</v>
      </c>
      <c r="D543" t="s">
        <v>1094</v>
      </c>
      <c r="E543">
        <v>945131.85</v>
      </c>
      <c r="F543">
        <v>0</v>
      </c>
      <c r="G543" t="s">
        <v>1095</v>
      </c>
      <c r="H543">
        <v>0</v>
      </c>
      <c r="I543">
        <v>0</v>
      </c>
      <c r="J543">
        <v>1</v>
      </c>
      <c r="K543">
        <v>0</v>
      </c>
      <c r="L543">
        <v>22</v>
      </c>
      <c r="M543">
        <v>0</v>
      </c>
      <c r="N543">
        <v>1</v>
      </c>
      <c r="O543">
        <v>945131.85</v>
      </c>
      <c r="P543">
        <f>IF(C543&gt;=200000,5,IF(C543&gt;=100000,4,IF(C543&gt;=50000,3,IF(C543&gt;=10000,2,1))))</f>
        <v>5</v>
      </c>
      <c r="Q543">
        <f>IF(B543="TRANSFER",5,IF(B543="CASH_OUT",4,IF(B543="DEBIT",2,1)))</f>
        <v>5</v>
      </c>
      <c r="R543">
        <f>(P543*0.5)+(Q543*0.3)+(N543*0.1)+(M543*0.1)</f>
        <v>4.0999999999999996</v>
      </c>
      <c r="S543" t="str">
        <f t="shared" si="8"/>
        <v>HIGH</v>
      </c>
    </row>
    <row r="544" spans="1:19" x14ac:dyDescent="0.3">
      <c r="A544">
        <v>46</v>
      </c>
      <c r="B544" t="s">
        <v>18</v>
      </c>
      <c r="C544">
        <v>945131.85</v>
      </c>
      <c r="D544" t="s">
        <v>1096</v>
      </c>
      <c r="E544">
        <v>945131.85</v>
      </c>
      <c r="F544">
        <v>0</v>
      </c>
      <c r="G544" t="s">
        <v>1097</v>
      </c>
      <c r="H544">
        <v>119561.47</v>
      </c>
      <c r="I544">
        <v>1064693.32</v>
      </c>
      <c r="J544">
        <v>1</v>
      </c>
      <c r="K544">
        <v>0</v>
      </c>
      <c r="L544">
        <v>22</v>
      </c>
      <c r="M544">
        <v>0</v>
      </c>
      <c r="N544">
        <v>1</v>
      </c>
      <c r="O544">
        <v>945131.85</v>
      </c>
      <c r="P544">
        <f>IF(C544&gt;=200000,5,IF(C544&gt;=100000,4,IF(C544&gt;=50000,3,IF(C544&gt;=10000,2,1))))</f>
        <v>5</v>
      </c>
      <c r="Q544">
        <f>IF(B544="TRANSFER",5,IF(B544="CASH_OUT",4,IF(B544="DEBIT",2,1)))</f>
        <v>4</v>
      </c>
      <c r="R544">
        <f>(P544*0.5)+(Q544*0.3)+(N544*0.1)+(M544*0.1)</f>
        <v>3.8000000000000003</v>
      </c>
      <c r="S544" t="str">
        <f t="shared" si="8"/>
        <v>HIGH</v>
      </c>
    </row>
    <row r="545" spans="1:19" x14ac:dyDescent="0.3">
      <c r="A545">
        <v>46</v>
      </c>
      <c r="B545" t="s">
        <v>15</v>
      </c>
      <c r="C545">
        <v>736370.54</v>
      </c>
      <c r="D545" t="s">
        <v>1098</v>
      </c>
      <c r="E545">
        <v>736370.54</v>
      </c>
      <c r="F545">
        <v>0</v>
      </c>
      <c r="G545" t="s">
        <v>1099</v>
      </c>
      <c r="H545">
        <v>0</v>
      </c>
      <c r="I545">
        <v>0</v>
      </c>
      <c r="J545">
        <v>1</v>
      </c>
      <c r="K545">
        <v>0</v>
      </c>
      <c r="L545">
        <v>22</v>
      </c>
      <c r="M545">
        <v>0</v>
      </c>
      <c r="N545">
        <v>1</v>
      </c>
      <c r="O545">
        <v>736370.54</v>
      </c>
      <c r="P545">
        <f>IF(C545&gt;=200000,5,IF(C545&gt;=100000,4,IF(C545&gt;=50000,3,IF(C545&gt;=10000,2,1))))</f>
        <v>5</v>
      </c>
      <c r="Q545">
        <f>IF(B545="TRANSFER",5,IF(B545="CASH_OUT",4,IF(B545="DEBIT",2,1)))</f>
        <v>5</v>
      </c>
      <c r="R545">
        <f>(P545*0.5)+(Q545*0.3)+(N545*0.1)+(M545*0.1)</f>
        <v>4.0999999999999996</v>
      </c>
      <c r="S545" t="str">
        <f t="shared" si="8"/>
        <v>HIGH</v>
      </c>
    </row>
    <row r="546" spans="1:19" x14ac:dyDescent="0.3">
      <c r="A546">
        <v>46</v>
      </c>
      <c r="B546" t="s">
        <v>18</v>
      </c>
      <c r="C546">
        <v>736370.54</v>
      </c>
      <c r="D546" t="s">
        <v>1100</v>
      </c>
      <c r="E546">
        <v>736370.54</v>
      </c>
      <c r="F546">
        <v>0</v>
      </c>
      <c r="G546" t="s">
        <v>1101</v>
      </c>
      <c r="H546">
        <v>556478.62</v>
      </c>
      <c r="I546">
        <v>1292849.1499999999</v>
      </c>
      <c r="J546">
        <v>1</v>
      </c>
      <c r="K546">
        <v>0</v>
      </c>
      <c r="L546">
        <v>22</v>
      </c>
      <c r="M546">
        <v>0</v>
      </c>
      <c r="N546">
        <v>1</v>
      </c>
      <c r="O546">
        <v>736370.54</v>
      </c>
      <c r="P546">
        <f>IF(C546&gt;=200000,5,IF(C546&gt;=100000,4,IF(C546&gt;=50000,3,IF(C546&gt;=10000,2,1))))</f>
        <v>5</v>
      </c>
      <c r="Q546">
        <f>IF(B546="TRANSFER",5,IF(B546="CASH_OUT",4,IF(B546="DEBIT",2,1)))</f>
        <v>4</v>
      </c>
      <c r="R546">
        <f>(P546*0.5)+(Q546*0.3)+(N546*0.1)+(M546*0.1)</f>
        <v>3.8000000000000003</v>
      </c>
      <c r="S546" t="str">
        <f t="shared" si="8"/>
        <v>HIGH</v>
      </c>
    </row>
    <row r="547" spans="1:19" x14ac:dyDescent="0.3">
      <c r="A547">
        <v>46</v>
      </c>
      <c r="B547" t="s">
        <v>15</v>
      </c>
      <c r="C547">
        <v>82971.91</v>
      </c>
      <c r="D547" t="s">
        <v>1102</v>
      </c>
      <c r="E547">
        <v>82971.91</v>
      </c>
      <c r="F547">
        <v>0</v>
      </c>
      <c r="G547" t="s">
        <v>1103</v>
      </c>
      <c r="H547">
        <v>0</v>
      </c>
      <c r="I547">
        <v>0</v>
      </c>
      <c r="J547">
        <v>1</v>
      </c>
      <c r="K547">
        <v>0</v>
      </c>
      <c r="L547">
        <v>22</v>
      </c>
      <c r="M547">
        <v>0</v>
      </c>
      <c r="N547">
        <v>1</v>
      </c>
      <c r="O547">
        <v>82971.91</v>
      </c>
      <c r="P547">
        <f>IF(C547&gt;=200000,5,IF(C547&gt;=100000,4,IF(C547&gt;=50000,3,IF(C547&gt;=10000,2,1))))</f>
        <v>3</v>
      </c>
      <c r="Q547">
        <f>IF(B547="TRANSFER",5,IF(B547="CASH_OUT",4,IF(B547="DEBIT",2,1)))</f>
        <v>5</v>
      </c>
      <c r="R547">
        <f>(P547*0.5)+(Q547*0.3)+(N547*0.1)+(M547*0.1)</f>
        <v>3.1</v>
      </c>
      <c r="S547" t="str">
        <f t="shared" si="8"/>
        <v>HIGH</v>
      </c>
    </row>
    <row r="548" spans="1:19" x14ac:dyDescent="0.3">
      <c r="A548">
        <v>46</v>
      </c>
      <c r="B548" t="s">
        <v>18</v>
      </c>
      <c r="C548">
        <v>82971.91</v>
      </c>
      <c r="D548" t="s">
        <v>1104</v>
      </c>
      <c r="E548">
        <v>82971.91</v>
      </c>
      <c r="F548">
        <v>0</v>
      </c>
      <c r="G548" t="s">
        <v>1105</v>
      </c>
      <c r="H548">
        <v>39316.959999999999</v>
      </c>
      <c r="I548">
        <v>122288.87</v>
      </c>
      <c r="J548">
        <v>1</v>
      </c>
      <c r="K548">
        <v>0</v>
      </c>
      <c r="L548">
        <v>22</v>
      </c>
      <c r="M548">
        <v>0</v>
      </c>
      <c r="N548">
        <v>1</v>
      </c>
      <c r="O548">
        <v>82971.91</v>
      </c>
      <c r="P548">
        <f>IF(C548&gt;=200000,5,IF(C548&gt;=100000,4,IF(C548&gt;=50000,3,IF(C548&gt;=10000,2,1))))</f>
        <v>3</v>
      </c>
      <c r="Q548">
        <f>IF(B548="TRANSFER",5,IF(B548="CASH_OUT",4,IF(B548="DEBIT",2,1)))</f>
        <v>4</v>
      </c>
      <c r="R548">
        <f>(P548*0.5)+(Q548*0.3)+(N548*0.1)+(M548*0.1)</f>
        <v>2.8000000000000003</v>
      </c>
      <c r="S548" t="str">
        <f t="shared" si="8"/>
        <v>MEDIUM</v>
      </c>
    </row>
    <row r="549" spans="1:19" x14ac:dyDescent="0.3">
      <c r="A549">
        <v>46</v>
      </c>
      <c r="B549" t="s">
        <v>15</v>
      </c>
      <c r="C549">
        <v>585010.21</v>
      </c>
      <c r="D549" t="s">
        <v>1106</v>
      </c>
      <c r="E549">
        <v>585010.21</v>
      </c>
      <c r="F549">
        <v>0</v>
      </c>
      <c r="G549" t="s">
        <v>1107</v>
      </c>
      <c r="H549">
        <v>0</v>
      </c>
      <c r="I549">
        <v>0</v>
      </c>
      <c r="J549">
        <v>1</v>
      </c>
      <c r="K549">
        <v>0</v>
      </c>
      <c r="L549">
        <v>22</v>
      </c>
      <c r="M549">
        <v>0</v>
      </c>
      <c r="N549">
        <v>1</v>
      </c>
      <c r="O549">
        <v>585010.21</v>
      </c>
      <c r="P549">
        <f>IF(C549&gt;=200000,5,IF(C549&gt;=100000,4,IF(C549&gt;=50000,3,IF(C549&gt;=10000,2,1))))</f>
        <v>5</v>
      </c>
      <c r="Q549">
        <f>IF(B549="TRANSFER",5,IF(B549="CASH_OUT",4,IF(B549="DEBIT",2,1)))</f>
        <v>5</v>
      </c>
      <c r="R549">
        <f>(P549*0.5)+(Q549*0.3)+(N549*0.1)+(M549*0.1)</f>
        <v>4.0999999999999996</v>
      </c>
      <c r="S549" t="str">
        <f t="shared" si="8"/>
        <v>HIGH</v>
      </c>
    </row>
    <row r="550" spans="1:19" x14ac:dyDescent="0.3">
      <c r="A550">
        <v>46</v>
      </c>
      <c r="B550" t="s">
        <v>18</v>
      </c>
      <c r="C550">
        <v>585010.21</v>
      </c>
      <c r="D550" t="s">
        <v>1108</v>
      </c>
      <c r="E550">
        <v>585010.21</v>
      </c>
      <c r="F550">
        <v>0</v>
      </c>
      <c r="G550" t="s">
        <v>1109</v>
      </c>
      <c r="H550">
        <v>15969.08</v>
      </c>
      <c r="I550">
        <v>600979.29</v>
      </c>
      <c r="J550">
        <v>1</v>
      </c>
      <c r="K550">
        <v>0</v>
      </c>
      <c r="L550">
        <v>22</v>
      </c>
      <c r="M550">
        <v>0</v>
      </c>
      <c r="N550">
        <v>1</v>
      </c>
      <c r="O550">
        <v>585010.21</v>
      </c>
      <c r="P550">
        <f>IF(C550&gt;=200000,5,IF(C550&gt;=100000,4,IF(C550&gt;=50000,3,IF(C550&gt;=10000,2,1))))</f>
        <v>5</v>
      </c>
      <c r="Q550">
        <f>IF(B550="TRANSFER",5,IF(B550="CASH_OUT",4,IF(B550="DEBIT",2,1)))</f>
        <v>4</v>
      </c>
      <c r="R550">
        <f>(P550*0.5)+(Q550*0.3)+(N550*0.1)+(M550*0.1)</f>
        <v>3.8000000000000003</v>
      </c>
      <c r="S550" t="str">
        <f t="shared" si="8"/>
        <v>HIGH</v>
      </c>
    </row>
    <row r="551" spans="1:19" x14ac:dyDescent="0.3">
      <c r="A551">
        <v>47</v>
      </c>
      <c r="B551" t="s">
        <v>15</v>
      </c>
      <c r="C551">
        <v>225850.53</v>
      </c>
      <c r="D551" t="s">
        <v>1110</v>
      </c>
      <c r="E551">
        <v>225850.53</v>
      </c>
      <c r="F551">
        <v>0</v>
      </c>
      <c r="G551" t="s">
        <v>1111</v>
      </c>
      <c r="H551">
        <v>0</v>
      </c>
      <c r="I551">
        <v>0</v>
      </c>
      <c r="J551">
        <v>1</v>
      </c>
      <c r="K551">
        <v>0</v>
      </c>
      <c r="L551">
        <v>23</v>
      </c>
      <c r="M551">
        <v>0</v>
      </c>
      <c r="N551">
        <v>1</v>
      </c>
      <c r="O551">
        <v>225850.53</v>
      </c>
      <c r="P551">
        <f>IF(C551&gt;=200000,5,IF(C551&gt;=100000,4,IF(C551&gt;=50000,3,IF(C551&gt;=10000,2,1))))</f>
        <v>5</v>
      </c>
      <c r="Q551">
        <f>IF(B551="TRANSFER",5,IF(B551="CASH_OUT",4,IF(B551="DEBIT",2,1)))</f>
        <v>5</v>
      </c>
      <c r="R551">
        <f>(P551*0.5)+(Q551*0.3)+(N551*0.1)+(M551*0.1)</f>
        <v>4.0999999999999996</v>
      </c>
      <c r="S551" t="str">
        <f t="shared" si="8"/>
        <v>HIGH</v>
      </c>
    </row>
    <row r="552" spans="1:19" x14ac:dyDescent="0.3">
      <c r="A552">
        <v>47</v>
      </c>
      <c r="B552" t="s">
        <v>18</v>
      </c>
      <c r="C552">
        <v>225850.53</v>
      </c>
      <c r="D552" t="s">
        <v>1112</v>
      </c>
      <c r="E552">
        <v>225850.53</v>
      </c>
      <c r="F552">
        <v>0</v>
      </c>
      <c r="G552" t="s">
        <v>1113</v>
      </c>
      <c r="H552">
        <v>5063600.9000000004</v>
      </c>
      <c r="I552">
        <v>5289451.43</v>
      </c>
      <c r="J552">
        <v>1</v>
      </c>
      <c r="K552">
        <v>0</v>
      </c>
      <c r="L552">
        <v>23</v>
      </c>
      <c r="M552">
        <v>0</v>
      </c>
      <c r="N552">
        <v>1</v>
      </c>
      <c r="O552">
        <v>225850.53</v>
      </c>
      <c r="P552">
        <f>IF(C552&gt;=200000,5,IF(C552&gt;=100000,4,IF(C552&gt;=50000,3,IF(C552&gt;=10000,2,1))))</f>
        <v>5</v>
      </c>
      <c r="Q552">
        <f>IF(B552="TRANSFER",5,IF(B552="CASH_OUT",4,IF(B552="DEBIT",2,1)))</f>
        <v>4</v>
      </c>
      <c r="R552">
        <f>(P552*0.5)+(Q552*0.3)+(N552*0.1)+(M552*0.1)</f>
        <v>3.8000000000000003</v>
      </c>
      <c r="S552" t="str">
        <f t="shared" si="8"/>
        <v>HIGH</v>
      </c>
    </row>
    <row r="553" spans="1:19" x14ac:dyDescent="0.3">
      <c r="A553">
        <v>47</v>
      </c>
      <c r="B553" t="s">
        <v>15</v>
      </c>
      <c r="C553">
        <v>243028.65</v>
      </c>
      <c r="D553" t="s">
        <v>1114</v>
      </c>
      <c r="E553">
        <v>243028.65</v>
      </c>
      <c r="F553">
        <v>0</v>
      </c>
      <c r="G553" t="s">
        <v>1115</v>
      </c>
      <c r="H553">
        <v>0</v>
      </c>
      <c r="I553">
        <v>0</v>
      </c>
      <c r="J553">
        <v>1</v>
      </c>
      <c r="K553">
        <v>0</v>
      </c>
      <c r="L553">
        <v>23</v>
      </c>
      <c r="M553">
        <v>0</v>
      </c>
      <c r="N553">
        <v>1</v>
      </c>
      <c r="O553">
        <v>243028.65</v>
      </c>
      <c r="P553">
        <f>IF(C553&gt;=200000,5,IF(C553&gt;=100000,4,IF(C553&gt;=50000,3,IF(C553&gt;=10000,2,1))))</f>
        <v>5</v>
      </c>
      <c r="Q553">
        <f>IF(B553="TRANSFER",5,IF(B553="CASH_OUT",4,IF(B553="DEBIT",2,1)))</f>
        <v>5</v>
      </c>
      <c r="R553">
        <f>(P553*0.5)+(Q553*0.3)+(N553*0.1)+(M553*0.1)</f>
        <v>4.0999999999999996</v>
      </c>
      <c r="S553" t="str">
        <f t="shared" si="8"/>
        <v>HIGH</v>
      </c>
    </row>
    <row r="554" spans="1:19" x14ac:dyDescent="0.3">
      <c r="A554">
        <v>47</v>
      </c>
      <c r="B554" t="s">
        <v>18</v>
      </c>
      <c r="C554">
        <v>243028.65</v>
      </c>
      <c r="D554" t="s">
        <v>1116</v>
      </c>
      <c r="E554">
        <v>243028.65</v>
      </c>
      <c r="F554">
        <v>0</v>
      </c>
      <c r="G554" t="s">
        <v>1117</v>
      </c>
      <c r="H554">
        <v>441285.14</v>
      </c>
      <c r="I554">
        <v>684313.79</v>
      </c>
      <c r="J554">
        <v>1</v>
      </c>
      <c r="K554">
        <v>0</v>
      </c>
      <c r="L554">
        <v>23</v>
      </c>
      <c r="M554">
        <v>0</v>
      </c>
      <c r="N554">
        <v>1</v>
      </c>
      <c r="O554">
        <v>243028.65</v>
      </c>
      <c r="P554">
        <f>IF(C554&gt;=200000,5,IF(C554&gt;=100000,4,IF(C554&gt;=50000,3,IF(C554&gt;=10000,2,1))))</f>
        <v>5</v>
      </c>
      <c r="Q554">
        <f>IF(B554="TRANSFER",5,IF(B554="CASH_OUT",4,IF(B554="DEBIT",2,1)))</f>
        <v>4</v>
      </c>
      <c r="R554">
        <f>(P554*0.5)+(Q554*0.3)+(N554*0.1)+(M554*0.1)</f>
        <v>3.8000000000000003</v>
      </c>
      <c r="S554" t="str">
        <f t="shared" si="8"/>
        <v>HIGH</v>
      </c>
    </row>
    <row r="555" spans="1:19" x14ac:dyDescent="0.3">
      <c r="A555">
        <v>47</v>
      </c>
      <c r="B555" t="s">
        <v>15</v>
      </c>
      <c r="C555">
        <v>2249574.0099999998</v>
      </c>
      <c r="D555" t="s">
        <v>1118</v>
      </c>
      <c r="E555">
        <v>2249574.0099999998</v>
      </c>
      <c r="F555">
        <v>0</v>
      </c>
      <c r="G555" t="s">
        <v>1119</v>
      </c>
      <c r="H555">
        <v>0</v>
      </c>
      <c r="I555">
        <v>0</v>
      </c>
      <c r="J555">
        <v>1</v>
      </c>
      <c r="K555">
        <v>0</v>
      </c>
      <c r="L555">
        <v>23</v>
      </c>
      <c r="M555">
        <v>0</v>
      </c>
      <c r="N555">
        <v>1</v>
      </c>
      <c r="O555">
        <v>2249574.0099999998</v>
      </c>
      <c r="P555">
        <f>IF(C555&gt;=200000,5,IF(C555&gt;=100000,4,IF(C555&gt;=50000,3,IF(C555&gt;=10000,2,1))))</f>
        <v>5</v>
      </c>
      <c r="Q555">
        <f>IF(B555="TRANSFER",5,IF(B555="CASH_OUT",4,IF(B555="DEBIT",2,1)))</f>
        <v>5</v>
      </c>
      <c r="R555">
        <f>(P555*0.5)+(Q555*0.3)+(N555*0.1)+(M555*0.1)</f>
        <v>4.0999999999999996</v>
      </c>
      <c r="S555" t="str">
        <f t="shared" si="8"/>
        <v>HIGH</v>
      </c>
    </row>
    <row r="556" spans="1:19" x14ac:dyDescent="0.3">
      <c r="A556">
        <v>47</v>
      </c>
      <c r="B556" t="s">
        <v>18</v>
      </c>
      <c r="C556">
        <v>2249574.0099999998</v>
      </c>
      <c r="D556" t="s">
        <v>1120</v>
      </c>
      <c r="E556">
        <v>2249574.0099999998</v>
      </c>
      <c r="F556">
        <v>0</v>
      </c>
      <c r="G556" t="s">
        <v>1121</v>
      </c>
      <c r="H556">
        <v>3785286.98</v>
      </c>
      <c r="I556">
        <v>6034861</v>
      </c>
      <c r="J556">
        <v>1</v>
      </c>
      <c r="K556">
        <v>0</v>
      </c>
      <c r="L556">
        <v>23</v>
      </c>
      <c r="M556">
        <v>0</v>
      </c>
      <c r="N556">
        <v>1</v>
      </c>
      <c r="O556">
        <v>2249574.0099999998</v>
      </c>
      <c r="P556">
        <f>IF(C556&gt;=200000,5,IF(C556&gt;=100000,4,IF(C556&gt;=50000,3,IF(C556&gt;=10000,2,1))))</f>
        <v>5</v>
      </c>
      <c r="Q556">
        <f>IF(B556="TRANSFER",5,IF(B556="CASH_OUT",4,IF(B556="DEBIT",2,1)))</f>
        <v>4</v>
      </c>
      <c r="R556">
        <f>(P556*0.5)+(Q556*0.3)+(N556*0.1)+(M556*0.1)</f>
        <v>3.8000000000000003</v>
      </c>
      <c r="S556" t="str">
        <f t="shared" si="8"/>
        <v>HIGH</v>
      </c>
    </row>
    <row r="557" spans="1:19" x14ac:dyDescent="0.3">
      <c r="A557">
        <v>47</v>
      </c>
      <c r="B557" t="s">
        <v>15</v>
      </c>
      <c r="C557">
        <v>13172.17</v>
      </c>
      <c r="D557" t="s">
        <v>1122</v>
      </c>
      <c r="E557">
        <v>13172.17</v>
      </c>
      <c r="F557">
        <v>0</v>
      </c>
      <c r="G557" t="s">
        <v>1123</v>
      </c>
      <c r="H557">
        <v>0</v>
      </c>
      <c r="I557">
        <v>0</v>
      </c>
      <c r="J557">
        <v>1</v>
      </c>
      <c r="K557">
        <v>0</v>
      </c>
      <c r="L557">
        <v>23</v>
      </c>
      <c r="M557">
        <v>0</v>
      </c>
      <c r="N557">
        <v>1</v>
      </c>
      <c r="O557">
        <v>13172.17</v>
      </c>
      <c r="P557">
        <f>IF(C557&gt;=200000,5,IF(C557&gt;=100000,4,IF(C557&gt;=50000,3,IF(C557&gt;=10000,2,1))))</f>
        <v>2</v>
      </c>
      <c r="Q557">
        <f>IF(B557="TRANSFER",5,IF(B557="CASH_OUT",4,IF(B557="DEBIT",2,1)))</f>
        <v>5</v>
      </c>
      <c r="R557">
        <f>(P557*0.5)+(Q557*0.3)+(N557*0.1)+(M557*0.1)</f>
        <v>2.6</v>
      </c>
      <c r="S557" t="str">
        <f t="shared" si="8"/>
        <v>MEDIUM</v>
      </c>
    </row>
    <row r="558" spans="1:19" x14ac:dyDescent="0.3">
      <c r="A558">
        <v>47</v>
      </c>
      <c r="B558" t="s">
        <v>18</v>
      </c>
      <c r="C558">
        <v>13172.17</v>
      </c>
      <c r="D558" t="s">
        <v>1124</v>
      </c>
      <c r="E558">
        <v>13172.17</v>
      </c>
      <c r="F558">
        <v>0</v>
      </c>
      <c r="G558" t="s">
        <v>1125</v>
      </c>
      <c r="H558">
        <v>0</v>
      </c>
      <c r="I558">
        <v>13172.17</v>
      </c>
      <c r="J558">
        <v>1</v>
      </c>
      <c r="K558">
        <v>0</v>
      </c>
      <c r="L558">
        <v>23</v>
      </c>
      <c r="M558">
        <v>0</v>
      </c>
      <c r="N558">
        <v>1</v>
      </c>
      <c r="O558">
        <v>13172.17</v>
      </c>
      <c r="P558">
        <f>IF(C558&gt;=200000,5,IF(C558&gt;=100000,4,IF(C558&gt;=50000,3,IF(C558&gt;=10000,2,1))))</f>
        <v>2</v>
      </c>
      <c r="Q558">
        <f>IF(B558="TRANSFER",5,IF(B558="CASH_OUT",4,IF(B558="DEBIT",2,1)))</f>
        <v>4</v>
      </c>
      <c r="R558">
        <f>(P558*0.5)+(Q558*0.3)+(N558*0.1)+(M558*0.1)</f>
        <v>2.3000000000000003</v>
      </c>
      <c r="S558" t="str">
        <f t="shared" si="8"/>
        <v>MEDIUM</v>
      </c>
    </row>
    <row r="559" spans="1:19" x14ac:dyDescent="0.3">
      <c r="A559">
        <v>47</v>
      </c>
      <c r="B559" t="s">
        <v>15</v>
      </c>
      <c r="C559">
        <v>61487.67</v>
      </c>
      <c r="D559" t="s">
        <v>1126</v>
      </c>
      <c r="E559">
        <v>61487.67</v>
      </c>
      <c r="F559">
        <v>0</v>
      </c>
      <c r="G559" t="s">
        <v>1127</v>
      </c>
      <c r="H559">
        <v>0</v>
      </c>
      <c r="I559">
        <v>0</v>
      </c>
      <c r="J559">
        <v>1</v>
      </c>
      <c r="K559">
        <v>0</v>
      </c>
      <c r="L559">
        <v>23</v>
      </c>
      <c r="M559">
        <v>0</v>
      </c>
      <c r="N559">
        <v>1</v>
      </c>
      <c r="O559">
        <v>61487.67</v>
      </c>
      <c r="P559">
        <f>IF(C559&gt;=200000,5,IF(C559&gt;=100000,4,IF(C559&gt;=50000,3,IF(C559&gt;=10000,2,1))))</f>
        <v>3</v>
      </c>
      <c r="Q559">
        <f>IF(B559="TRANSFER",5,IF(B559="CASH_OUT",4,IF(B559="DEBIT",2,1)))</f>
        <v>5</v>
      </c>
      <c r="R559">
        <f>(P559*0.5)+(Q559*0.3)+(N559*0.1)+(M559*0.1)</f>
        <v>3.1</v>
      </c>
      <c r="S559" t="str">
        <f t="shared" si="8"/>
        <v>HIGH</v>
      </c>
    </row>
    <row r="560" spans="1:19" x14ac:dyDescent="0.3">
      <c r="A560">
        <v>47</v>
      </c>
      <c r="B560" t="s">
        <v>18</v>
      </c>
      <c r="C560">
        <v>61487.67</v>
      </c>
      <c r="D560" t="s">
        <v>1128</v>
      </c>
      <c r="E560">
        <v>61487.67</v>
      </c>
      <c r="F560">
        <v>0</v>
      </c>
      <c r="G560" t="s">
        <v>1129</v>
      </c>
      <c r="H560">
        <v>0</v>
      </c>
      <c r="I560">
        <v>61487.67</v>
      </c>
      <c r="J560">
        <v>1</v>
      </c>
      <c r="K560">
        <v>0</v>
      </c>
      <c r="L560">
        <v>23</v>
      </c>
      <c r="M560">
        <v>0</v>
      </c>
      <c r="N560">
        <v>1</v>
      </c>
      <c r="O560">
        <v>61487.67</v>
      </c>
      <c r="P560">
        <f>IF(C560&gt;=200000,5,IF(C560&gt;=100000,4,IF(C560&gt;=50000,3,IF(C560&gt;=10000,2,1))))</f>
        <v>3</v>
      </c>
      <c r="Q560">
        <f>IF(B560="TRANSFER",5,IF(B560="CASH_OUT",4,IF(B560="DEBIT",2,1)))</f>
        <v>4</v>
      </c>
      <c r="R560">
        <f>(P560*0.5)+(Q560*0.3)+(N560*0.1)+(M560*0.1)</f>
        <v>2.8000000000000003</v>
      </c>
      <c r="S560" t="str">
        <f t="shared" si="8"/>
        <v>MEDIUM</v>
      </c>
    </row>
    <row r="561" spans="1:19" x14ac:dyDescent="0.3">
      <c r="A561">
        <v>47</v>
      </c>
      <c r="B561" t="s">
        <v>15</v>
      </c>
      <c r="C561">
        <v>156011.24</v>
      </c>
      <c r="D561" t="s">
        <v>1130</v>
      </c>
      <c r="E561">
        <v>156011.24</v>
      </c>
      <c r="F561">
        <v>0</v>
      </c>
      <c r="G561" t="s">
        <v>1131</v>
      </c>
      <c r="H561">
        <v>0</v>
      </c>
      <c r="I561">
        <v>0</v>
      </c>
      <c r="J561">
        <v>1</v>
      </c>
      <c r="K561">
        <v>0</v>
      </c>
      <c r="L561">
        <v>23</v>
      </c>
      <c r="M561">
        <v>0</v>
      </c>
      <c r="N561">
        <v>1</v>
      </c>
      <c r="O561">
        <v>156011.24</v>
      </c>
      <c r="P561">
        <f>IF(C561&gt;=200000,5,IF(C561&gt;=100000,4,IF(C561&gt;=50000,3,IF(C561&gt;=10000,2,1))))</f>
        <v>4</v>
      </c>
      <c r="Q561">
        <f>IF(B561="TRANSFER",5,IF(B561="CASH_OUT",4,IF(B561="DEBIT",2,1)))</f>
        <v>5</v>
      </c>
      <c r="R561">
        <f>(P561*0.5)+(Q561*0.3)+(N561*0.1)+(M561*0.1)</f>
        <v>3.6</v>
      </c>
      <c r="S561" t="str">
        <f t="shared" si="8"/>
        <v>HIGH</v>
      </c>
    </row>
    <row r="562" spans="1:19" x14ac:dyDescent="0.3">
      <c r="A562">
        <v>47</v>
      </c>
      <c r="B562" t="s">
        <v>18</v>
      </c>
      <c r="C562">
        <v>156011.24</v>
      </c>
      <c r="D562" t="s">
        <v>1132</v>
      </c>
      <c r="E562">
        <v>156011.24</v>
      </c>
      <c r="F562">
        <v>0</v>
      </c>
      <c r="G562" t="s">
        <v>1133</v>
      </c>
      <c r="H562">
        <v>152239.96</v>
      </c>
      <c r="I562">
        <v>308251.2</v>
      </c>
      <c r="J562">
        <v>1</v>
      </c>
      <c r="K562">
        <v>0</v>
      </c>
      <c r="L562">
        <v>23</v>
      </c>
      <c r="M562">
        <v>0</v>
      </c>
      <c r="N562">
        <v>1</v>
      </c>
      <c r="O562">
        <v>156011.24</v>
      </c>
      <c r="P562">
        <f>IF(C562&gt;=200000,5,IF(C562&gt;=100000,4,IF(C562&gt;=50000,3,IF(C562&gt;=10000,2,1))))</f>
        <v>4</v>
      </c>
      <c r="Q562">
        <f>IF(B562="TRANSFER",5,IF(B562="CASH_OUT",4,IF(B562="DEBIT",2,1)))</f>
        <v>4</v>
      </c>
      <c r="R562">
        <f>(P562*0.5)+(Q562*0.3)+(N562*0.1)+(M562*0.1)</f>
        <v>3.3000000000000003</v>
      </c>
      <c r="S562" t="str">
        <f t="shared" si="8"/>
        <v>HIGH</v>
      </c>
    </row>
    <row r="563" spans="1:19" x14ac:dyDescent="0.3">
      <c r="A563">
        <v>47</v>
      </c>
      <c r="B563" t="s">
        <v>15</v>
      </c>
      <c r="C563">
        <v>36532.839999999997</v>
      </c>
      <c r="D563" t="s">
        <v>1134</v>
      </c>
      <c r="E563">
        <v>36532.839999999997</v>
      </c>
      <c r="F563">
        <v>0</v>
      </c>
      <c r="G563" t="s">
        <v>1135</v>
      </c>
      <c r="H563">
        <v>0</v>
      </c>
      <c r="I563">
        <v>0</v>
      </c>
      <c r="J563">
        <v>1</v>
      </c>
      <c r="K563">
        <v>0</v>
      </c>
      <c r="L563">
        <v>23</v>
      </c>
      <c r="M563">
        <v>0</v>
      </c>
      <c r="N563">
        <v>1</v>
      </c>
      <c r="O563">
        <v>36532.839999999997</v>
      </c>
      <c r="P563">
        <f>IF(C563&gt;=200000,5,IF(C563&gt;=100000,4,IF(C563&gt;=50000,3,IF(C563&gt;=10000,2,1))))</f>
        <v>2</v>
      </c>
      <c r="Q563">
        <f>IF(B563="TRANSFER",5,IF(B563="CASH_OUT",4,IF(B563="DEBIT",2,1)))</f>
        <v>5</v>
      </c>
      <c r="R563">
        <f>(P563*0.5)+(Q563*0.3)+(N563*0.1)+(M563*0.1)</f>
        <v>2.6</v>
      </c>
      <c r="S563" t="str">
        <f t="shared" si="8"/>
        <v>MEDIUM</v>
      </c>
    </row>
    <row r="564" spans="1:19" x14ac:dyDescent="0.3">
      <c r="A564">
        <v>47</v>
      </c>
      <c r="B564" t="s">
        <v>18</v>
      </c>
      <c r="C564">
        <v>36532.839999999997</v>
      </c>
      <c r="D564" t="s">
        <v>1136</v>
      </c>
      <c r="E564">
        <v>36532.839999999997</v>
      </c>
      <c r="F564">
        <v>0</v>
      </c>
      <c r="G564" t="s">
        <v>1137</v>
      </c>
      <c r="H564">
        <v>0</v>
      </c>
      <c r="I564">
        <v>36532.839999999997</v>
      </c>
      <c r="J564">
        <v>1</v>
      </c>
      <c r="K564">
        <v>0</v>
      </c>
      <c r="L564">
        <v>23</v>
      </c>
      <c r="M564">
        <v>0</v>
      </c>
      <c r="N564">
        <v>1</v>
      </c>
      <c r="O564">
        <v>36532.839999999997</v>
      </c>
      <c r="P564">
        <f>IF(C564&gt;=200000,5,IF(C564&gt;=100000,4,IF(C564&gt;=50000,3,IF(C564&gt;=10000,2,1))))</f>
        <v>2</v>
      </c>
      <c r="Q564">
        <f>IF(B564="TRANSFER",5,IF(B564="CASH_OUT",4,IF(B564="DEBIT",2,1)))</f>
        <v>4</v>
      </c>
      <c r="R564">
        <f>(P564*0.5)+(Q564*0.3)+(N564*0.1)+(M564*0.1)</f>
        <v>2.3000000000000003</v>
      </c>
      <c r="S564" t="str">
        <f t="shared" si="8"/>
        <v>MEDIUM</v>
      </c>
    </row>
    <row r="565" spans="1:19" x14ac:dyDescent="0.3">
      <c r="A565">
        <v>47</v>
      </c>
      <c r="B565" t="s">
        <v>15</v>
      </c>
      <c r="C565">
        <v>827921.27</v>
      </c>
      <c r="D565" t="s">
        <v>1138</v>
      </c>
      <c r="E565">
        <v>827921.27</v>
      </c>
      <c r="F565">
        <v>0</v>
      </c>
      <c r="G565" t="s">
        <v>1139</v>
      </c>
      <c r="H565">
        <v>0</v>
      </c>
      <c r="I565">
        <v>0</v>
      </c>
      <c r="J565">
        <v>1</v>
      </c>
      <c r="K565">
        <v>0</v>
      </c>
      <c r="L565">
        <v>23</v>
      </c>
      <c r="M565">
        <v>0</v>
      </c>
      <c r="N565">
        <v>1</v>
      </c>
      <c r="O565">
        <v>827921.27</v>
      </c>
      <c r="P565">
        <f>IF(C565&gt;=200000,5,IF(C565&gt;=100000,4,IF(C565&gt;=50000,3,IF(C565&gt;=10000,2,1))))</f>
        <v>5</v>
      </c>
      <c r="Q565">
        <f>IF(B565="TRANSFER",5,IF(B565="CASH_OUT",4,IF(B565="DEBIT",2,1)))</f>
        <v>5</v>
      </c>
      <c r="R565">
        <f>(P565*0.5)+(Q565*0.3)+(N565*0.1)+(M565*0.1)</f>
        <v>4.0999999999999996</v>
      </c>
      <c r="S565" t="str">
        <f t="shared" si="8"/>
        <v>HIGH</v>
      </c>
    </row>
    <row r="566" spans="1:19" x14ac:dyDescent="0.3">
      <c r="A566">
        <v>47</v>
      </c>
      <c r="B566" t="s">
        <v>18</v>
      </c>
      <c r="C566">
        <v>827921.27</v>
      </c>
      <c r="D566" t="s">
        <v>1140</v>
      </c>
      <c r="E566">
        <v>827921.27</v>
      </c>
      <c r="F566">
        <v>0</v>
      </c>
      <c r="G566" t="s">
        <v>1141</v>
      </c>
      <c r="H566">
        <v>1025081.63</v>
      </c>
      <c r="I566">
        <v>1853002.91</v>
      </c>
      <c r="J566">
        <v>1</v>
      </c>
      <c r="K566">
        <v>0</v>
      </c>
      <c r="L566">
        <v>23</v>
      </c>
      <c r="M566">
        <v>0</v>
      </c>
      <c r="N566">
        <v>1</v>
      </c>
      <c r="O566">
        <v>827921.27</v>
      </c>
      <c r="P566">
        <f>IF(C566&gt;=200000,5,IF(C566&gt;=100000,4,IF(C566&gt;=50000,3,IF(C566&gt;=10000,2,1))))</f>
        <v>5</v>
      </c>
      <c r="Q566">
        <f>IF(B566="TRANSFER",5,IF(B566="CASH_OUT",4,IF(B566="DEBIT",2,1)))</f>
        <v>4</v>
      </c>
      <c r="R566">
        <f>(P566*0.5)+(Q566*0.3)+(N566*0.1)+(M566*0.1)</f>
        <v>3.8000000000000003</v>
      </c>
      <c r="S566" t="str">
        <f t="shared" si="8"/>
        <v>HIGH</v>
      </c>
    </row>
    <row r="567" spans="1:19" x14ac:dyDescent="0.3">
      <c r="A567">
        <v>47</v>
      </c>
      <c r="B567" t="s">
        <v>15</v>
      </c>
      <c r="C567">
        <v>667043.9</v>
      </c>
      <c r="D567" t="s">
        <v>1142</v>
      </c>
      <c r="E567">
        <v>667043.9</v>
      </c>
      <c r="F567">
        <v>0</v>
      </c>
      <c r="G567" t="s">
        <v>1143</v>
      </c>
      <c r="H567">
        <v>0</v>
      </c>
      <c r="I567">
        <v>0</v>
      </c>
      <c r="J567">
        <v>1</v>
      </c>
      <c r="K567">
        <v>0</v>
      </c>
      <c r="L567">
        <v>23</v>
      </c>
      <c r="M567">
        <v>0</v>
      </c>
      <c r="N567">
        <v>1</v>
      </c>
      <c r="O567">
        <v>667043.9</v>
      </c>
      <c r="P567">
        <f>IF(C567&gt;=200000,5,IF(C567&gt;=100000,4,IF(C567&gt;=50000,3,IF(C567&gt;=10000,2,1))))</f>
        <v>5</v>
      </c>
      <c r="Q567">
        <f>IF(B567="TRANSFER",5,IF(B567="CASH_OUT",4,IF(B567="DEBIT",2,1)))</f>
        <v>5</v>
      </c>
      <c r="R567">
        <f>(P567*0.5)+(Q567*0.3)+(N567*0.1)+(M567*0.1)</f>
        <v>4.0999999999999996</v>
      </c>
      <c r="S567" t="str">
        <f t="shared" si="8"/>
        <v>HIGH</v>
      </c>
    </row>
    <row r="568" spans="1:19" x14ac:dyDescent="0.3">
      <c r="A568">
        <v>47</v>
      </c>
      <c r="B568" t="s">
        <v>18</v>
      </c>
      <c r="C568">
        <v>667043.9</v>
      </c>
      <c r="D568" t="s">
        <v>1144</v>
      </c>
      <c r="E568">
        <v>667043.9</v>
      </c>
      <c r="F568">
        <v>0</v>
      </c>
      <c r="G568" t="s">
        <v>1145</v>
      </c>
      <c r="H568">
        <v>104132.27</v>
      </c>
      <c r="I568">
        <v>771176.17</v>
      </c>
      <c r="J568">
        <v>1</v>
      </c>
      <c r="K568">
        <v>0</v>
      </c>
      <c r="L568">
        <v>23</v>
      </c>
      <c r="M568">
        <v>0</v>
      </c>
      <c r="N568">
        <v>1</v>
      </c>
      <c r="O568">
        <v>667043.9</v>
      </c>
      <c r="P568">
        <f>IF(C568&gt;=200000,5,IF(C568&gt;=100000,4,IF(C568&gt;=50000,3,IF(C568&gt;=10000,2,1))))</f>
        <v>5</v>
      </c>
      <c r="Q568">
        <f>IF(B568="TRANSFER",5,IF(B568="CASH_OUT",4,IF(B568="DEBIT",2,1)))</f>
        <v>4</v>
      </c>
      <c r="R568">
        <f>(P568*0.5)+(Q568*0.3)+(N568*0.1)+(M568*0.1)</f>
        <v>3.8000000000000003</v>
      </c>
      <c r="S568" t="str">
        <f t="shared" si="8"/>
        <v>HIGH</v>
      </c>
    </row>
    <row r="569" spans="1:19" x14ac:dyDescent="0.3">
      <c r="A569">
        <v>47</v>
      </c>
      <c r="B569" t="s">
        <v>15</v>
      </c>
      <c r="C569">
        <v>202978.65</v>
      </c>
      <c r="D569" t="s">
        <v>1146</v>
      </c>
      <c r="E569">
        <v>0</v>
      </c>
      <c r="F569">
        <v>0</v>
      </c>
      <c r="G569" t="s">
        <v>1147</v>
      </c>
      <c r="H569">
        <v>2122336.5499999998</v>
      </c>
      <c r="I569">
        <v>2325315.19</v>
      </c>
      <c r="J569">
        <v>1</v>
      </c>
      <c r="K569">
        <v>0</v>
      </c>
      <c r="L569">
        <v>23</v>
      </c>
      <c r="M569">
        <v>0</v>
      </c>
      <c r="N569">
        <v>0</v>
      </c>
      <c r="O569">
        <v>0</v>
      </c>
      <c r="P569">
        <f>IF(C569&gt;=200000,5,IF(C569&gt;=100000,4,IF(C569&gt;=50000,3,IF(C569&gt;=10000,2,1))))</f>
        <v>5</v>
      </c>
      <c r="Q569">
        <f>IF(B569="TRANSFER",5,IF(B569="CASH_OUT",4,IF(B569="DEBIT",2,1)))</f>
        <v>5</v>
      </c>
      <c r="R569">
        <f>(P569*0.5)+(Q569*0.3)+(N569*0.1)+(M569*0.1)</f>
        <v>4</v>
      </c>
      <c r="S569" t="str">
        <f t="shared" si="8"/>
        <v>HIGH</v>
      </c>
    </row>
    <row r="570" spans="1:19" x14ac:dyDescent="0.3">
      <c r="A570">
        <v>47</v>
      </c>
      <c r="B570" t="s">
        <v>15</v>
      </c>
      <c r="C570">
        <v>1388951.5</v>
      </c>
      <c r="D570" t="s">
        <v>1148</v>
      </c>
      <c r="E570">
        <v>1388951.5</v>
      </c>
      <c r="F570">
        <v>0</v>
      </c>
      <c r="G570" t="s">
        <v>1149</v>
      </c>
      <c r="H570">
        <v>0</v>
      </c>
      <c r="I570">
        <v>0</v>
      </c>
      <c r="J570">
        <v>1</v>
      </c>
      <c r="K570">
        <v>0</v>
      </c>
      <c r="L570">
        <v>23</v>
      </c>
      <c r="M570">
        <v>0</v>
      </c>
      <c r="N570">
        <v>1</v>
      </c>
      <c r="O570">
        <v>1388951.5</v>
      </c>
      <c r="P570">
        <f>IF(C570&gt;=200000,5,IF(C570&gt;=100000,4,IF(C570&gt;=50000,3,IF(C570&gt;=10000,2,1))))</f>
        <v>5</v>
      </c>
      <c r="Q570">
        <f>IF(B570="TRANSFER",5,IF(B570="CASH_OUT",4,IF(B570="DEBIT",2,1)))</f>
        <v>5</v>
      </c>
      <c r="R570">
        <f>(P570*0.5)+(Q570*0.3)+(N570*0.1)+(M570*0.1)</f>
        <v>4.0999999999999996</v>
      </c>
      <c r="S570" t="str">
        <f t="shared" si="8"/>
        <v>HIGH</v>
      </c>
    </row>
    <row r="571" spans="1:19" x14ac:dyDescent="0.3">
      <c r="A571">
        <v>47</v>
      </c>
      <c r="B571" t="s">
        <v>18</v>
      </c>
      <c r="C571">
        <v>1388951.5</v>
      </c>
      <c r="D571" t="s">
        <v>1150</v>
      </c>
      <c r="E571">
        <v>1388951.5</v>
      </c>
      <c r="F571">
        <v>0</v>
      </c>
      <c r="G571" t="s">
        <v>1151</v>
      </c>
      <c r="H571">
        <v>459273.45</v>
      </c>
      <c r="I571">
        <v>1848224.95</v>
      </c>
      <c r="J571">
        <v>1</v>
      </c>
      <c r="K571">
        <v>0</v>
      </c>
      <c r="L571">
        <v>23</v>
      </c>
      <c r="M571">
        <v>0</v>
      </c>
      <c r="N571">
        <v>1</v>
      </c>
      <c r="O571">
        <v>1388951.5</v>
      </c>
      <c r="P571">
        <f>IF(C571&gt;=200000,5,IF(C571&gt;=100000,4,IF(C571&gt;=50000,3,IF(C571&gt;=10000,2,1))))</f>
        <v>5</v>
      </c>
      <c r="Q571">
        <f>IF(B571="TRANSFER",5,IF(B571="CASH_OUT",4,IF(B571="DEBIT",2,1)))</f>
        <v>4</v>
      </c>
      <c r="R571">
        <f>(P571*0.5)+(Q571*0.3)+(N571*0.1)+(M571*0.1)</f>
        <v>3.8000000000000003</v>
      </c>
      <c r="S571" t="str">
        <f t="shared" si="8"/>
        <v>HIGH</v>
      </c>
    </row>
    <row r="572" spans="1:19" x14ac:dyDescent="0.3">
      <c r="A572">
        <v>48</v>
      </c>
      <c r="B572" t="s">
        <v>15</v>
      </c>
      <c r="C572">
        <v>1215297.01</v>
      </c>
      <c r="D572" t="s">
        <v>1152</v>
      </c>
      <c r="E572">
        <v>1215297.01</v>
      </c>
      <c r="F572">
        <v>0</v>
      </c>
      <c r="G572" t="s">
        <v>1153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1215297.01</v>
      </c>
      <c r="P572">
        <f>IF(C572&gt;=200000,5,IF(C572&gt;=100000,4,IF(C572&gt;=50000,3,IF(C572&gt;=10000,2,1))))</f>
        <v>5</v>
      </c>
      <c r="Q572">
        <f>IF(B572="TRANSFER",5,IF(B572="CASH_OUT",4,IF(B572="DEBIT",2,1)))</f>
        <v>5</v>
      </c>
      <c r="R572">
        <f>(P572*0.5)+(Q572*0.3)+(N572*0.1)+(M572*0.1)</f>
        <v>4.0999999999999996</v>
      </c>
      <c r="S572" t="str">
        <f t="shared" si="8"/>
        <v>HIGH</v>
      </c>
    </row>
    <row r="573" spans="1:19" x14ac:dyDescent="0.3">
      <c r="A573">
        <v>48</v>
      </c>
      <c r="B573" t="s">
        <v>18</v>
      </c>
      <c r="C573">
        <v>1215297.01</v>
      </c>
      <c r="D573" t="s">
        <v>1154</v>
      </c>
      <c r="E573">
        <v>1215297.01</v>
      </c>
      <c r="F573">
        <v>0</v>
      </c>
      <c r="G573" t="s">
        <v>1155</v>
      </c>
      <c r="H573">
        <v>2497294.92</v>
      </c>
      <c r="I573">
        <v>3712591.93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1215297.01</v>
      </c>
      <c r="P573">
        <f>IF(C573&gt;=200000,5,IF(C573&gt;=100000,4,IF(C573&gt;=50000,3,IF(C573&gt;=10000,2,1))))</f>
        <v>5</v>
      </c>
      <c r="Q573">
        <f>IF(B573="TRANSFER",5,IF(B573="CASH_OUT",4,IF(B573="DEBIT",2,1)))</f>
        <v>4</v>
      </c>
      <c r="R573">
        <f>(P573*0.5)+(Q573*0.3)+(N573*0.1)+(M573*0.1)</f>
        <v>3.8000000000000003</v>
      </c>
      <c r="S573" t="str">
        <f t="shared" si="8"/>
        <v>HIGH</v>
      </c>
    </row>
    <row r="574" spans="1:19" x14ac:dyDescent="0.3">
      <c r="A574">
        <v>48</v>
      </c>
      <c r="B574" t="s">
        <v>15</v>
      </c>
      <c r="C574">
        <v>337974.21</v>
      </c>
      <c r="D574" t="s">
        <v>1156</v>
      </c>
      <c r="E574">
        <v>337974.21</v>
      </c>
      <c r="F574">
        <v>0</v>
      </c>
      <c r="G574" t="s">
        <v>1157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337974.21</v>
      </c>
      <c r="P574">
        <f>IF(C574&gt;=200000,5,IF(C574&gt;=100000,4,IF(C574&gt;=50000,3,IF(C574&gt;=10000,2,1))))</f>
        <v>5</v>
      </c>
      <c r="Q574">
        <f>IF(B574="TRANSFER",5,IF(B574="CASH_OUT",4,IF(B574="DEBIT",2,1)))</f>
        <v>5</v>
      </c>
      <c r="R574">
        <f>(P574*0.5)+(Q574*0.3)+(N574*0.1)+(M574*0.1)</f>
        <v>4.0999999999999996</v>
      </c>
      <c r="S574" t="str">
        <f t="shared" si="8"/>
        <v>HIGH</v>
      </c>
    </row>
    <row r="575" spans="1:19" x14ac:dyDescent="0.3">
      <c r="A575">
        <v>48</v>
      </c>
      <c r="B575" t="s">
        <v>18</v>
      </c>
      <c r="C575">
        <v>337974.21</v>
      </c>
      <c r="D575" t="s">
        <v>1158</v>
      </c>
      <c r="E575">
        <v>337974.21</v>
      </c>
      <c r="F575">
        <v>0</v>
      </c>
      <c r="G575" t="s">
        <v>1159</v>
      </c>
      <c r="H575">
        <v>0</v>
      </c>
      <c r="I575">
        <v>337974.21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337974.21</v>
      </c>
      <c r="P575">
        <f>IF(C575&gt;=200000,5,IF(C575&gt;=100000,4,IF(C575&gt;=50000,3,IF(C575&gt;=10000,2,1))))</f>
        <v>5</v>
      </c>
      <c r="Q575">
        <f>IF(B575="TRANSFER",5,IF(B575="CASH_OUT",4,IF(B575="DEBIT",2,1)))</f>
        <v>4</v>
      </c>
      <c r="R575">
        <f>(P575*0.5)+(Q575*0.3)+(N575*0.1)+(M575*0.1)</f>
        <v>3.8000000000000003</v>
      </c>
      <c r="S575" t="str">
        <f t="shared" si="8"/>
        <v>HIGH</v>
      </c>
    </row>
    <row r="576" spans="1:19" x14ac:dyDescent="0.3">
      <c r="A576">
        <v>48</v>
      </c>
      <c r="B576" t="s">
        <v>15</v>
      </c>
      <c r="C576">
        <v>147267.01</v>
      </c>
      <c r="D576" t="s">
        <v>1160</v>
      </c>
      <c r="E576">
        <v>147267.01</v>
      </c>
      <c r="F576">
        <v>0</v>
      </c>
      <c r="G576" t="s">
        <v>1161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147267.01</v>
      </c>
      <c r="P576">
        <f>IF(C576&gt;=200000,5,IF(C576&gt;=100000,4,IF(C576&gt;=50000,3,IF(C576&gt;=10000,2,1))))</f>
        <v>4</v>
      </c>
      <c r="Q576">
        <f>IF(B576="TRANSFER",5,IF(B576="CASH_OUT",4,IF(B576="DEBIT",2,1)))</f>
        <v>5</v>
      </c>
      <c r="R576">
        <f>(P576*0.5)+(Q576*0.3)+(N576*0.1)+(M576*0.1)</f>
        <v>3.6</v>
      </c>
      <c r="S576" t="str">
        <f t="shared" si="8"/>
        <v>HIGH</v>
      </c>
    </row>
    <row r="577" spans="1:19" x14ac:dyDescent="0.3">
      <c r="A577">
        <v>48</v>
      </c>
      <c r="B577" t="s">
        <v>18</v>
      </c>
      <c r="C577">
        <v>147267.01</v>
      </c>
      <c r="D577" t="s">
        <v>1162</v>
      </c>
      <c r="E577">
        <v>147267.01</v>
      </c>
      <c r="F577">
        <v>0</v>
      </c>
      <c r="G577" t="s">
        <v>1163</v>
      </c>
      <c r="H577">
        <v>107418</v>
      </c>
      <c r="I577">
        <v>64210.559999999998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147267.01</v>
      </c>
      <c r="P577">
        <f>IF(C577&gt;=200000,5,IF(C577&gt;=100000,4,IF(C577&gt;=50000,3,IF(C577&gt;=10000,2,1))))</f>
        <v>4</v>
      </c>
      <c r="Q577">
        <f>IF(B577="TRANSFER",5,IF(B577="CASH_OUT",4,IF(B577="DEBIT",2,1)))</f>
        <v>4</v>
      </c>
      <c r="R577">
        <f>(P577*0.5)+(Q577*0.3)+(N577*0.1)+(M577*0.1)</f>
        <v>3.3000000000000003</v>
      </c>
      <c r="S577" t="str">
        <f t="shared" si="8"/>
        <v>HIGH</v>
      </c>
    </row>
    <row r="578" spans="1:19" x14ac:dyDescent="0.3">
      <c r="A578">
        <v>48</v>
      </c>
      <c r="B578" t="s">
        <v>15</v>
      </c>
      <c r="C578">
        <v>561374.78</v>
      </c>
      <c r="D578" t="s">
        <v>1164</v>
      </c>
      <c r="E578">
        <v>561374.78</v>
      </c>
      <c r="F578">
        <v>0</v>
      </c>
      <c r="G578" t="s">
        <v>1165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561374.78</v>
      </c>
      <c r="P578">
        <f>IF(C578&gt;=200000,5,IF(C578&gt;=100000,4,IF(C578&gt;=50000,3,IF(C578&gt;=10000,2,1))))</f>
        <v>5</v>
      </c>
      <c r="Q578">
        <f>IF(B578="TRANSFER",5,IF(B578="CASH_OUT",4,IF(B578="DEBIT",2,1)))</f>
        <v>5</v>
      </c>
      <c r="R578">
        <f>(P578*0.5)+(Q578*0.3)+(N578*0.1)+(M578*0.1)</f>
        <v>4.0999999999999996</v>
      </c>
      <c r="S578" t="str">
        <f t="shared" si="8"/>
        <v>HIGH</v>
      </c>
    </row>
    <row r="579" spans="1:19" x14ac:dyDescent="0.3">
      <c r="A579">
        <v>48</v>
      </c>
      <c r="B579" t="s">
        <v>18</v>
      </c>
      <c r="C579">
        <v>561374.78</v>
      </c>
      <c r="D579" t="s">
        <v>1166</v>
      </c>
      <c r="E579">
        <v>561374.78</v>
      </c>
      <c r="F579">
        <v>0</v>
      </c>
      <c r="G579" t="s">
        <v>1167</v>
      </c>
      <c r="H579">
        <v>5726683.5300000003</v>
      </c>
      <c r="I579">
        <v>6288058.3099999996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561374.78</v>
      </c>
      <c r="P579">
        <f>IF(C579&gt;=200000,5,IF(C579&gt;=100000,4,IF(C579&gt;=50000,3,IF(C579&gt;=10000,2,1))))</f>
        <v>5</v>
      </c>
      <c r="Q579">
        <f>IF(B579="TRANSFER",5,IF(B579="CASH_OUT",4,IF(B579="DEBIT",2,1)))</f>
        <v>4</v>
      </c>
      <c r="R579">
        <f>(P579*0.5)+(Q579*0.3)+(N579*0.1)+(M579*0.1)</f>
        <v>3.8000000000000003</v>
      </c>
      <c r="S579" t="str">
        <f t="shared" ref="S579:S642" si="9">IF(R579&gt;=3,"HIGH",IF(R579&gt;=2,"MEDIUM","LOW"))</f>
        <v>HIGH</v>
      </c>
    </row>
    <row r="580" spans="1:19" x14ac:dyDescent="0.3">
      <c r="A580">
        <v>48</v>
      </c>
      <c r="B580" t="s">
        <v>15</v>
      </c>
      <c r="C580">
        <v>5489302.04</v>
      </c>
      <c r="D580" t="s">
        <v>1168</v>
      </c>
      <c r="E580">
        <v>5489302.04</v>
      </c>
      <c r="F580">
        <v>0</v>
      </c>
      <c r="G580" t="s">
        <v>1169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5489302.04</v>
      </c>
      <c r="P580">
        <f>IF(C580&gt;=200000,5,IF(C580&gt;=100000,4,IF(C580&gt;=50000,3,IF(C580&gt;=10000,2,1))))</f>
        <v>5</v>
      </c>
      <c r="Q580">
        <f>IF(B580="TRANSFER",5,IF(B580="CASH_OUT",4,IF(B580="DEBIT",2,1)))</f>
        <v>5</v>
      </c>
      <c r="R580">
        <f>(P580*0.5)+(Q580*0.3)+(N580*0.1)+(M580*0.1)</f>
        <v>4.0999999999999996</v>
      </c>
      <c r="S580" t="str">
        <f t="shared" si="9"/>
        <v>HIGH</v>
      </c>
    </row>
    <row r="581" spans="1:19" x14ac:dyDescent="0.3">
      <c r="A581">
        <v>48</v>
      </c>
      <c r="B581" t="s">
        <v>18</v>
      </c>
      <c r="C581">
        <v>5489302.04</v>
      </c>
      <c r="D581" t="s">
        <v>1170</v>
      </c>
      <c r="E581">
        <v>5489302.04</v>
      </c>
      <c r="F581">
        <v>0</v>
      </c>
      <c r="G581" t="s">
        <v>1171</v>
      </c>
      <c r="H581">
        <v>1356390.81</v>
      </c>
      <c r="I581">
        <v>6845692.8499999996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5489302.04</v>
      </c>
      <c r="P581">
        <f>IF(C581&gt;=200000,5,IF(C581&gt;=100000,4,IF(C581&gt;=50000,3,IF(C581&gt;=10000,2,1))))</f>
        <v>5</v>
      </c>
      <c r="Q581">
        <f>IF(B581="TRANSFER",5,IF(B581="CASH_OUT",4,IF(B581="DEBIT",2,1)))</f>
        <v>4</v>
      </c>
      <c r="R581">
        <f>(P581*0.5)+(Q581*0.3)+(N581*0.1)+(M581*0.1)</f>
        <v>3.8000000000000003</v>
      </c>
      <c r="S581" t="str">
        <f t="shared" si="9"/>
        <v>HIGH</v>
      </c>
    </row>
    <row r="582" spans="1:19" x14ac:dyDescent="0.3">
      <c r="A582">
        <v>49</v>
      </c>
      <c r="B582" t="s">
        <v>15</v>
      </c>
      <c r="C582">
        <v>1021129.67</v>
      </c>
      <c r="D582" t="s">
        <v>1172</v>
      </c>
      <c r="E582">
        <v>1021129.67</v>
      </c>
      <c r="F582">
        <v>0</v>
      </c>
      <c r="G582" t="s">
        <v>1173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1021129.67</v>
      </c>
      <c r="P582">
        <f>IF(C582&gt;=200000,5,IF(C582&gt;=100000,4,IF(C582&gt;=50000,3,IF(C582&gt;=10000,2,1))))</f>
        <v>5</v>
      </c>
      <c r="Q582">
        <f>IF(B582="TRANSFER",5,IF(B582="CASH_OUT",4,IF(B582="DEBIT",2,1)))</f>
        <v>5</v>
      </c>
      <c r="R582">
        <f>(P582*0.5)+(Q582*0.3)+(N582*0.1)+(M582*0.1)</f>
        <v>4.0999999999999996</v>
      </c>
      <c r="S582" t="str">
        <f t="shared" si="9"/>
        <v>HIGH</v>
      </c>
    </row>
    <row r="583" spans="1:19" x14ac:dyDescent="0.3">
      <c r="A583">
        <v>49</v>
      </c>
      <c r="B583" t="s">
        <v>18</v>
      </c>
      <c r="C583">
        <v>1021129.67</v>
      </c>
      <c r="D583" t="s">
        <v>1174</v>
      </c>
      <c r="E583">
        <v>1021129.67</v>
      </c>
      <c r="F583">
        <v>0</v>
      </c>
      <c r="G583" t="s">
        <v>1175</v>
      </c>
      <c r="H583">
        <v>86245.92</v>
      </c>
      <c r="I583">
        <v>1107375.5900000001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1021129.67</v>
      </c>
      <c r="P583">
        <f>IF(C583&gt;=200000,5,IF(C583&gt;=100000,4,IF(C583&gt;=50000,3,IF(C583&gt;=10000,2,1))))</f>
        <v>5</v>
      </c>
      <c r="Q583">
        <f>IF(B583="TRANSFER",5,IF(B583="CASH_OUT",4,IF(B583="DEBIT",2,1)))</f>
        <v>4</v>
      </c>
      <c r="R583">
        <f>(P583*0.5)+(Q583*0.3)+(N583*0.1)+(M583*0.1)</f>
        <v>3.8000000000000003</v>
      </c>
      <c r="S583" t="str">
        <f t="shared" si="9"/>
        <v>HIGH</v>
      </c>
    </row>
    <row r="584" spans="1:19" x14ac:dyDescent="0.3">
      <c r="A584">
        <v>49</v>
      </c>
      <c r="B584" t="s">
        <v>15</v>
      </c>
      <c r="C584">
        <v>114017.19</v>
      </c>
      <c r="D584" t="s">
        <v>1176</v>
      </c>
      <c r="E584">
        <v>114017.19</v>
      </c>
      <c r="F584">
        <v>0</v>
      </c>
      <c r="G584" t="s">
        <v>1177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114017.19</v>
      </c>
      <c r="P584">
        <f>IF(C584&gt;=200000,5,IF(C584&gt;=100000,4,IF(C584&gt;=50000,3,IF(C584&gt;=10000,2,1))))</f>
        <v>4</v>
      </c>
      <c r="Q584">
        <f>IF(B584="TRANSFER",5,IF(B584="CASH_OUT",4,IF(B584="DEBIT",2,1)))</f>
        <v>5</v>
      </c>
      <c r="R584">
        <f>(P584*0.5)+(Q584*0.3)+(N584*0.1)+(M584*0.1)</f>
        <v>3.6</v>
      </c>
      <c r="S584" t="str">
        <f t="shared" si="9"/>
        <v>HIGH</v>
      </c>
    </row>
    <row r="585" spans="1:19" x14ac:dyDescent="0.3">
      <c r="A585">
        <v>49</v>
      </c>
      <c r="B585" t="s">
        <v>18</v>
      </c>
      <c r="C585">
        <v>114017.19</v>
      </c>
      <c r="D585" t="s">
        <v>1178</v>
      </c>
      <c r="E585">
        <v>114017.19</v>
      </c>
      <c r="F585">
        <v>0</v>
      </c>
      <c r="G585" t="s">
        <v>1179</v>
      </c>
      <c r="H585">
        <v>2822872.88</v>
      </c>
      <c r="I585">
        <v>2936890.07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114017.19</v>
      </c>
      <c r="P585">
        <f>IF(C585&gt;=200000,5,IF(C585&gt;=100000,4,IF(C585&gt;=50000,3,IF(C585&gt;=10000,2,1))))</f>
        <v>4</v>
      </c>
      <c r="Q585">
        <f>IF(B585="TRANSFER",5,IF(B585="CASH_OUT",4,IF(B585="DEBIT",2,1)))</f>
        <v>4</v>
      </c>
      <c r="R585">
        <f>(P585*0.5)+(Q585*0.3)+(N585*0.1)+(M585*0.1)</f>
        <v>3.3000000000000003</v>
      </c>
      <c r="S585" t="str">
        <f t="shared" si="9"/>
        <v>HIGH</v>
      </c>
    </row>
    <row r="586" spans="1:19" x14ac:dyDescent="0.3">
      <c r="A586">
        <v>50</v>
      </c>
      <c r="B586" t="s">
        <v>15</v>
      </c>
      <c r="C586">
        <v>112668.54</v>
      </c>
      <c r="D586" t="s">
        <v>1180</v>
      </c>
      <c r="E586">
        <v>112668.54</v>
      </c>
      <c r="F586">
        <v>0</v>
      </c>
      <c r="G586" t="s">
        <v>1181</v>
      </c>
      <c r="H586">
        <v>0</v>
      </c>
      <c r="I586">
        <v>0</v>
      </c>
      <c r="J586">
        <v>1</v>
      </c>
      <c r="K586">
        <v>0</v>
      </c>
      <c r="L586">
        <v>2</v>
      </c>
      <c r="M586">
        <v>0</v>
      </c>
      <c r="N586">
        <v>1</v>
      </c>
      <c r="O586">
        <v>112668.54</v>
      </c>
      <c r="P586">
        <f>IF(C586&gt;=200000,5,IF(C586&gt;=100000,4,IF(C586&gt;=50000,3,IF(C586&gt;=10000,2,1))))</f>
        <v>4</v>
      </c>
      <c r="Q586">
        <f>IF(B586="TRANSFER",5,IF(B586="CASH_OUT",4,IF(B586="DEBIT",2,1)))</f>
        <v>5</v>
      </c>
      <c r="R586">
        <f>(P586*0.5)+(Q586*0.3)+(N586*0.1)+(M586*0.1)</f>
        <v>3.6</v>
      </c>
      <c r="S586" t="str">
        <f t="shared" si="9"/>
        <v>HIGH</v>
      </c>
    </row>
    <row r="587" spans="1:19" x14ac:dyDescent="0.3">
      <c r="A587">
        <v>50</v>
      </c>
      <c r="B587" t="s">
        <v>18</v>
      </c>
      <c r="C587">
        <v>112668.54</v>
      </c>
      <c r="D587" t="s">
        <v>1182</v>
      </c>
      <c r="E587">
        <v>112668.54</v>
      </c>
      <c r="F587">
        <v>0</v>
      </c>
      <c r="G587" t="s">
        <v>1183</v>
      </c>
      <c r="H587">
        <v>0</v>
      </c>
      <c r="I587">
        <v>112668.54</v>
      </c>
      <c r="J587">
        <v>1</v>
      </c>
      <c r="K587">
        <v>0</v>
      </c>
      <c r="L587">
        <v>2</v>
      </c>
      <c r="M587">
        <v>0</v>
      </c>
      <c r="N587">
        <v>1</v>
      </c>
      <c r="O587">
        <v>112668.54</v>
      </c>
      <c r="P587">
        <f>IF(C587&gt;=200000,5,IF(C587&gt;=100000,4,IF(C587&gt;=50000,3,IF(C587&gt;=10000,2,1))))</f>
        <v>4</v>
      </c>
      <c r="Q587">
        <f>IF(B587="TRANSFER",5,IF(B587="CASH_OUT",4,IF(B587="DEBIT",2,1)))</f>
        <v>4</v>
      </c>
      <c r="R587">
        <f>(P587*0.5)+(Q587*0.3)+(N587*0.1)+(M587*0.1)</f>
        <v>3.3000000000000003</v>
      </c>
      <c r="S587" t="str">
        <f t="shared" si="9"/>
        <v>HIGH</v>
      </c>
    </row>
    <row r="588" spans="1:19" x14ac:dyDescent="0.3">
      <c r="A588">
        <v>50</v>
      </c>
      <c r="B588" t="s">
        <v>15</v>
      </c>
      <c r="C588">
        <v>967153.5</v>
      </c>
      <c r="D588" t="s">
        <v>1184</v>
      </c>
      <c r="E588">
        <v>967153.5</v>
      </c>
      <c r="F588">
        <v>0</v>
      </c>
      <c r="G588" t="s">
        <v>1185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0</v>
      </c>
      <c r="N588">
        <v>1</v>
      </c>
      <c r="O588">
        <v>967153.5</v>
      </c>
      <c r="P588">
        <f>IF(C588&gt;=200000,5,IF(C588&gt;=100000,4,IF(C588&gt;=50000,3,IF(C588&gt;=10000,2,1))))</f>
        <v>5</v>
      </c>
      <c r="Q588">
        <f>IF(B588="TRANSFER",5,IF(B588="CASH_OUT",4,IF(B588="DEBIT",2,1)))</f>
        <v>5</v>
      </c>
      <c r="R588">
        <f>(P588*0.5)+(Q588*0.3)+(N588*0.1)+(M588*0.1)</f>
        <v>4.0999999999999996</v>
      </c>
      <c r="S588" t="str">
        <f t="shared" si="9"/>
        <v>HIGH</v>
      </c>
    </row>
    <row r="589" spans="1:19" x14ac:dyDescent="0.3">
      <c r="A589">
        <v>50</v>
      </c>
      <c r="B589" t="s">
        <v>18</v>
      </c>
      <c r="C589">
        <v>967153.5</v>
      </c>
      <c r="D589" t="s">
        <v>1186</v>
      </c>
      <c r="E589">
        <v>967153.5</v>
      </c>
      <c r="F589">
        <v>0</v>
      </c>
      <c r="G589" t="s">
        <v>1187</v>
      </c>
      <c r="H589">
        <v>183670.2</v>
      </c>
      <c r="I589">
        <v>1150823.7</v>
      </c>
      <c r="J589">
        <v>1</v>
      </c>
      <c r="K589">
        <v>0</v>
      </c>
      <c r="L589">
        <v>2</v>
      </c>
      <c r="M589">
        <v>0</v>
      </c>
      <c r="N589">
        <v>1</v>
      </c>
      <c r="O589">
        <v>967153.5</v>
      </c>
      <c r="P589">
        <f>IF(C589&gt;=200000,5,IF(C589&gt;=100000,4,IF(C589&gt;=50000,3,IF(C589&gt;=10000,2,1))))</f>
        <v>5</v>
      </c>
      <c r="Q589">
        <f>IF(B589="TRANSFER",5,IF(B589="CASH_OUT",4,IF(B589="DEBIT",2,1)))</f>
        <v>4</v>
      </c>
      <c r="R589">
        <f>(P589*0.5)+(Q589*0.3)+(N589*0.1)+(M589*0.1)</f>
        <v>3.8000000000000003</v>
      </c>
      <c r="S589" t="str">
        <f t="shared" si="9"/>
        <v>HIGH</v>
      </c>
    </row>
    <row r="590" spans="1:19" x14ac:dyDescent="0.3">
      <c r="A590">
        <v>50</v>
      </c>
      <c r="B590" t="s">
        <v>15</v>
      </c>
      <c r="C590">
        <v>592737.43000000005</v>
      </c>
      <c r="D590" t="s">
        <v>1188</v>
      </c>
      <c r="E590">
        <v>592737.43000000005</v>
      </c>
      <c r="F590">
        <v>0</v>
      </c>
      <c r="G590" t="s">
        <v>1189</v>
      </c>
      <c r="H590">
        <v>0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1</v>
      </c>
      <c r="O590">
        <v>592737.43000000005</v>
      </c>
      <c r="P590">
        <f>IF(C590&gt;=200000,5,IF(C590&gt;=100000,4,IF(C590&gt;=50000,3,IF(C590&gt;=10000,2,1))))</f>
        <v>5</v>
      </c>
      <c r="Q590">
        <f>IF(B590="TRANSFER",5,IF(B590="CASH_OUT",4,IF(B590="DEBIT",2,1)))</f>
        <v>5</v>
      </c>
      <c r="R590">
        <f>(P590*0.5)+(Q590*0.3)+(N590*0.1)+(M590*0.1)</f>
        <v>4.0999999999999996</v>
      </c>
      <c r="S590" t="str">
        <f t="shared" si="9"/>
        <v>HIGH</v>
      </c>
    </row>
    <row r="591" spans="1:19" x14ac:dyDescent="0.3">
      <c r="A591">
        <v>50</v>
      </c>
      <c r="B591" t="s">
        <v>18</v>
      </c>
      <c r="C591">
        <v>592737.43000000005</v>
      </c>
      <c r="D591" t="s">
        <v>1190</v>
      </c>
      <c r="E591">
        <v>592737.43000000005</v>
      </c>
      <c r="F591">
        <v>0</v>
      </c>
      <c r="G591" t="s">
        <v>1191</v>
      </c>
      <c r="H591">
        <v>163646.39000000001</v>
      </c>
      <c r="I591">
        <v>756383.82</v>
      </c>
      <c r="J591">
        <v>1</v>
      </c>
      <c r="K591">
        <v>0</v>
      </c>
      <c r="L591">
        <v>2</v>
      </c>
      <c r="M591">
        <v>0</v>
      </c>
      <c r="N591">
        <v>1</v>
      </c>
      <c r="O591">
        <v>592737.43000000005</v>
      </c>
      <c r="P591">
        <f>IF(C591&gt;=200000,5,IF(C591&gt;=100000,4,IF(C591&gt;=50000,3,IF(C591&gt;=10000,2,1))))</f>
        <v>5</v>
      </c>
      <c r="Q591">
        <f>IF(B591="TRANSFER",5,IF(B591="CASH_OUT",4,IF(B591="DEBIT",2,1)))</f>
        <v>4</v>
      </c>
      <c r="R591">
        <f>(P591*0.5)+(Q591*0.3)+(N591*0.1)+(M591*0.1)</f>
        <v>3.8000000000000003</v>
      </c>
      <c r="S591" t="str">
        <f t="shared" si="9"/>
        <v>HIGH</v>
      </c>
    </row>
    <row r="592" spans="1:19" x14ac:dyDescent="0.3">
      <c r="A592">
        <v>51</v>
      </c>
      <c r="B592" t="s">
        <v>15</v>
      </c>
      <c r="C592">
        <v>202887.77</v>
      </c>
      <c r="D592" t="s">
        <v>1192</v>
      </c>
      <c r="E592">
        <v>202887.77</v>
      </c>
      <c r="F592">
        <v>0</v>
      </c>
      <c r="G592" t="s">
        <v>1193</v>
      </c>
      <c r="H592">
        <v>0</v>
      </c>
      <c r="I592">
        <v>0</v>
      </c>
      <c r="J592">
        <v>1</v>
      </c>
      <c r="K592">
        <v>0</v>
      </c>
      <c r="L592">
        <v>3</v>
      </c>
      <c r="M592">
        <v>0</v>
      </c>
      <c r="N592">
        <v>1</v>
      </c>
      <c r="O592">
        <v>202887.77</v>
      </c>
      <c r="P592">
        <f>IF(C592&gt;=200000,5,IF(C592&gt;=100000,4,IF(C592&gt;=50000,3,IF(C592&gt;=10000,2,1))))</f>
        <v>5</v>
      </c>
      <c r="Q592">
        <f>IF(B592="TRANSFER",5,IF(B592="CASH_OUT",4,IF(B592="DEBIT",2,1)))</f>
        <v>5</v>
      </c>
      <c r="R592">
        <f>(P592*0.5)+(Q592*0.3)+(N592*0.1)+(M592*0.1)</f>
        <v>4.0999999999999996</v>
      </c>
      <c r="S592" t="str">
        <f t="shared" si="9"/>
        <v>HIGH</v>
      </c>
    </row>
    <row r="593" spans="1:19" x14ac:dyDescent="0.3">
      <c r="A593">
        <v>51</v>
      </c>
      <c r="B593" t="s">
        <v>18</v>
      </c>
      <c r="C593">
        <v>202887.77</v>
      </c>
      <c r="D593" t="s">
        <v>1194</v>
      </c>
      <c r="E593">
        <v>202887.77</v>
      </c>
      <c r="F593">
        <v>0</v>
      </c>
      <c r="G593" t="s">
        <v>1195</v>
      </c>
      <c r="H593">
        <v>0</v>
      </c>
      <c r="I593">
        <v>202887.77</v>
      </c>
      <c r="J593">
        <v>1</v>
      </c>
      <c r="K593">
        <v>0</v>
      </c>
      <c r="L593">
        <v>3</v>
      </c>
      <c r="M593">
        <v>0</v>
      </c>
      <c r="N593">
        <v>1</v>
      </c>
      <c r="O593">
        <v>202887.77</v>
      </c>
      <c r="P593">
        <f>IF(C593&gt;=200000,5,IF(C593&gt;=100000,4,IF(C593&gt;=50000,3,IF(C593&gt;=10000,2,1))))</f>
        <v>5</v>
      </c>
      <c r="Q593">
        <f>IF(B593="TRANSFER",5,IF(B593="CASH_OUT",4,IF(B593="DEBIT",2,1)))</f>
        <v>4</v>
      </c>
      <c r="R593">
        <f>(P593*0.5)+(Q593*0.3)+(N593*0.1)+(M593*0.1)</f>
        <v>3.8000000000000003</v>
      </c>
      <c r="S593" t="str">
        <f t="shared" si="9"/>
        <v>HIGH</v>
      </c>
    </row>
    <row r="594" spans="1:19" x14ac:dyDescent="0.3">
      <c r="A594">
        <v>51</v>
      </c>
      <c r="B594" t="s">
        <v>15</v>
      </c>
      <c r="C594">
        <v>339275.64</v>
      </c>
      <c r="D594" t="s">
        <v>1196</v>
      </c>
      <c r="E594">
        <v>339275.64</v>
      </c>
      <c r="F594">
        <v>0</v>
      </c>
      <c r="G594" t="s">
        <v>1197</v>
      </c>
      <c r="H594">
        <v>0</v>
      </c>
      <c r="I594">
        <v>0</v>
      </c>
      <c r="J594">
        <v>1</v>
      </c>
      <c r="K594">
        <v>0</v>
      </c>
      <c r="L594">
        <v>3</v>
      </c>
      <c r="M594">
        <v>0</v>
      </c>
      <c r="N594">
        <v>1</v>
      </c>
      <c r="O594">
        <v>339275.64</v>
      </c>
      <c r="P594">
        <f>IF(C594&gt;=200000,5,IF(C594&gt;=100000,4,IF(C594&gt;=50000,3,IF(C594&gt;=10000,2,1))))</f>
        <v>5</v>
      </c>
      <c r="Q594">
        <f>IF(B594="TRANSFER",5,IF(B594="CASH_OUT",4,IF(B594="DEBIT",2,1)))</f>
        <v>5</v>
      </c>
      <c r="R594">
        <f>(P594*0.5)+(Q594*0.3)+(N594*0.1)+(M594*0.1)</f>
        <v>4.0999999999999996</v>
      </c>
      <c r="S594" t="str">
        <f t="shared" si="9"/>
        <v>HIGH</v>
      </c>
    </row>
    <row r="595" spans="1:19" x14ac:dyDescent="0.3">
      <c r="A595">
        <v>51</v>
      </c>
      <c r="B595" t="s">
        <v>18</v>
      </c>
      <c r="C595">
        <v>339275.64</v>
      </c>
      <c r="D595" t="s">
        <v>1198</v>
      </c>
      <c r="E595">
        <v>339275.64</v>
      </c>
      <c r="F595">
        <v>0</v>
      </c>
      <c r="G595" t="s">
        <v>1199</v>
      </c>
      <c r="H595">
        <v>1481576.03</v>
      </c>
      <c r="I595">
        <v>1820851.68</v>
      </c>
      <c r="J595">
        <v>1</v>
      </c>
      <c r="K595">
        <v>0</v>
      </c>
      <c r="L595">
        <v>3</v>
      </c>
      <c r="M595">
        <v>0</v>
      </c>
      <c r="N595">
        <v>1</v>
      </c>
      <c r="O595">
        <v>339275.64</v>
      </c>
      <c r="P595">
        <f>IF(C595&gt;=200000,5,IF(C595&gt;=100000,4,IF(C595&gt;=50000,3,IF(C595&gt;=10000,2,1))))</f>
        <v>5</v>
      </c>
      <c r="Q595">
        <f>IF(B595="TRANSFER",5,IF(B595="CASH_OUT",4,IF(B595="DEBIT",2,1)))</f>
        <v>4</v>
      </c>
      <c r="R595">
        <f>(P595*0.5)+(Q595*0.3)+(N595*0.1)+(M595*0.1)</f>
        <v>3.8000000000000003</v>
      </c>
      <c r="S595" t="str">
        <f t="shared" si="9"/>
        <v>HIGH</v>
      </c>
    </row>
    <row r="596" spans="1:19" x14ac:dyDescent="0.3">
      <c r="A596">
        <v>51</v>
      </c>
      <c r="B596" t="s">
        <v>15</v>
      </c>
      <c r="C596">
        <v>115881.21</v>
      </c>
      <c r="D596" t="s">
        <v>1200</v>
      </c>
      <c r="E596">
        <v>115881.21</v>
      </c>
      <c r="F596">
        <v>0</v>
      </c>
      <c r="G596" t="s">
        <v>1201</v>
      </c>
      <c r="H596">
        <v>0</v>
      </c>
      <c r="I596">
        <v>0</v>
      </c>
      <c r="J596">
        <v>1</v>
      </c>
      <c r="K596">
        <v>0</v>
      </c>
      <c r="L596">
        <v>3</v>
      </c>
      <c r="M596">
        <v>0</v>
      </c>
      <c r="N596">
        <v>1</v>
      </c>
      <c r="O596">
        <v>115881.21</v>
      </c>
      <c r="P596">
        <f>IF(C596&gt;=200000,5,IF(C596&gt;=100000,4,IF(C596&gt;=50000,3,IF(C596&gt;=10000,2,1))))</f>
        <v>4</v>
      </c>
      <c r="Q596">
        <f>IF(B596="TRANSFER",5,IF(B596="CASH_OUT",4,IF(B596="DEBIT",2,1)))</f>
        <v>5</v>
      </c>
      <c r="R596">
        <f>(P596*0.5)+(Q596*0.3)+(N596*0.1)+(M596*0.1)</f>
        <v>3.6</v>
      </c>
      <c r="S596" t="str">
        <f t="shared" si="9"/>
        <v>HIGH</v>
      </c>
    </row>
    <row r="597" spans="1:19" x14ac:dyDescent="0.3">
      <c r="A597">
        <v>51</v>
      </c>
      <c r="B597" t="s">
        <v>18</v>
      </c>
      <c r="C597">
        <v>115881.21</v>
      </c>
      <c r="D597" t="s">
        <v>1202</v>
      </c>
      <c r="E597">
        <v>115881.21</v>
      </c>
      <c r="F597">
        <v>0</v>
      </c>
      <c r="G597" t="s">
        <v>1203</v>
      </c>
      <c r="H597">
        <v>4774288.04</v>
      </c>
      <c r="I597">
        <v>4890169.26</v>
      </c>
      <c r="J597">
        <v>1</v>
      </c>
      <c r="K597">
        <v>0</v>
      </c>
      <c r="L597">
        <v>3</v>
      </c>
      <c r="M597">
        <v>0</v>
      </c>
      <c r="N597">
        <v>1</v>
      </c>
      <c r="O597">
        <v>115881.21</v>
      </c>
      <c r="P597">
        <f>IF(C597&gt;=200000,5,IF(C597&gt;=100000,4,IF(C597&gt;=50000,3,IF(C597&gt;=10000,2,1))))</f>
        <v>4</v>
      </c>
      <c r="Q597">
        <f>IF(B597="TRANSFER",5,IF(B597="CASH_OUT",4,IF(B597="DEBIT",2,1)))</f>
        <v>4</v>
      </c>
      <c r="R597">
        <f>(P597*0.5)+(Q597*0.3)+(N597*0.1)+(M597*0.1)</f>
        <v>3.3000000000000003</v>
      </c>
      <c r="S597" t="str">
        <f t="shared" si="9"/>
        <v>HIGH</v>
      </c>
    </row>
    <row r="598" spans="1:19" x14ac:dyDescent="0.3">
      <c r="A598">
        <v>51</v>
      </c>
      <c r="B598" t="s">
        <v>15</v>
      </c>
      <c r="C598">
        <v>1398946.33</v>
      </c>
      <c r="D598" t="s">
        <v>1204</v>
      </c>
      <c r="E598">
        <v>1398946.33</v>
      </c>
      <c r="F598">
        <v>0</v>
      </c>
      <c r="G598" t="s">
        <v>1205</v>
      </c>
      <c r="H598">
        <v>0</v>
      </c>
      <c r="I598">
        <v>0</v>
      </c>
      <c r="J598">
        <v>1</v>
      </c>
      <c r="K598">
        <v>0</v>
      </c>
      <c r="L598">
        <v>3</v>
      </c>
      <c r="M598">
        <v>0</v>
      </c>
      <c r="N598">
        <v>1</v>
      </c>
      <c r="O598">
        <v>1398946.33</v>
      </c>
      <c r="P598">
        <f>IF(C598&gt;=200000,5,IF(C598&gt;=100000,4,IF(C598&gt;=50000,3,IF(C598&gt;=10000,2,1))))</f>
        <v>5</v>
      </c>
      <c r="Q598">
        <f>IF(B598="TRANSFER",5,IF(B598="CASH_OUT",4,IF(B598="DEBIT",2,1)))</f>
        <v>5</v>
      </c>
      <c r="R598">
        <f>(P598*0.5)+(Q598*0.3)+(N598*0.1)+(M598*0.1)</f>
        <v>4.0999999999999996</v>
      </c>
      <c r="S598" t="str">
        <f t="shared" si="9"/>
        <v>HIGH</v>
      </c>
    </row>
    <row r="599" spans="1:19" x14ac:dyDescent="0.3">
      <c r="A599">
        <v>51</v>
      </c>
      <c r="B599" t="s">
        <v>18</v>
      </c>
      <c r="C599">
        <v>1398946.33</v>
      </c>
      <c r="D599" t="s">
        <v>1206</v>
      </c>
      <c r="E599">
        <v>1398946.33</v>
      </c>
      <c r="F599">
        <v>0</v>
      </c>
      <c r="G599" t="s">
        <v>1207</v>
      </c>
      <c r="H599">
        <v>0</v>
      </c>
      <c r="I599">
        <v>1398946.33</v>
      </c>
      <c r="J599">
        <v>1</v>
      </c>
      <c r="K599">
        <v>0</v>
      </c>
      <c r="L599">
        <v>3</v>
      </c>
      <c r="M599">
        <v>0</v>
      </c>
      <c r="N599">
        <v>1</v>
      </c>
      <c r="O599">
        <v>1398946.33</v>
      </c>
      <c r="P599">
        <f>IF(C599&gt;=200000,5,IF(C599&gt;=100000,4,IF(C599&gt;=50000,3,IF(C599&gt;=10000,2,1))))</f>
        <v>5</v>
      </c>
      <c r="Q599">
        <f>IF(B599="TRANSFER",5,IF(B599="CASH_OUT",4,IF(B599="DEBIT",2,1)))</f>
        <v>4</v>
      </c>
      <c r="R599">
        <f>(P599*0.5)+(Q599*0.3)+(N599*0.1)+(M599*0.1)</f>
        <v>3.8000000000000003</v>
      </c>
      <c r="S599" t="str">
        <f t="shared" si="9"/>
        <v>HIGH</v>
      </c>
    </row>
    <row r="600" spans="1:19" x14ac:dyDescent="0.3">
      <c r="A600">
        <v>51</v>
      </c>
      <c r="B600" t="s">
        <v>15</v>
      </c>
      <c r="C600">
        <v>1170282.92</v>
      </c>
      <c r="D600" t="s">
        <v>1208</v>
      </c>
      <c r="E600">
        <v>1170282.92</v>
      </c>
      <c r="F600">
        <v>0</v>
      </c>
      <c r="G600" t="s">
        <v>1209</v>
      </c>
      <c r="H600">
        <v>0</v>
      </c>
      <c r="I600">
        <v>0</v>
      </c>
      <c r="J600">
        <v>1</v>
      </c>
      <c r="K600">
        <v>0</v>
      </c>
      <c r="L600">
        <v>3</v>
      </c>
      <c r="M600">
        <v>0</v>
      </c>
      <c r="N600">
        <v>1</v>
      </c>
      <c r="O600">
        <v>1170282.92</v>
      </c>
      <c r="P600">
        <f>IF(C600&gt;=200000,5,IF(C600&gt;=100000,4,IF(C600&gt;=50000,3,IF(C600&gt;=10000,2,1))))</f>
        <v>5</v>
      </c>
      <c r="Q600">
        <f>IF(B600="TRANSFER",5,IF(B600="CASH_OUT",4,IF(B600="DEBIT",2,1)))</f>
        <v>5</v>
      </c>
      <c r="R600">
        <f>(P600*0.5)+(Q600*0.3)+(N600*0.1)+(M600*0.1)</f>
        <v>4.0999999999999996</v>
      </c>
      <c r="S600" t="str">
        <f t="shared" si="9"/>
        <v>HIGH</v>
      </c>
    </row>
    <row r="601" spans="1:19" x14ac:dyDescent="0.3">
      <c r="A601">
        <v>51</v>
      </c>
      <c r="B601" t="s">
        <v>18</v>
      </c>
      <c r="C601">
        <v>1170282.92</v>
      </c>
      <c r="D601" t="s">
        <v>1210</v>
      </c>
      <c r="E601">
        <v>1170282.92</v>
      </c>
      <c r="F601">
        <v>0</v>
      </c>
      <c r="G601" t="s">
        <v>1211</v>
      </c>
      <c r="H601">
        <v>173264.14</v>
      </c>
      <c r="I601">
        <v>1343547.06</v>
      </c>
      <c r="J601">
        <v>1</v>
      </c>
      <c r="K601">
        <v>0</v>
      </c>
      <c r="L601">
        <v>3</v>
      </c>
      <c r="M601">
        <v>0</v>
      </c>
      <c r="N601">
        <v>1</v>
      </c>
      <c r="O601">
        <v>1170282.92</v>
      </c>
      <c r="P601">
        <f>IF(C601&gt;=200000,5,IF(C601&gt;=100000,4,IF(C601&gt;=50000,3,IF(C601&gt;=10000,2,1))))</f>
        <v>5</v>
      </c>
      <c r="Q601">
        <f>IF(B601="TRANSFER",5,IF(B601="CASH_OUT",4,IF(B601="DEBIT",2,1)))</f>
        <v>4</v>
      </c>
      <c r="R601">
        <f>(P601*0.5)+(Q601*0.3)+(N601*0.1)+(M601*0.1)</f>
        <v>3.8000000000000003</v>
      </c>
      <c r="S601" t="str">
        <f t="shared" si="9"/>
        <v>HIGH</v>
      </c>
    </row>
    <row r="602" spans="1:19" x14ac:dyDescent="0.3">
      <c r="A602">
        <v>51</v>
      </c>
      <c r="B602" t="s">
        <v>15</v>
      </c>
      <c r="C602">
        <v>567932.31000000006</v>
      </c>
      <c r="D602" t="s">
        <v>1212</v>
      </c>
      <c r="E602">
        <v>567932.31000000006</v>
      </c>
      <c r="F602">
        <v>0</v>
      </c>
      <c r="G602" t="s">
        <v>1213</v>
      </c>
      <c r="H602">
        <v>0</v>
      </c>
      <c r="I602">
        <v>0</v>
      </c>
      <c r="J602">
        <v>1</v>
      </c>
      <c r="K602">
        <v>0</v>
      </c>
      <c r="L602">
        <v>3</v>
      </c>
      <c r="M602">
        <v>0</v>
      </c>
      <c r="N602">
        <v>1</v>
      </c>
      <c r="O602">
        <v>567932.31000000006</v>
      </c>
      <c r="P602">
        <f>IF(C602&gt;=200000,5,IF(C602&gt;=100000,4,IF(C602&gt;=50000,3,IF(C602&gt;=10000,2,1))))</f>
        <v>5</v>
      </c>
      <c r="Q602">
        <f>IF(B602="TRANSFER",5,IF(B602="CASH_OUT",4,IF(B602="DEBIT",2,1)))</f>
        <v>5</v>
      </c>
      <c r="R602">
        <f>(P602*0.5)+(Q602*0.3)+(N602*0.1)+(M602*0.1)</f>
        <v>4.0999999999999996</v>
      </c>
      <c r="S602" t="str">
        <f t="shared" si="9"/>
        <v>HIGH</v>
      </c>
    </row>
    <row r="603" spans="1:19" x14ac:dyDescent="0.3">
      <c r="A603">
        <v>51</v>
      </c>
      <c r="B603" t="s">
        <v>18</v>
      </c>
      <c r="C603">
        <v>567932.31000000006</v>
      </c>
      <c r="D603" t="s">
        <v>1214</v>
      </c>
      <c r="E603">
        <v>567932.31000000006</v>
      </c>
      <c r="F603">
        <v>0</v>
      </c>
      <c r="G603" t="s">
        <v>1215</v>
      </c>
      <c r="H603">
        <v>0</v>
      </c>
      <c r="I603">
        <v>567932.31000000006</v>
      </c>
      <c r="J603">
        <v>1</v>
      </c>
      <c r="K603">
        <v>0</v>
      </c>
      <c r="L603">
        <v>3</v>
      </c>
      <c r="M603">
        <v>0</v>
      </c>
      <c r="N603">
        <v>1</v>
      </c>
      <c r="O603">
        <v>567932.31000000006</v>
      </c>
      <c r="P603">
        <f>IF(C603&gt;=200000,5,IF(C603&gt;=100000,4,IF(C603&gt;=50000,3,IF(C603&gt;=10000,2,1))))</f>
        <v>5</v>
      </c>
      <c r="Q603">
        <f>IF(B603="TRANSFER",5,IF(B603="CASH_OUT",4,IF(B603="DEBIT",2,1)))</f>
        <v>4</v>
      </c>
      <c r="R603">
        <f>(P603*0.5)+(Q603*0.3)+(N603*0.1)+(M603*0.1)</f>
        <v>3.8000000000000003</v>
      </c>
      <c r="S603" t="str">
        <f t="shared" si="9"/>
        <v>HIGH</v>
      </c>
    </row>
    <row r="604" spans="1:19" x14ac:dyDescent="0.3">
      <c r="A604">
        <v>51</v>
      </c>
      <c r="B604" t="s">
        <v>15</v>
      </c>
      <c r="C604">
        <v>361460.79</v>
      </c>
      <c r="D604" t="s">
        <v>1216</v>
      </c>
      <c r="E604">
        <v>361460.79</v>
      </c>
      <c r="F604">
        <v>0</v>
      </c>
      <c r="G604" t="s">
        <v>1217</v>
      </c>
      <c r="H604">
        <v>0</v>
      </c>
      <c r="I604">
        <v>0</v>
      </c>
      <c r="J604">
        <v>1</v>
      </c>
      <c r="K604">
        <v>0</v>
      </c>
      <c r="L604">
        <v>3</v>
      </c>
      <c r="M604">
        <v>0</v>
      </c>
      <c r="N604">
        <v>1</v>
      </c>
      <c r="O604">
        <v>361460.79</v>
      </c>
      <c r="P604">
        <f>IF(C604&gt;=200000,5,IF(C604&gt;=100000,4,IF(C604&gt;=50000,3,IF(C604&gt;=10000,2,1))))</f>
        <v>5</v>
      </c>
      <c r="Q604">
        <f>IF(B604="TRANSFER",5,IF(B604="CASH_OUT",4,IF(B604="DEBIT",2,1)))</f>
        <v>5</v>
      </c>
      <c r="R604">
        <f>(P604*0.5)+(Q604*0.3)+(N604*0.1)+(M604*0.1)</f>
        <v>4.0999999999999996</v>
      </c>
      <c r="S604" t="str">
        <f t="shared" si="9"/>
        <v>HIGH</v>
      </c>
    </row>
    <row r="605" spans="1:19" x14ac:dyDescent="0.3">
      <c r="A605">
        <v>51</v>
      </c>
      <c r="B605" t="s">
        <v>18</v>
      </c>
      <c r="C605">
        <v>361460.79</v>
      </c>
      <c r="D605" t="s">
        <v>1218</v>
      </c>
      <c r="E605">
        <v>361460.79</v>
      </c>
      <c r="F605">
        <v>0</v>
      </c>
      <c r="G605" t="s">
        <v>1219</v>
      </c>
      <c r="H605">
        <v>991487.78</v>
      </c>
      <c r="I605">
        <v>1352948.57</v>
      </c>
      <c r="J605">
        <v>1</v>
      </c>
      <c r="K605">
        <v>0</v>
      </c>
      <c r="L605">
        <v>3</v>
      </c>
      <c r="M605">
        <v>0</v>
      </c>
      <c r="N605">
        <v>1</v>
      </c>
      <c r="O605">
        <v>361460.79</v>
      </c>
      <c r="P605">
        <f>IF(C605&gt;=200000,5,IF(C605&gt;=100000,4,IF(C605&gt;=50000,3,IF(C605&gt;=10000,2,1))))</f>
        <v>5</v>
      </c>
      <c r="Q605">
        <f>IF(B605="TRANSFER",5,IF(B605="CASH_OUT",4,IF(B605="DEBIT",2,1)))</f>
        <v>4</v>
      </c>
      <c r="R605">
        <f>(P605*0.5)+(Q605*0.3)+(N605*0.1)+(M605*0.1)</f>
        <v>3.8000000000000003</v>
      </c>
      <c r="S605" t="str">
        <f t="shared" si="9"/>
        <v>HIGH</v>
      </c>
    </row>
    <row r="606" spans="1:19" x14ac:dyDescent="0.3">
      <c r="A606">
        <v>52</v>
      </c>
      <c r="B606" t="s">
        <v>15</v>
      </c>
      <c r="C606">
        <v>7484125.1200000001</v>
      </c>
      <c r="D606" t="s">
        <v>1220</v>
      </c>
      <c r="E606">
        <v>7484125.1200000001</v>
      </c>
      <c r="F606">
        <v>0</v>
      </c>
      <c r="G606" t="s">
        <v>1221</v>
      </c>
      <c r="H606">
        <v>0</v>
      </c>
      <c r="I606">
        <v>0</v>
      </c>
      <c r="J606">
        <v>1</v>
      </c>
      <c r="K606">
        <v>0</v>
      </c>
      <c r="L606">
        <v>4</v>
      </c>
      <c r="M606">
        <v>0</v>
      </c>
      <c r="N606">
        <v>1</v>
      </c>
      <c r="O606">
        <v>7484125.1200000001</v>
      </c>
      <c r="P606">
        <f>IF(C606&gt;=200000,5,IF(C606&gt;=100000,4,IF(C606&gt;=50000,3,IF(C606&gt;=10000,2,1))))</f>
        <v>5</v>
      </c>
      <c r="Q606">
        <f>IF(B606="TRANSFER",5,IF(B606="CASH_OUT",4,IF(B606="DEBIT",2,1)))</f>
        <v>5</v>
      </c>
      <c r="R606">
        <f>(P606*0.5)+(Q606*0.3)+(N606*0.1)+(M606*0.1)</f>
        <v>4.0999999999999996</v>
      </c>
      <c r="S606" t="str">
        <f t="shared" si="9"/>
        <v>HIGH</v>
      </c>
    </row>
    <row r="607" spans="1:19" x14ac:dyDescent="0.3">
      <c r="A607">
        <v>52</v>
      </c>
      <c r="B607" t="s">
        <v>18</v>
      </c>
      <c r="C607">
        <v>7484125.1200000001</v>
      </c>
      <c r="D607" t="s">
        <v>1222</v>
      </c>
      <c r="E607">
        <v>7484125.1200000001</v>
      </c>
      <c r="F607">
        <v>0</v>
      </c>
      <c r="G607" t="s">
        <v>1223</v>
      </c>
      <c r="H607">
        <v>62896.23</v>
      </c>
      <c r="I607">
        <v>7547021.3600000003</v>
      </c>
      <c r="J607">
        <v>1</v>
      </c>
      <c r="K607">
        <v>0</v>
      </c>
      <c r="L607">
        <v>4</v>
      </c>
      <c r="M607">
        <v>0</v>
      </c>
      <c r="N607">
        <v>1</v>
      </c>
      <c r="O607">
        <v>7484125.1200000001</v>
      </c>
      <c r="P607">
        <f>IF(C607&gt;=200000,5,IF(C607&gt;=100000,4,IF(C607&gt;=50000,3,IF(C607&gt;=10000,2,1))))</f>
        <v>5</v>
      </c>
      <c r="Q607">
        <f>IF(B607="TRANSFER",5,IF(B607="CASH_OUT",4,IF(B607="DEBIT",2,1)))</f>
        <v>4</v>
      </c>
      <c r="R607">
        <f>(P607*0.5)+(Q607*0.3)+(N607*0.1)+(M607*0.1)</f>
        <v>3.8000000000000003</v>
      </c>
      <c r="S607" t="str">
        <f t="shared" si="9"/>
        <v>HIGH</v>
      </c>
    </row>
    <row r="608" spans="1:19" x14ac:dyDescent="0.3">
      <c r="A608">
        <v>52</v>
      </c>
      <c r="B608" t="s">
        <v>15</v>
      </c>
      <c r="C608">
        <v>1093155.19</v>
      </c>
      <c r="D608" t="s">
        <v>1224</v>
      </c>
      <c r="E608">
        <v>1093155.19</v>
      </c>
      <c r="F608">
        <v>0</v>
      </c>
      <c r="G608" t="s">
        <v>1225</v>
      </c>
      <c r="H608">
        <v>0</v>
      </c>
      <c r="I608">
        <v>0</v>
      </c>
      <c r="J608">
        <v>1</v>
      </c>
      <c r="K608">
        <v>0</v>
      </c>
      <c r="L608">
        <v>4</v>
      </c>
      <c r="M608">
        <v>0</v>
      </c>
      <c r="N608">
        <v>1</v>
      </c>
      <c r="O608">
        <v>1093155.19</v>
      </c>
      <c r="P608">
        <f>IF(C608&gt;=200000,5,IF(C608&gt;=100000,4,IF(C608&gt;=50000,3,IF(C608&gt;=10000,2,1))))</f>
        <v>5</v>
      </c>
      <c r="Q608">
        <f>IF(B608="TRANSFER",5,IF(B608="CASH_OUT",4,IF(B608="DEBIT",2,1)))</f>
        <v>5</v>
      </c>
      <c r="R608">
        <f>(P608*0.5)+(Q608*0.3)+(N608*0.1)+(M608*0.1)</f>
        <v>4.0999999999999996</v>
      </c>
      <c r="S608" t="str">
        <f t="shared" si="9"/>
        <v>HIGH</v>
      </c>
    </row>
    <row r="609" spans="1:19" x14ac:dyDescent="0.3">
      <c r="A609">
        <v>52</v>
      </c>
      <c r="B609" t="s">
        <v>18</v>
      </c>
      <c r="C609">
        <v>1093155.19</v>
      </c>
      <c r="D609" t="s">
        <v>1226</v>
      </c>
      <c r="E609">
        <v>1093155.19</v>
      </c>
      <c r="F609">
        <v>0</v>
      </c>
      <c r="G609" t="s">
        <v>1227</v>
      </c>
      <c r="H609">
        <v>1966451.64</v>
      </c>
      <c r="I609">
        <v>3059606.83</v>
      </c>
      <c r="J609">
        <v>1</v>
      </c>
      <c r="K609">
        <v>0</v>
      </c>
      <c r="L609">
        <v>4</v>
      </c>
      <c r="M609">
        <v>0</v>
      </c>
      <c r="N609">
        <v>1</v>
      </c>
      <c r="O609">
        <v>1093155.19</v>
      </c>
      <c r="P609">
        <f>IF(C609&gt;=200000,5,IF(C609&gt;=100000,4,IF(C609&gt;=50000,3,IF(C609&gt;=10000,2,1))))</f>
        <v>5</v>
      </c>
      <c r="Q609">
        <f>IF(B609="TRANSFER",5,IF(B609="CASH_OUT",4,IF(B609="DEBIT",2,1)))</f>
        <v>4</v>
      </c>
      <c r="R609">
        <f>(P609*0.5)+(Q609*0.3)+(N609*0.1)+(M609*0.1)</f>
        <v>3.8000000000000003</v>
      </c>
      <c r="S609" t="str">
        <f t="shared" si="9"/>
        <v>HIGH</v>
      </c>
    </row>
    <row r="610" spans="1:19" x14ac:dyDescent="0.3">
      <c r="A610">
        <v>52</v>
      </c>
      <c r="B610" t="s">
        <v>15</v>
      </c>
      <c r="C610">
        <v>128426.58</v>
      </c>
      <c r="D610" t="s">
        <v>1228</v>
      </c>
      <c r="E610">
        <v>128426.58</v>
      </c>
      <c r="F610">
        <v>0</v>
      </c>
      <c r="G610" t="s">
        <v>1229</v>
      </c>
      <c r="H610">
        <v>0</v>
      </c>
      <c r="I610">
        <v>0</v>
      </c>
      <c r="J610">
        <v>1</v>
      </c>
      <c r="K610">
        <v>0</v>
      </c>
      <c r="L610">
        <v>4</v>
      </c>
      <c r="M610">
        <v>0</v>
      </c>
      <c r="N610">
        <v>1</v>
      </c>
      <c r="O610">
        <v>128426.58</v>
      </c>
      <c r="P610">
        <f>IF(C610&gt;=200000,5,IF(C610&gt;=100000,4,IF(C610&gt;=50000,3,IF(C610&gt;=10000,2,1))))</f>
        <v>4</v>
      </c>
      <c r="Q610">
        <f>IF(B610="TRANSFER",5,IF(B610="CASH_OUT",4,IF(B610="DEBIT",2,1)))</f>
        <v>5</v>
      </c>
      <c r="R610">
        <f>(P610*0.5)+(Q610*0.3)+(N610*0.1)+(M610*0.1)</f>
        <v>3.6</v>
      </c>
      <c r="S610" t="str">
        <f t="shared" si="9"/>
        <v>HIGH</v>
      </c>
    </row>
    <row r="611" spans="1:19" x14ac:dyDescent="0.3">
      <c r="A611">
        <v>52</v>
      </c>
      <c r="B611" t="s">
        <v>18</v>
      </c>
      <c r="C611">
        <v>128426.58</v>
      </c>
      <c r="D611" t="s">
        <v>1230</v>
      </c>
      <c r="E611">
        <v>128426.58</v>
      </c>
      <c r="F611">
        <v>0</v>
      </c>
      <c r="G611" t="s">
        <v>1231</v>
      </c>
      <c r="H611">
        <v>0</v>
      </c>
      <c r="I611">
        <v>128426.58</v>
      </c>
      <c r="J611">
        <v>1</v>
      </c>
      <c r="K611">
        <v>0</v>
      </c>
      <c r="L611">
        <v>4</v>
      </c>
      <c r="M611">
        <v>0</v>
      </c>
      <c r="N611">
        <v>1</v>
      </c>
      <c r="O611">
        <v>128426.58</v>
      </c>
      <c r="P611">
        <f>IF(C611&gt;=200000,5,IF(C611&gt;=100000,4,IF(C611&gt;=50000,3,IF(C611&gt;=10000,2,1))))</f>
        <v>4</v>
      </c>
      <c r="Q611">
        <f>IF(B611="TRANSFER",5,IF(B611="CASH_OUT",4,IF(B611="DEBIT",2,1)))</f>
        <v>4</v>
      </c>
      <c r="R611">
        <f>(P611*0.5)+(Q611*0.3)+(N611*0.1)+(M611*0.1)</f>
        <v>3.3000000000000003</v>
      </c>
      <c r="S611" t="str">
        <f t="shared" si="9"/>
        <v>HIGH</v>
      </c>
    </row>
    <row r="612" spans="1:19" x14ac:dyDescent="0.3">
      <c r="A612">
        <v>52</v>
      </c>
      <c r="B612" t="s">
        <v>15</v>
      </c>
      <c r="C612">
        <v>969259.07</v>
      </c>
      <c r="D612" t="s">
        <v>1232</v>
      </c>
      <c r="E612">
        <v>969259.07</v>
      </c>
      <c r="F612">
        <v>0</v>
      </c>
      <c r="G612" t="s">
        <v>1233</v>
      </c>
      <c r="H612">
        <v>0</v>
      </c>
      <c r="I612">
        <v>0</v>
      </c>
      <c r="J612">
        <v>1</v>
      </c>
      <c r="K612">
        <v>0</v>
      </c>
      <c r="L612">
        <v>4</v>
      </c>
      <c r="M612">
        <v>0</v>
      </c>
      <c r="N612">
        <v>1</v>
      </c>
      <c r="O612">
        <v>969259.07</v>
      </c>
      <c r="P612">
        <f>IF(C612&gt;=200000,5,IF(C612&gt;=100000,4,IF(C612&gt;=50000,3,IF(C612&gt;=10000,2,1))))</f>
        <v>5</v>
      </c>
      <c r="Q612">
        <f>IF(B612="TRANSFER",5,IF(B612="CASH_OUT",4,IF(B612="DEBIT",2,1)))</f>
        <v>5</v>
      </c>
      <c r="R612">
        <f>(P612*0.5)+(Q612*0.3)+(N612*0.1)+(M612*0.1)</f>
        <v>4.0999999999999996</v>
      </c>
      <c r="S612" t="str">
        <f t="shared" si="9"/>
        <v>HIGH</v>
      </c>
    </row>
    <row r="613" spans="1:19" x14ac:dyDescent="0.3">
      <c r="A613">
        <v>52</v>
      </c>
      <c r="B613" t="s">
        <v>18</v>
      </c>
      <c r="C613">
        <v>969259.07</v>
      </c>
      <c r="D613" t="s">
        <v>1234</v>
      </c>
      <c r="E613">
        <v>969259.07</v>
      </c>
      <c r="F613">
        <v>0</v>
      </c>
      <c r="G613" t="s">
        <v>1235</v>
      </c>
      <c r="H613">
        <v>85723.45</v>
      </c>
      <c r="I613">
        <v>1054982.52</v>
      </c>
      <c r="J613">
        <v>1</v>
      </c>
      <c r="K613">
        <v>0</v>
      </c>
      <c r="L613">
        <v>4</v>
      </c>
      <c r="M613">
        <v>0</v>
      </c>
      <c r="N613">
        <v>1</v>
      </c>
      <c r="O613">
        <v>969259.07</v>
      </c>
      <c r="P613">
        <f>IF(C613&gt;=200000,5,IF(C613&gt;=100000,4,IF(C613&gt;=50000,3,IF(C613&gt;=10000,2,1))))</f>
        <v>5</v>
      </c>
      <c r="Q613">
        <f>IF(B613="TRANSFER",5,IF(B613="CASH_OUT",4,IF(B613="DEBIT",2,1)))</f>
        <v>4</v>
      </c>
      <c r="R613">
        <f>(P613*0.5)+(Q613*0.3)+(N613*0.1)+(M613*0.1)</f>
        <v>3.8000000000000003</v>
      </c>
      <c r="S613" t="str">
        <f t="shared" si="9"/>
        <v>HIGH</v>
      </c>
    </row>
    <row r="614" spans="1:19" x14ac:dyDescent="0.3">
      <c r="A614">
        <v>53</v>
      </c>
      <c r="B614" t="s">
        <v>15</v>
      </c>
      <c r="C614">
        <v>1631640.02</v>
      </c>
      <c r="D614" t="s">
        <v>1236</v>
      </c>
      <c r="E614">
        <v>1631640.02</v>
      </c>
      <c r="F614">
        <v>0</v>
      </c>
      <c r="G614" t="s">
        <v>1237</v>
      </c>
      <c r="H614">
        <v>0</v>
      </c>
      <c r="I614">
        <v>0</v>
      </c>
      <c r="J614">
        <v>1</v>
      </c>
      <c r="K614">
        <v>0</v>
      </c>
      <c r="L614">
        <v>5</v>
      </c>
      <c r="M614">
        <v>0</v>
      </c>
      <c r="N614">
        <v>1</v>
      </c>
      <c r="O614">
        <v>1631640.02</v>
      </c>
      <c r="P614">
        <f>IF(C614&gt;=200000,5,IF(C614&gt;=100000,4,IF(C614&gt;=50000,3,IF(C614&gt;=10000,2,1))))</f>
        <v>5</v>
      </c>
      <c r="Q614">
        <f>IF(B614="TRANSFER",5,IF(B614="CASH_OUT",4,IF(B614="DEBIT",2,1)))</f>
        <v>5</v>
      </c>
      <c r="R614">
        <f>(P614*0.5)+(Q614*0.3)+(N614*0.1)+(M614*0.1)</f>
        <v>4.0999999999999996</v>
      </c>
      <c r="S614" t="str">
        <f t="shared" si="9"/>
        <v>HIGH</v>
      </c>
    </row>
    <row r="615" spans="1:19" x14ac:dyDescent="0.3">
      <c r="A615">
        <v>53</v>
      </c>
      <c r="B615" t="s">
        <v>18</v>
      </c>
      <c r="C615">
        <v>1631640.02</v>
      </c>
      <c r="D615" t="s">
        <v>1238</v>
      </c>
      <c r="E615">
        <v>1631640.02</v>
      </c>
      <c r="F615">
        <v>0</v>
      </c>
      <c r="G615" t="s">
        <v>1239</v>
      </c>
      <c r="H615">
        <v>705298.87</v>
      </c>
      <c r="I615">
        <v>2336938.89</v>
      </c>
      <c r="J615">
        <v>1</v>
      </c>
      <c r="K615">
        <v>0</v>
      </c>
      <c r="L615">
        <v>5</v>
      </c>
      <c r="M615">
        <v>0</v>
      </c>
      <c r="N615">
        <v>1</v>
      </c>
      <c r="O615">
        <v>1631640.02</v>
      </c>
      <c r="P615">
        <f>IF(C615&gt;=200000,5,IF(C615&gt;=100000,4,IF(C615&gt;=50000,3,IF(C615&gt;=10000,2,1))))</f>
        <v>5</v>
      </c>
      <c r="Q615">
        <f>IF(B615="TRANSFER",5,IF(B615="CASH_OUT",4,IF(B615="DEBIT",2,1)))</f>
        <v>4</v>
      </c>
      <c r="R615">
        <f>(P615*0.5)+(Q615*0.3)+(N615*0.1)+(M615*0.1)</f>
        <v>3.8000000000000003</v>
      </c>
      <c r="S615" t="str">
        <f t="shared" si="9"/>
        <v>HIGH</v>
      </c>
    </row>
    <row r="616" spans="1:19" x14ac:dyDescent="0.3">
      <c r="A616">
        <v>53</v>
      </c>
      <c r="B616" t="s">
        <v>15</v>
      </c>
      <c r="C616">
        <v>99139.27</v>
      </c>
      <c r="D616" t="s">
        <v>1240</v>
      </c>
      <c r="E616">
        <v>99139.27</v>
      </c>
      <c r="F616">
        <v>0</v>
      </c>
      <c r="G616" t="s">
        <v>1241</v>
      </c>
      <c r="H616">
        <v>0</v>
      </c>
      <c r="I616">
        <v>0</v>
      </c>
      <c r="J616">
        <v>1</v>
      </c>
      <c r="K616">
        <v>0</v>
      </c>
      <c r="L616">
        <v>5</v>
      </c>
      <c r="M616">
        <v>0</v>
      </c>
      <c r="N616">
        <v>1</v>
      </c>
      <c r="O616">
        <v>99139.27</v>
      </c>
      <c r="P616">
        <f>IF(C616&gt;=200000,5,IF(C616&gt;=100000,4,IF(C616&gt;=50000,3,IF(C616&gt;=10000,2,1))))</f>
        <v>3</v>
      </c>
      <c r="Q616">
        <f>IF(B616="TRANSFER",5,IF(B616="CASH_OUT",4,IF(B616="DEBIT",2,1)))</f>
        <v>5</v>
      </c>
      <c r="R616">
        <f>(P616*0.5)+(Q616*0.3)+(N616*0.1)+(M616*0.1)</f>
        <v>3.1</v>
      </c>
      <c r="S616" t="str">
        <f t="shared" si="9"/>
        <v>HIGH</v>
      </c>
    </row>
    <row r="617" spans="1:19" x14ac:dyDescent="0.3">
      <c r="A617">
        <v>53</v>
      </c>
      <c r="B617" t="s">
        <v>18</v>
      </c>
      <c r="C617">
        <v>99139.27</v>
      </c>
      <c r="D617" t="s">
        <v>1242</v>
      </c>
      <c r="E617">
        <v>99139.27</v>
      </c>
      <c r="F617">
        <v>0</v>
      </c>
      <c r="G617" t="s">
        <v>1243</v>
      </c>
      <c r="H617">
        <v>28766.55</v>
      </c>
      <c r="I617">
        <v>127905.82</v>
      </c>
      <c r="J617">
        <v>1</v>
      </c>
      <c r="K617">
        <v>0</v>
      </c>
      <c r="L617">
        <v>5</v>
      </c>
      <c r="M617">
        <v>0</v>
      </c>
      <c r="N617">
        <v>1</v>
      </c>
      <c r="O617">
        <v>99139.27</v>
      </c>
      <c r="P617">
        <f>IF(C617&gt;=200000,5,IF(C617&gt;=100000,4,IF(C617&gt;=50000,3,IF(C617&gt;=10000,2,1))))</f>
        <v>3</v>
      </c>
      <c r="Q617">
        <f>IF(B617="TRANSFER",5,IF(B617="CASH_OUT",4,IF(B617="DEBIT",2,1)))</f>
        <v>4</v>
      </c>
      <c r="R617">
        <f>(P617*0.5)+(Q617*0.3)+(N617*0.1)+(M617*0.1)</f>
        <v>2.8000000000000003</v>
      </c>
      <c r="S617" t="str">
        <f t="shared" si="9"/>
        <v>MEDIUM</v>
      </c>
    </row>
    <row r="618" spans="1:19" x14ac:dyDescent="0.3">
      <c r="A618">
        <v>53</v>
      </c>
      <c r="B618" t="s">
        <v>15</v>
      </c>
      <c r="C618">
        <v>6215.44</v>
      </c>
      <c r="D618" t="s">
        <v>1244</v>
      </c>
      <c r="E618">
        <v>6215.44</v>
      </c>
      <c r="F618">
        <v>0</v>
      </c>
      <c r="G618" t="s">
        <v>1245</v>
      </c>
      <c r="H618">
        <v>0</v>
      </c>
      <c r="I618">
        <v>0</v>
      </c>
      <c r="J618">
        <v>1</v>
      </c>
      <c r="K618">
        <v>0</v>
      </c>
      <c r="L618">
        <v>5</v>
      </c>
      <c r="M618">
        <v>0</v>
      </c>
      <c r="N618">
        <v>1</v>
      </c>
      <c r="O618">
        <v>6215.44</v>
      </c>
      <c r="P618">
        <f>IF(C618&gt;=200000,5,IF(C618&gt;=100000,4,IF(C618&gt;=50000,3,IF(C618&gt;=10000,2,1))))</f>
        <v>1</v>
      </c>
      <c r="Q618">
        <f>IF(B618="TRANSFER",5,IF(B618="CASH_OUT",4,IF(B618="DEBIT",2,1)))</f>
        <v>5</v>
      </c>
      <c r="R618">
        <f>(P618*0.5)+(Q618*0.3)+(N618*0.1)+(M618*0.1)</f>
        <v>2.1</v>
      </c>
      <c r="S618" t="str">
        <f t="shared" si="9"/>
        <v>MEDIUM</v>
      </c>
    </row>
    <row r="619" spans="1:19" x14ac:dyDescent="0.3">
      <c r="A619">
        <v>53</v>
      </c>
      <c r="B619" t="s">
        <v>18</v>
      </c>
      <c r="C619">
        <v>6215.44</v>
      </c>
      <c r="D619" t="s">
        <v>1246</v>
      </c>
      <c r="E619">
        <v>6215.44</v>
      </c>
      <c r="F619">
        <v>0</v>
      </c>
      <c r="G619" t="s">
        <v>1247</v>
      </c>
      <c r="H619">
        <v>191197.42</v>
      </c>
      <c r="I619">
        <v>197412.85</v>
      </c>
      <c r="J619">
        <v>1</v>
      </c>
      <c r="K619">
        <v>0</v>
      </c>
      <c r="L619">
        <v>5</v>
      </c>
      <c r="M619">
        <v>0</v>
      </c>
      <c r="N619">
        <v>1</v>
      </c>
      <c r="O619">
        <v>6215.44</v>
      </c>
      <c r="P619">
        <f>IF(C619&gt;=200000,5,IF(C619&gt;=100000,4,IF(C619&gt;=50000,3,IF(C619&gt;=10000,2,1))))</f>
        <v>1</v>
      </c>
      <c r="Q619">
        <f>IF(B619="TRANSFER",5,IF(B619="CASH_OUT",4,IF(B619="DEBIT",2,1)))</f>
        <v>4</v>
      </c>
      <c r="R619">
        <f>(P619*0.5)+(Q619*0.3)+(N619*0.1)+(M619*0.1)</f>
        <v>1.8</v>
      </c>
      <c r="S619" t="str">
        <f t="shared" si="9"/>
        <v>LOW</v>
      </c>
    </row>
    <row r="620" spans="1:19" x14ac:dyDescent="0.3">
      <c r="A620">
        <v>53</v>
      </c>
      <c r="B620" t="s">
        <v>15</v>
      </c>
      <c r="C620">
        <v>3640271.29</v>
      </c>
      <c r="D620" t="s">
        <v>1248</v>
      </c>
      <c r="E620">
        <v>3640271.29</v>
      </c>
      <c r="F620">
        <v>0</v>
      </c>
      <c r="G620" t="s">
        <v>1249</v>
      </c>
      <c r="H620">
        <v>0</v>
      </c>
      <c r="I620">
        <v>0</v>
      </c>
      <c r="J620">
        <v>1</v>
      </c>
      <c r="K620">
        <v>0</v>
      </c>
      <c r="L620">
        <v>5</v>
      </c>
      <c r="M620">
        <v>0</v>
      </c>
      <c r="N620">
        <v>1</v>
      </c>
      <c r="O620">
        <v>3640271.29</v>
      </c>
      <c r="P620">
        <f>IF(C620&gt;=200000,5,IF(C620&gt;=100000,4,IF(C620&gt;=50000,3,IF(C620&gt;=10000,2,1))))</f>
        <v>5</v>
      </c>
      <c r="Q620">
        <f>IF(B620="TRANSFER",5,IF(B620="CASH_OUT",4,IF(B620="DEBIT",2,1)))</f>
        <v>5</v>
      </c>
      <c r="R620">
        <f>(P620*0.5)+(Q620*0.3)+(N620*0.1)+(M620*0.1)</f>
        <v>4.0999999999999996</v>
      </c>
      <c r="S620" t="str">
        <f t="shared" si="9"/>
        <v>HIGH</v>
      </c>
    </row>
    <row r="621" spans="1:19" x14ac:dyDescent="0.3">
      <c r="A621">
        <v>53</v>
      </c>
      <c r="B621" t="s">
        <v>18</v>
      </c>
      <c r="C621">
        <v>3640271.29</v>
      </c>
      <c r="D621" t="s">
        <v>1250</v>
      </c>
      <c r="E621">
        <v>3640271.29</v>
      </c>
      <c r="F621">
        <v>0</v>
      </c>
      <c r="G621" t="s">
        <v>1251</v>
      </c>
      <c r="H621">
        <v>6525.95</v>
      </c>
      <c r="I621">
        <v>3646797.25</v>
      </c>
      <c r="J621">
        <v>1</v>
      </c>
      <c r="K621">
        <v>0</v>
      </c>
      <c r="L621">
        <v>5</v>
      </c>
      <c r="M621">
        <v>0</v>
      </c>
      <c r="N621">
        <v>1</v>
      </c>
      <c r="O621">
        <v>3640271.29</v>
      </c>
      <c r="P621">
        <f>IF(C621&gt;=200000,5,IF(C621&gt;=100000,4,IF(C621&gt;=50000,3,IF(C621&gt;=10000,2,1))))</f>
        <v>5</v>
      </c>
      <c r="Q621">
        <f>IF(B621="TRANSFER",5,IF(B621="CASH_OUT",4,IF(B621="DEBIT",2,1)))</f>
        <v>4</v>
      </c>
      <c r="R621">
        <f>(P621*0.5)+(Q621*0.3)+(N621*0.1)+(M621*0.1)</f>
        <v>3.8000000000000003</v>
      </c>
      <c r="S621" t="str">
        <f t="shared" si="9"/>
        <v>HIGH</v>
      </c>
    </row>
    <row r="622" spans="1:19" x14ac:dyDescent="0.3">
      <c r="A622">
        <v>53</v>
      </c>
      <c r="B622" t="s">
        <v>15</v>
      </c>
      <c r="C622">
        <v>931684.75</v>
      </c>
      <c r="D622" t="s">
        <v>1252</v>
      </c>
      <c r="E622">
        <v>931684.75</v>
      </c>
      <c r="F622">
        <v>0</v>
      </c>
      <c r="G622" t="s">
        <v>1253</v>
      </c>
      <c r="H622">
        <v>0</v>
      </c>
      <c r="I622">
        <v>0</v>
      </c>
      <c r="J622">
        <v>1</v>
      </c>
      <c r="K622">
        <v>0</v>
      </c>
      <c r="L622">
        <v>5</v>
      </c>
      <c r="M622">
        <v>0</v>
      </c>
      <c r="N622">
        <v>1</v>
      </c>
      <c r="O622">
        <v>931684.75</v>
      </c>
      <c r="P622">
        <f>IF(C622&gt;=200000,5,IF(C622&gt;=100000,4,IF(C622&gt;=50000,3,IF(C622&gt;=10000,2,1))))</f>
        <v>5</v>
      </c>
      <c r="Q622">
        <f>IF(B622="TRANSFER",5,IF(B622="CASH_OUT",4,IF(B622="DEBIT",2,1)))</f>
        <v>5</v>
      </c>
      <c r="R622">
        <f>(P622*0.5)+(Q622*0.3)+(N622*0.1)+(M622*0.1)</f>
        <v>4.0999999999999996</v>
      </c>
      <c r="S622" t="str">
        <f t="shared" si="9"/>
        <v>HIGH</v>
      </c>
    </row>
    <row r="623" spans="1:19" x14ac:dyDescent="0.3">
      <c r="A623">
        <v>53</v>
      </c>
      <c r="B623" t="s">
        <v>18</v>
      </c>
      <c r="C623">
        <v>931684.75</v>
      </c>
      <c r="D623" t="s">
        <v>1254</v>
      </c>
      <c r="E623">
        <v>931684.75</v>
      </c>
      <c r="F623">
        <v>0</v>
      </c>
      <c r="G623" t="s">
        <v>1255</v>
      </c>
      <c r="H623">
        <v>3608144.66</v>
      </c>
      <c r="I623">
        <v>4539829.41</v>
      </c>
      <c r="J623">
        <v>1</v>
      </c>
      <c r="K623">
        <v>0</v>
      </c>
      <c r="L623">
        <v>5</v>
      </c>
      <c r="M623">
        <v>0</v>
      </c>
      <c r="N623">
        <v>1</v>
      </c>
      <c r="O623">
        <v>931684.75</v>
      </c>
      <c r="P623">
        <f>IF(C623&gt;=200000,5,IF(C623&gt;=100000,4,IF(C623&gt;=50000,3,IF(C623&gt;=10000,2,1))))</f>
        <v>5</v>
      </c>
      <c r="Q623">
        <f>IF(B623="TRANSFER",5,IF(B623="CASH_OUT",4,IF(B623="DEBIT",2,1)))</f>
        <v>4</v>
      </c>
      <c r="R623">
        <f>(P623*0.5)+(Q623*0.3)+(N623*0.1)+(M623*0.1)</f>
        <v>3.8000000000000003</v>
      </c>
      <c r="S623" t="str">
        <f t="shared" si="9"/>
        <v>HIGH</v>
      </c>
    </row>
    <row r="624" spans="1:19" x14ac:dyDescent="0.3">
      <c r="A624">
        <v>54</v>
      </c>
      <c r="B624" t="s">
        <v>15</v>
      </c>
      <c r="C624">
        <v>1350574.58</v>
      </c>
      <c r="D624" t="s">
        <v>1256</v>
      </c>
      <c r="E624">
        <v>1350574.58</v>
      </c>
      <c r="F624">
        <v>0</v>
      </c>
      <c r="G624" t="s">
        <v>1257</v>
      </c>
      <c r="H624">
        <v>0</v>
      </c>
      <c r="I624">
        <v>0</v>
      </c>
      <c r="J624">
        <v>1</v>
      </c>
      <c r="K624">
        <v>0</v>
      </c>
      <c r="L624">
        <v>6</v>
      </c>
      <c r="M624">
        <v>0</v>
      </c>
      <c r="N624">
        <v>1</v>
      </c>
      <c r="O624">
        <v>1350574.58</v>
      </c>
      <c r="P624">
        <f>IF(C624&gt;=200000,5,IF(C624&gt;=100000,4,IF(C624&gt;=50000,3,IF(C624&gt;=10000,2,1))))</f>
        <v>5</v>
      </c>
      <c r="Q624">
        <f>IF(B624="TRANSFER",5,IF(B624="CASH_OUT",4,IF(B624="DEBIT",2,1)))</f>
        <v>5</v>
      </c>
      <c r="R624">
        <f>(P624*0.5)+(Q624*0.3)+(N624*0.1)+(M624*0.1)</f>
        <v>4.0999999999999996</v>
      </c>
      <c r="S624" t="str">
        <f t="shared" si="9"/>
        <v>HIGH</v>
      </c>
    </row>
    <row r="625" spans="1:19" x14ac:dyDescent="0.3">
      <c r="A625">
        <v>54</v>
      </c>
      <c r="B625" t="s">
        <v>18</v>
      </c>
      <c r="C625">
        <v>1350574.58</v>
      </c>
      <c r="D625" t="s">
        <v>1258</v>
      </c>
      <c r="E625">
        <v>1350574.58</v>
      </c>
      <c r="F625">
        <v>0</v>
      </c>
      <c r="G625" t="s">
        <v>1259</v>
      </c>
      <c r="H625">
        <v>2925591.98</v>
      </c>
      <c r="I625">
        <v>4276166.57</v>
      </c>
      <c r="J625">
        <v>1</v>
      </c>
      <c r="K625">
        <v>0</v>
      </c>
      <c r="L625">
        <v>6</v>
      </c>
      <c r="M625">
        <v>0</v>
      </c>
      <c r="N625">
        <v>1</v>
      </c>
      <c r="O625">
        <v>1350574.58</v>
      </c>
      <c r="P625">
        <f>IF(C625&gt;=200000,5,IF(C625&gt;=100000,4,IF(C625&gt;=50000,3,IF(C625&gt;=10000,2,1))))</f>
        <v>5</v>
      </c>
      <c r="Q625">
        <f>IF(B625="TRANSFER",5,IF(B625="CASH_OUT",4,IF(B625="DEBIT",2,1)))</f>
        <v>4</v>
      </c>
      <c r="R625">
        <f>(P625*0.5)+(Q625*0.3)+(N625*0.1)+(M625*0.1)</f>
        <v>3.8000000000000003</v>
      </c>
      <c r="S625" t="str">
        <f t="shared" si="9"/>
        <v>HIGH</v>
      </c>
    </row>
    <row r="626" spans="1:19" x14ac:dyDescent="0.3">
      <c r="A626">
        <v>54</v>
      </c>
      <c r="B626" t="s">
        <v>15</v>
      </c>
      <c r="C626">
        <v>438224.6</v>
      </c>
      <c r="D626" t="s">
        <v>1260</v>
      </c>
      <c r="E626">
        <v>438224.6</v>
      </c>
      <c r="F626">
        <v>0</v>
      </c>
      <c r="G626" t="s">
        <v>1261</v>
      </c>
      <c r="H626">
        <v>0</v>
      </c>
      <c r="I626">
        <v>0</v>
      </c>
      <c r="J626">
        <v>1</v>
      </c>
      <c r="K626">
        <v>0</v>
      </c>
      <c r="L626">
        <v>6</v>
      </c>
      <c r="M626">
        <v>0</v>
      </c>
      <c r="N626">
        <v>1</v>
      </c>
      <c r="O626">
        <v>438224.6</v>
      </c>
      <c r="P626">
        <f>IF(C626&gt;=200000,5,IF(C626&gt;=100000,4,IF(C626&gt;=50000,3,IF(C626&gt;=10000,2,1))))</f>
        <v>5</v>
      </c>
      <c r="Q626">
        <f>IF(B626="TRANSFER",5,IF(B626="CASH_OUT",4,IF(B626="DEBIT",2,1)))</f>
        <v>5</v>
      </c>
      <c r="R626">
        <f>(P626*0.5)+(Q626*0.3)+(N626*0.1)+(M626*0.1)</f>
        <v>4.0999999999999996</v>
      </c>
      <c r="S626" t="str">
        <f t="shared" si="9"/>
        <v>HIGH</v>
      </c>
    </row>
    <row r="627" spans="1:19" x14ac:dyDescent="0.3">
      <c r="A627">
        <v>54</v>
      </c>
      <c r="B627" t="s">
        <v>18</v>
      </c>
      <c r="C627">
        <v>438224.6</v>
      </c>
      <c r="D627" t="s">
        <v>1262</v>
      </c>
      <c r="E627">
        <v>438224.6</v>
      </c>
      <c r="F627">
        <v>0</v>
      </c>
      <c r="G627" t="s">
        <v>1263</v>
      </c>
      <c r="H627">
        <v>320697.46000000002</v>
      </c>
      <c r="I627">
        <v>758922.05</v>
      </c>
      <c r="J627">
        <v>1</v>
      </c>
      <c r="K627">
        <v>0</v>
      </c>
      <c r="L627">
        <v>6</v>
      </c>
      <c r="M627">
        <v>0</v>
      </c>
      <c r="N627">
        <v>1</v>
      </c>
      <c r="O627">
        <v>438224.6</v>
      </c>
      <c r="P627">
        <f>IF(C627&gt;=200000,5,IF(C627&gt;=100000,4,IF(C627&gt;=50000,3,IF(C627&gt;=10000,2,1))))</f>
        <v>5</v>
      </c>
      <c r="Q627">
        <f>IF(B627="TRANSFER",5,IF(B627="CASH_OUT",4,IF(B627="DEBIT",2,1)))</f>
        <v>4</v>
      </c>
      <c r="R627">
        <f>(P627*0.5)+(Q627*0.3)+(N627*0.1)+(M627*0.1)</f>
        <v>3.8000000000000003</v>
      </c>
      <c r="S627" t="str">
        <f t="shared" si="9"/>
        <v>HIGH</v>
      </c>
    </row>
    <row r="628" spans="1:19" x14ac:dyDescent="0.3">
      <c r="A628">
        <v>55</v>
      </c>
      <c r="B628" t="s">
        <v>15</v>
      </c>
      <c r="C628">
        <v>760625.76</v>
      </c>
      <c r="D628" t="s">
        <v>1264</v>
      </c>
      <c r="E628">
        <v>760625.76</v>
      </c>
      <c r="F628">
        <v>0</v>
      </c>
      <c r="G628" t="s">
        <v>1265</v>
      </c>
      <c r="H628">
        <v>0</v>
      </c>
      <c r="I628">
        <v>0</v>
      </c>
      <c r="J628">
        <v>1</v>
      </c>
      <c r="K628">
        <v>0</v>
      </c>
      <c r="L628">
        <v>7</v>
      </c>
      <c r="M628">
        <v>0</v>
      </c>
      <c r="N628">
        <v>1</v>
      </c>
      <c r="O628">
        <v>760625.76</v>
      </c>
      <c r="P628">
        <f>IF(C628&gt;=200000,5,IF(C628&gt;=100000,4,IF(C628&gt;=50000,3,IF(C628&gt;=10000,2,1))))</f>
        <v>5</v>
      </c>
      <c r="Q628">
        <f>IF(B628="TRANSFER",5,IF(B628="CASH_OUT",4,IF(B628="DEBIT",2,1)))</f>
        <v>5</v>
      </c>
      <c r="R628">
        <f>(P628*0.5)+(Q628*0.3)+(N628*0.1)+(M628*0.1)</f>
        <v>4.0999999999999996</v>
      </c>
      <c r="S628" t="str">
        <f t="shared" si="9"/>
        <v>HIGH</v>
      </c>
    </row>
    <row r="629" spans="1:19" x14ac:dyDescent="0.3">
      <c r="A629">
        <v>55</v>
      </c>
      <c r="B629" t="s">
        <v>18</v>
      </c>
      <c r="C629">
        <v>760625.76</v>
      </c>
      <c r="D629" t="s">
        <v>1266</v>
      </c>
      <c r="E629">
        <v>760625.76</v>
      </c>
      <c r="F629">
        <v>0</v>
      </c>
      <c r="G629" t="s">
        <v>1267</v>
      </c>
      <c r="H629">
        <v>128272.02</v>
      </c>
      <c r="I629">
        <v>888897.78</v>
      </c>
      <c r="J629">
        <v>1</v>
      </c>
      <c r="K629">
        <v>0</v>
      </c>
      <c r="L629">
        <v>7</v>
      </c>
      <c r="M629">
        <v>0</v>
      </c>
      <c r="N629">
        <v>1</v>
      </c>
      <c r="O629">
        <v>760625.76</v>
      </c>
      <c r="P629">
        <f>IF(C629&gt;=200000,5,IF(C629&gt;=100000,4,IF(C629&gt;=50000,3,IF(C629&gt;=10000,2,1))))</f>
        <v>5</v>
      </c>
      <c r="Q629">
        <f>IF(B629="TRANSFER",5,IF(B629="CASH_OUT",4,IF(B629="DEBIT",2,1)))</f>
        <v>4</v>
      </c>
      <c r="R629">
        <f>(P629*0.5)+(Q629*0.3)+(N629*0.1)+(M629*0.1)</f>
        <v>3.8000000000000003</v>
      </c>
      <c r="S629" t="str">
        <f t="shared" si="9"/>
        <v>HIGH</v>
      </c>
    </row>
    <row r="630" spans="1:19" x14ac:dyDescent="0.3">
      <c r="A630">
        <v>55</v>
      </c>
      <c r="B630" t="s">
        <v>15</v>
      </c>
      <c r="C630">
        <v>309254.05</v>
      </c>
      <c r="D630" t="s">
        <v>1268</v>
      </c>
      <c r="E630">
        <v>309254.05</v>
      </c>
      <c r="F630">
        <v>0</v>
      </c>
      <c r="G630" t="s">
        <v>1269</v>
      </c>
      <c r="H630">
        <v>0</v>
      </c>
      <c r="I630">
        <v>0</v>
      </c>
      <c r="J630">
        <v>1</v>
      </c>
      <c r="K630">
        <v>0</v>
      </c>
      <c r="L630">
        <v>7</v>
      </c>
      <c r="M630">
        <v>0</v>
      </c>
      <c r="N630">
        <v>1</v>
      </c>
      <c r="O630">
        <v>309254.05</v>
      </c>
      <c r="P630">
        <f>IF(C630&gt;=200000,5,IF(C630&gt;=100000,4,IF(C630&gt;=50000,3,IF(C630&gt;=10000,2,1))))</f>
        <v>5</v>
      </c>
      <c r="Q630">
        <f>IF(B630="TRANSFER",5,IF(B630="CASH_OUT",4,IF(B630="DEBIT",2,1)))</f>
        <v>5</v>
      </c>
      <c r="R630">
        <f>(P630*0.5)+(Q630*0.3)+(N630*0.1)+(M630*0.1)</f>
        <v>4.0999999999999996</v>
      </c>
      <c r="S630" t="str">
        <f t="shared" si="9"/>
        <v>HIGH</v>
      </c>
    </row>
    <row r="631" spans="1:19" x14ac:dyDescent="0.3">
      <c r="A631">
        <v>55</v>
      </c>
      <c r="B631" t="s">
        <v>18</v>
      </c>
      <c r="C631">
        <v>309254.05</v>
      </c>
      <c r="D631" t="s">
        <v>1270</v>
      </c>
      <c r="E631">
        <v>309254.05</v>
      </c>
      <c r="F631">
        <v>0</v>
      </c>
      <c r="G631" t="s">
        <v>1271</v>
      </c>
      <c r="H631">
        <v>218535.44</v>
      </c>
      <c r="I631">
        <v>527789.5</v>
      </c>
      <c r="J631">
        <v>1</v>
      </c>
      <c r="K631">
        <v>0</v>
      </c>
      <c r="L631">
        <v>7</v>
      </c>
      <c r="M631">
        <v>0</v>
      </c>
      <c r="N631">
        <v>1</v>
      </c>
      <c r="O631">
        <v>309254.05</v>
      </c>
      <c r="P631">
        <f>IF(C631&gt;=200000,5,IF(C631&gt;=100000,4,IF(C631&gt;=50000,3,IF(C631&gt;=10000,2,1))))</f>
        <v>5</v>
      </c>
      <c r="Q631">
        <f>IF(B631="TRANSFER",5,IF(B631="CASH_OUT",4,IF(B631="DEBIT",2,1)))</f>
        <v>4</v>
      </c>
      <c r="R631">
        <f>(P631*0.5)+(Q631*0.3)+(N631*0.1)+(M631*0.1)</f>
        <v>3.8000000000000003</v>
      </c>
      <c r="S631" t="str">
        <f t="shared" si="9"/>
        <v>HIGH</v>
      </c>
    </row>
    <row r="632" spans="1:19" x14ac:dyDescent="0.3">
      <c r="A632">
        <v>55</v>
      </c>
      <c r="B632" t="s">
        <v>15</v>
      </c>
      <c r="C632">
        <v>283400.42</v>
      </c>
      <c r="D632" t="s">
        <v>1272</v>
      </c>
      <c r="E632">
        <v>283400.42</v>
      </c>
      <c r="F632">
        <v>0</v>
      </c>
      <c r="G632" t="s">
        <v>1273</v>
      </c>
      <c r="H632">
        <v>0</v>
      </c>
      <c r="I632">
        <v>0</v>
      </c>
      <c r="J632">
        <v>1</v>
      </c>
      <c r="K632">
        <v>0</v>
      </c>
      <c r="L632">
        <v>7</v>
      </c>
      <c r="M632">
        <v>0</v>
      </c>
      <c r="N632">
        <v>1</v>
      </c>
      <c r="O632">
        <v>283400.42</v>
      </c>
      <c r="P632">
        <f>IF(C632&gt;=200000,5,IF(C632&gt;=100000,4,IF(C632&gt;=50000,3,IF(C632&gt;=10000,2,1))))</f>
        <v>5</v>
      </c>
      <c r="Q632">
        <f>IF(B632="TRANSFER",5,IF(B632="CASH_OUT",4,IF(B632="DEBIT",2,1)))</f>
        <v>5</v>
      </c>
      <c r="R632">
        <f>(P632*0.5)+(Q632*0.3)+(N632*0.1)+(M632*0.1)</f>
        <v>4.0999999999999996</v>
      </c>
      <c r="S632" t="str">
        <f t="shared" si="9"/>
        <v>HIGH</v>
      </c>
    </row>
    <row r="633" spans="1:19" x14ac:dyDescent="0.3">
      <c r="A633">
        <v>55</v>
      </c>
      <c r="B633" t="s">
        <v>18</v>
      </c>
      <c r="C633">
        <v>283400.42</v>
      </c>
      <c r="D633" t="s">
        <v>1274</v>
      </c>
      <c r="E633">
        <v>283400.42</v>
      </c>
      <c r="F633">
        <v>0</v>
      </c>
      <c r="G633" t="s">
        <v>1275</v>
      </c>
      <c r="H633">
        <v>2662439.92</v>
      </c>
      <c r="I633">
        <v>2945840.34</v>
      </c>
      <c r="J633">
        <v>1</v>
      </c>
      <c r="K633">
        <v>0</v>
      </c>
      <c r="L633">
        <v>7</v>
      </c>
      <c r="M633">
        <v>0</v>
      </c>
      <c r="N633">
        <v>1</v>
      </c>
      <c r="O633">
        <v>283400.42</v>
      </c>
      <c r="P633">
        <f>IF(C633&gt;=200000,5,IF(C633&gt;=100000,4,IF(C633&gt;=50000,3,IF(C633&gt;=10000,2,1))))</f>
        <v>5</v>
      </c>
      <c r="Q633">
        <f>IF(B633="TRANSFER",5,IF(B633="CASH_OUT",4,IF(B633="DEBIT",2,1)))</f>
        <v>4</v>
      </c>
      <c r="R633">
        <f>(P633*0.5)+(Q633*0.3)+(N633*0.1)+(M633*0.1)</f>
        <v>3.8000000000000003</v>
      </c>
      <c r="S633" t="str">
        <f t="shared" si="9"/>
        <v>HIGH</v>
      </c>
    </row>
    <row r="634" spans="1:19" x14ac:dyDescent="0.3">
      <c r="A634">
        <v>55</v>
      </c>
      <c r="B634" t="s">
        <v>15</v>
      </c>
      <c r="C634">
        <v>109028.8</v>
      </c>
      <c r="D634" t="s">
        <v>1276</v>
      </c>
      <c r="E634">
        <v>109028.8</v>
      </c>
      <c r="F634">
        <v>0</v>
      </c>
      <c r="G634" t="s">
        <v>1277</v>
      </c>
      <c r="H634">
        <v>0</v>
      </c>
      <c r="I634">
        <v>0</v>
      </c>
      <c r="J634">
        <v>1</v>
      </c>
      <c r="K634">
        <v>0</v>
      </c>
      <c r="L634">
        <v>7</v>
      </c>
      <c r="M634">
        <v>0</v>
      </c>
      <c r="N634">
        <v>1</v>
      </c>
      <c r="O634">
        <v>109028.8</v>
      </c>
      <c r="P634">
        <f>IF(C634&gt;=200000,5,IF(C634&gt;=100000,4,IF(C634&gt;=50000,3,IF(C634&gt;=10000,2,1))))</f>
        <v>4</v>
      </c>
      <c r="Q634">
        <f>IF(B634="TRANSFER",5,IF(B634="CASH_OUT",4,IF(B634="DEBIT",2,1)))</f>
        <v>5</v>
      </c>
      <c r="R634">
        <f>(P634*0.5)+(Q634*0.3)+(N634*0.1)+(M634*0.1)</f>
        <v>3.6</v>
      </c>
      <c r="S634" t="str">
        <f t="shared" si="9"/>
        <v>HIGH</v>
      </c>
    </row>
    <row r="635" spans="1:19" x14ac:dyDescent="0.3">
      <c r="A635">
        <v>55</v>
      </c>
      <c r="B635" t="s">
        <v>18</v>
      </c>
      <c r="C635">
        <v>109028.8</v>
      </c>
      <c r="D635" t="s">
        <v>1278</v>
      </c>
      <c r="E635">
        <v>109028.8</v>
      </c>
      <c r="F635">
        <v>0</v>
      </c>
      <c r="G635" t="s">
        <v>1279</v>
      </c>
      <c r="H635">
        <v>674110.57</v>
      </c>
      <c r="I635">
        <v>783139.37</v>
      </c>
      <c r="J635">
        <v>1</v>
      </c>
      <c r="K635">
        <v>0</v>
      </c>
      <c r="L635">
        <v>7</v>
      </c>
      <c r="M635">
        <v>0</v>
      </c>
      <c r="N635">
        <v>1</v>
      </c>
      <c r="O635">
        <v>109028.8</v>
      </c>
      <c r="P635">
        <f>IF(C635&gt;=200000,5,IF(C635&gt;=100000,4,IF(C635&gt;=50000,3,IF(C635&gt;=10000,2,1))))</f>
        <v>4</v>
      </c>
      <c r="Q635">
        <f>IF(B635="TRANSFER",5,IF(B635="CASH_OUT",4,IF(B635="DEBIT",2,1)))</f>
        <v>4</v>
      </c>
      <c r="R635">
        <f>(P635*0.5)+(Q635*0.3)+(N635*0.1)+(M635*0.1)</f>
        <v>3.3000000000000003</v>
      </c>
      <c r="S635" t="str">
        <f t="shared" si="9"/>
        <v>HIGH</v>
      </c>
    </row>
    <row r="636" spans="1:19" x14ac:dyDescent="0.3">
      <c r="A636">
        <v>55</v>
      </c>
      <c r="B636" t="s">
        <v>15</v>
      </c>
      <c r="C636">
        <v>854550.85</v>
      </c>
      <c r="D636" t="s">
        <v>1280</v>
      </c>
      <c r="E636">
        <v>854550.85</v>
      </c>
      <c r="F636">
        <v>0</v>
      </c>
      <c r="G636" t="s">
        <v>1281</v>
      </c>
      <c r="H636">
        <v>0</v>
      </c>
      <c r="I636">
        <v>0</v>
      </c>
      <c r="J636">
        <v>1</v>
      </c>
      <c r="K636">
        <v>0</v>
      </c>
      <c r="L636">
        <v>7</v>
      </c>
      <c r="M636">
        <v>0</v>
      </c>
      <c r="N636">
        <v>1</v>
      </c>
      <c r="O636">
        <v>854550.85</v>
      </c>
      <c r="P636">
        <f>IF(C636&gt;=200000,5,IF(C636&gt;=100000,4,IF(C636&gt;=50000,3,IF(C636&gt;=10000,2,1))))</f>
        <v>5</v>
      </c>
      <c r="Q636">
        <f>IF(B636="TRANSFER",5,IF(B636="CASH_OUT",4,IF(B636="DEBIT",2,1)))</f>
        <v>5</v>
      </c>
      <c r="R636">
        <f>(P636*0.5)+(Q636*0.3)+(N636*0.1)+(M636*0.1)</f>
        <v>4.0999999999999996</v>
      </c>
      <c r="S636" t="str">
        <f t="shared" si="9"/>
        <v>HIGH</v>
      </c>
    </row>
    <row r="637" spans="1:19" x14ac:dyDescent="0.3">
      <c r="A637">
        <v>55</v>
      </c>
      <c r="B637" t="s">
        <v>18</v>
      </c>
      <c r="C637">
        <v>854550.85</v>
      </c>
      <c r="D637" t="s">
        <v>1282</v>
      </c>
      <c r="E637">
        <v>854550.85</v>
      </c>
      <c r="F637">
        <v>0</v>
      </c>
      <c r="G637" t="s">
        <v>1283</v>
      </c>
      <c r="H637">
        <v>186808.48</v>
      </c>
      <c r="I637">
        <v>1041359.33</v>
      </c>
      <c r="J637">
        <v>1</v>
      </c>
      <c r="K637">
        <v>0</v>
      </c>
      <c r="L637">
        <v>7</v>
      </c>
      <c r="M637">
        <v>0</v>
      </c>
      <c r="N637">
        <v>1</v>
      </c>
      <c r="O637">
        <v>854550.85</v>
      </c>
      <c r="P637">
        <f>IF(C637&gt;=200000,5,IF(C637&gt;=100000,4,IF(C637&gt;=50000,3,IF(C637&gt;=10000,2,1))))</f>
        <v>5</v>
      </c>
      <c r="Q637">
        <f>IF(B637="TRANSFER",5,IF(B637="CASH_OUT",4,IF(B637="DEBIT",2,1)))</f>
        <v>4</v>
      </c>
      <c r="R637">
        <f>(P637*0.5)+(Q637*0.3)+(N637*0.1)+(M637*0.1)</f>
        <v>3.8000000000000003</v>
      </c>
      <c r="S637" t="str">
        <f t="shared" si="9"/>
        <v>HIGH</v>
      </c>
    </row>
    <row r="638" spans="1:19" x14ac:dyDescent="0.3">
      <c r="A638">
        <v>55</v>
      </c>
      <c r="B638" t="s">
        <v>15</v>
      </c>
      <c r="C638">
        <v>167715.53</v>
      </c>
      <c r="D638" t="s">
        <v>1284</v>
      </c>
      <c r="E638">
        <v>167715.53</v>
      </c>
      <c r="F638">
        <v>0</v>
      </c>
      <c r="G638" t="s">
        <v>1285</v>
      </c>
      <c r="H638">
        <v>0</v>
      </c>
      <c r="I638">
        <v>0</v>
      </c>
      <c r="J638">
        <v>1</v>
      </c>
      <c r="K638">
        <v>0</v>
      </c>
      <c r="L638">
        <v>7</v>
      </c>
      <c r="M638">
        <v>0</v>
      </c>
      <c r="N638">
        <v>1</v>
      </c>
      <c r="O638">
        <v>167715.53</v>
      </c>
      <c r="P638">
        <f>IF(C638&gt;=200000,5,IF(C638&gt;=100000,4,IF(C638&gt;=50000,3,IF(C638&gt;=10000,2,1))))</f>
        <v>4</v>
      </c>
      <c r="Q638">
        <f>IF(B638="TRANSFER",5,IF(B638="CASH_OUT",4,IF(B638="DEBIT",2,1)))</f>
        <v>5</v>
      </c>
      <c r="R638">
        <f>(P638*0.5)+(Q638*0.3)+(N638*0.1)+(M638*0.1)</f>
        <v>3.6</v>
      </c>
      <c r="S638" t="str">
        <f t="shared" si="9"/>
        <v>HIGH</v>
      </c>
    </row>
    <row r="639" spans="1:19" x14ac:dyDescent="0.3">
      <c r="A639">
        <v>55</v>
      </c>
      <c r="B639" t="s">
        <v>18</v>
      </c>
      <c r="C639">
        <v>167715.53</v>
      </c>
      <c r="D639" t="s">
        <v>1286</v>
      </c>
      <c r="E639">
        <v>167715.53</v>
      </c>
      <c r="F639">
        <v>0</v>
      </c>
      <c r="G639" t="s">
        <v>1287</v>
      </c>
      <c r="H639">
        <v>492360.21</v>
      </c>
      <c r="I639">
        <v>660075.73</v>
      </c>
      <c r="J639">
        <v>1</v>
      </c>
      <c r="K639">
        <v>0</v>
      </c>
      <c r="L639">
        <v>7</v>
      </c>
      <c r="M639">
        <v>0</v>
      </c>
      <c r="N639">
        <v>1</v>
      </c>
      <c r="O639">
        <v>167715.53</v>
      </c>
      <c r="P639">
        <f>IF(C639&gt;=200000,5,IF(C639&gt;=100000,4,IF(C639&gt;=50000,3,IF(C639&gt;=10000,2,1))))</f>
        <v>4</v>
      </c>
      <c r="Q639">
        <f>IF(B639="TRANSFER",5,IF(B639="CASH_OUT",4,IF(B639="DEBIT",2,1)))</f>
        <v>4</v>
      </c>
      <c r="R639">
        <f>(P639*0.5)+(Q639*0.3)+(N639*0.1)+(M639*0.1)</f>
        <v>3.3000000000000003</v>
      </c>
      <c r="S639" t="str">
        <f t="shared" si="9"/>
        <v>HIGH</v>
      </c>
    </row>
    <row r="640" spans="1:19" x14ac:dyDescent="0.3">
      <c r="A640">
        <v>56</v>
      </c>
      <c r="B640" t="s">
        <v>15</v>
      </c>
      <c r="C640">
        <v>1932200.59</v>
      </c>
      <c r="D640" t="s">
        <v>1288</v>
      </c>
      <c r="E640">
        <v>1932200.59</v>
      </c>
      <c r="F640">
        <v>0</v>
      </c>
      <c r="G640" t="s">
        <v>1289</v>
      </c>
      <c r="H640">
        <v>0</v>
      </c>
      <c r="I640">
        <v>0</v>
      </c>
      <c r="J640">
        <v>1</v>
      </c>
      <c r="K640">
        <v>0</v>
      </c>
      <c r="L640">
        <v>8</v>
      </c>
      <c r="M640">
        <v>0</v>
      </c>
      <c r="N640">
        <v>1</v>
      </c>
      <c r="O640">
        <v>1932200.59</v>
      </c>
      <c r="P640">
        <f>IF(C640&gt;=200000,5,IF(C640&gt;=100000,4,IF(C640&gt;=50000,3,IF(C640&gt;=10000,2,1))))</f>
        <v>5</v>
      </c>
      <c r="Q640">
        <f>IF(B640="TRANSFER",5,IF(B640="CASH_OUT",4,IF(B640="DEBIT",2,1)))</f>
        <v>5</v>
      </c>
      <c r="R640">
        <f>(P640*0.5)+(Q640*0.3)+(N640*0.1)+(M640*0.1)</f>
        <v>4.0999999999999996</v>
      </c>
      <c r="S640" t="str">
        <f t="shared" si="9"/>
        <v>HIGH</v>
      </c>
    </row>
    <row r="641" spans="1:19" x14ac:dyDescent="0.3">
      <c r="A641">
        <v>56</v>
      </c>
      <c r="B641" t="s">
        <v>18</v>
      </c>
      <c r="C641">
        <v>1932200.59</v>
      </c>
      <c r="D641" t="s">
        <v>1290</v>
      </c>
      <c r="E641">
        <v>1932200.59</v>
      </c>
      <c r="F641">
        <v>0</v>
      </c>
      <c r="G641" t="s">
        <v>1291</v>
      </c>
      <c r="H641">
        <v>0</v>
      </c>
      <c r="I641">
        <v>1932200.59</v>
      </c>
      <c r="J641">
        <v>1</v>
      </c>
      <c r="K641">
        <v>0</v>
      </c>
      <c r="L641">
        <v>8</v>
      </c>
      <c r="M641">
        <v>0</v>
      </c>
      <c r="N641">
        <v>1</v>
      </c>
      <c r="O641">
        <v>1932200.59</v>
      </c>
      <c r="P641">
        <f>IF(C641&gt;=200000,5,IF(C641&gt;=100000,4,IF(C641&gt;=50000,3,IF(C641&gt;=10000,2,1))))</f>
        <v>5</v>
      </c>
      <c r="Q641">
        <f>IF(B641="TRANSFER",5,IF(B641="CASH_OUT",4,IF(B641="DEBIT",2,1)))</f>
        <v>4</v>
      </c>
      <c r="R641">
        <f>(P641*0.5)+(Q641*0.3)+(N641*0.1)+(M641*0.1)</f>
        <v>3.8000000000000003</v>
      </c>
      <c r="S641" t="str">
        <f t="shared" si="9"/>
        <v>HIGH</v>
      </c>
    </row>
    <row r="642" spans="1:19" x14ac:dyDescent="0.3">
      <c r="A642">
        <v>56</v>
      </c>
      <c r="B642" t="s">
        <v>15</v>
      </c>
      <c r="C642">
        <v>829885.13</v>
      </c>
      <c r="D642" t="s">
        <v>1292</v>
      </c>
      <c r="E642">
        <v>829885.13</v>
      </c>
      <c r="F642">
        <v>0</v>
      </c>
      <c r="G642" t="s">
        <v>1293</v>
      </c>
      <c r="H642">
        <v>0</v>
      </c>
      <c r="I642">
        <v>0</v>
      </c>
      <c r="J642">
        <v>1</v>
      </c>
      <c r="K642">
        <v>0</v>
      </c>
      <c r="L642">
        <v>8</v>
      </c>
      <c r="M642">
        <v>0</v>
      </c>
      <c r="N642">
        <v>1</v>
      </c>
      <c r="O642">
        <v>829885.13</v>
      </c>
      <c r="P642">
        <f>IF(C642&gt;=200000,5,IF(C642&gt;=100000,4,IF(C642&gt;=50000,3,IF(C642&gt;=10000,2,1))))</f>
        <v>5</v>
      </c>
      <c r="Q642">
        <f>IF(B642="TRANSFER",5,IF(B642="CASH_OUT",4,IF(B642="DEBIT",2,1)))</f>
        <v>5</v>
      </c>
      <c r="R642">
        <f>(P642*0.5)+(Q642*0.3)+(N642*0.1)+(M642*0.1)</f>
        <v>4.0999999999999996</v>
      </c>
      <c r="S642" t="str">
        <f t="shared" si="9"/>
        <v>HIGH</v>
      </c>
    </row>
    <row r="643" spans="1:19" x14ac:dyDescent="0.3">
      <c r="A643">
        <v>56</v>
      </c>
      <c r="B643" t="s">
        <v>18</v>
      </c>
      <c r="C643">
        <v>829885.13</v>
      </c>
      <c r="D643" t="s">
        <v>1294</v>
      </c>
      <c r="E643">
        <v>829885.13</v>
      </c>
      <c r="F643">
        <v>0</v>
      </c>
      <c r="G643" t="s">
        <v>1295</v>
      </c>
      <c r="H643">
        <v>13300000</v>
      </c>
      <c r="I643">
        <v>14100000</v>
      </c>
      <c r="J643">
        <v>1</v>
      </c>
      <c r="K643">
        <v>0</v>
      </c>
      <c r="L643">
        <v>8</v>
      </c>
      <c r="M643">
        <v>0</v>
      </c>
      <c r="N643">
        <v>1</v>
      </c>
      <c r="O643">
        <v>829885.13</v>
      </c>
      <c r="P643">
        <f>IF(C643&gt;=200000,5,IF(C643&gt;=100000,4,IF(C643&gt;=50000,3,IF(C643&gt;=10000,2,1))))</f>
        <v>5</v>
      </c>
      <c r="Q643">
        <f>IF(B643="TRANSFER",5,IF(B643="CASH_OUT",4,IF(B643="DEBIT",2,1)))</f>
        <v>4</v>
      </c>
      <c r="R643">
        <f>(P643*0.5)+(Q643*0.3)+(N643*0.1)+(M643*0.1)</f>
        <v>3.8000000000000003</v>
      </c>
      <c r="S643" t="str">
        <f t="shared" ref="S643:S706" si="10">IF(R643&gt;=3,"HIGH",IF(R643&gt;=2,"MEDIUM","LOW"))</f>
        <v>HIGH</v>
      </c>
    </row>
    <row r="644" spans="1:19" x14ac:dyDescent="0.3">
      <c r="A644">
        <v>56</v>
      </c>
      <c r="B644" t="s">
        <v>15</v>
      </c>
      <c r="C644">
        <v>42789.93</v>
      </c>
      <c r="D644" t="s">
        <v>1296</v>
      </c>
      <c r="E644">
        <v>42789.93</v>
      </c>
      <c r="F644">
        <v>0</v>
      </c>
      <c r="G644" t="s">
        <v>1297</v>
      </c>
      <c r="H644">
        <v>0</v>
      </c>
      <c r="I644">
        <v>0</v>
      </c>
      <c r="J644">
        <v>1</v>
      </c>
      <c r="K644">
        <v>0</v>
      </c>
      <c r="L644">
        <v>8</v>
      </c>
      <c r="M644">
        <v>0</v>
      </c>
      <c r="N644">
        <v>1</v>
      </c>
      <c r="O644">
        <v>42789.93</v>
      </c>
      <c r="P644">
        <f>IF(C644&gt;=200000,5,IF(C644&gt;=100000,4,IF(C644&gt;=50000,3,IF(C644&gt;=10000,2,1))))</f>
        <v>2</v>
      </c>
      <c r="Q644">
        <f>IF(B644="TRANSFER",5,IF(B644="CASH_OUT",4,IF(B644="DEBIT",2,1)))</f>
        <v>5</v>
      </c>
      <c r="R644">
        <f>(P644*0.5)+(Q644*0.3)+(N644*0.1)+(M644*0.1)</f>
        <v>2.6</v>
      </c>
      <c r="S644" t="str">
        <f t="shared" si="10"/>
        <v>MEDIUM</v>
      </c>
    </row>
    <row r="645" spans="1:19" x14ac:dyDescent="0.3">
      <c r="A645">
        <v>56</v>
      </c>
      <c r="B645" t="s">
        <v>18</v>
      </c>
      <c r="C645">
        <v>42789.93</v>
      </c>
      <c r="D645" t="s">
        <v>1298</v>
      </c>
      <c r="E645">
        <v>42789.93</v>
      </c>
      <c r="F645">
        <v>0</v>
      </c>
      <c r="G645" t="s">
        <v>1299</v>
      </c>
      <c r="H645">
        <v>0</v>
      </c>
      <c r="I645">
        <v>42789.93</v>
      </c>
      <c r="J645">
        <v>1</v>
      </c>
      <c r="K645">
        <v>0</v>
      </c>
      <c r="L645">
        <v>8</v>
      </c>
      <c r="M645">
        <v>0</v>
      </c>
      <c r="N645">
        <v>1</v>
      </c>
      <c r="O645">
        <v>42789.93</v>
      </c>
      <c r="P645">
        <f>IF(C645&gt;=200000,5,IF(C645&gt;=100000,4,IF(C645&gt;=50000,3,IF(C645&gt;=10000,2,1))))</f>
        <v>2</v>
      </c>
      <c r="Q645">
        <f>IF(B645="TRANSFER",5,IF(B645="CASH_OUT",4,IF(B645="DEBIT",2,1)))</f>
        <v>4</v>
      </c>
      <c r="R645">
        <f>(P645*0.5)+(Q645*0.3)+(N645*0.1)+(M645*0.1)</f>
        <v>2.3000000000000003</v>
      </c>
      <c r="S645" t="str">
        <f t="shared" si="10"/>
        <v>MEDIUM</v>
      </c>
    </row>
    <row r="646" spans="1:19" x14ac:dyDescent="0.3">
      <c r="A646">
        <v>56</v>
      </c>
      <c r="B646" t="s">
        <v>15</v>
      </c>
      <c r="C646">
        <v>136562.78</v>
      </c>
      <c r="D646" t="s">
        <v>1300</v>
      </c>
      <c r="E646">
        <v>136562.78</v>
      </c>
      <c r="F646">
        <v>0</v>
      </c>
      <c r="G646" t="s">
        <v>1301</v>
      </c>
      <c r="H646">
        <v>0</v>
      </c>
      <c r="I646">
        <v>0</v>
      </c>
      <c r="J646">
        <v>1</v>
      </c>
      <c r="K646">
        <v>0</v>
      </c>
      <c r="L646">
        <v>8</v>
      </c>
      <c r="M646">
        <v>0</v>
      </c>
      <c r="N646">
        <v>1</v>
      </c>
      <c r="O646">
        <v>136562.78</v>
      </c>
      <c r="P646">
        <f>IF(C646&gt;=200000,5,IF(C646&gt;=100000,4,IF(C646&gt;=50000,3,IF(C646&gt;=10000,2,1))))</f>
        <v>4</v>
      </c>
      <c r="Q646">
        <f>IF(B646="TRANSFER",5,IF(B646="CASH_OUT",4,IF(B646="DEBIT",2,1)))</f>
        <v>5</v>
      </c>
      <c r="R646">
        <f>(P646*0.5)+(Q646*0.3)+(N646*0.1)+(M646*0.1)</f>
        <v>3.6</v>
      </c>
      <c r="S646" t="str">
        <f t="shared" si="10"/>
        <v>HIGH</v>
      </c>
    </row>
    <row r="647" spans="1:19" x14ac:dyDescent="0.3">
      <c r="A647">
        <v>56</v>
      </c>
      <c r="B647" t="s">
        <v>18</v>
      </c>
      <c r="C647">
        <v>136562.78</v>
      </c>
      <c r="D647" t="s">
        <v>1302</v>
      </c>
      <c r="E647">
        <v>136562.78</v>
      </c>
      <c r="F647">
        <v>0</v>
      </c>
      <c r="G647" t="s">
        <v>1303</v>
      </c>
      <c r="H647">
        <v>21100.34</v>
      </c>
      <c r="I647">
        <v>157663.12</v>
      </c>
      <c r="J647">
        <v>1</v>
      </c>
      <c r="K647">
        <v>0</v>
      </c>
      <c r="L647">
        <v>8</v>
      </c>
      <c r="M647">
        <v>0</v>
      </c>
      <c r="N647">
        <v>1</v>
      </c>
      <c r="O647">
        <v>136562.78</v>
      </c>
      <c r="P647">
        <f>IF(C647&gt;=200000,5,IF(C647&gt;=100000,4,IF(C647&gt;=50000,3,IF(C647&gt;=10000,2,1))))</f>
        <v>4</v>
      </c>
      <c r="Q647">
        <f>IF(B647="TRANSFER",5,IF(B647="CASH_OUT",4,IF(B647="DEBIT",2,1)))</f>
        <v>4</v>
      </c>
      <c r="R647">
        <f>(P647*0.5)+(Q647*0.3)+(N647*0.1)+(M647*0.1)</f>
        <v>3.3000000000000003</v>
      </c>
      <c r="S647" t="str">
        <f t="shared" si="10"/>
        <v>HIGH</v>
      </c>
    </row>
    <row r="648" spans="1:19" x14ac:dyDescent="0.3">
      <c r="A648">
        <v>56</v>
      </c>
      <c r="B648" t="s">
        <v>15</v>
      </c>
      <c r="C648">
        <v>82767.31</v>
      </c>
      <c r="D648" t="s">
        <v>1304</v>
      </c>
      <c r="E648">
        <v>82767.31</v>
      </c>
      <c r="F648">
        <v>0</v>
      </c>
      <c r="G648" t="s">
        <v>1305</v>
      </c>
      <c r="H648">
        <v>0</v>
      </c>
      <c r="I648">
        <v>0</v>
      </c>
      <c r="J648">
        <v>1</v>
      </c>
      <c r="K648">
        <v>0</v>
      </c>
      <c r="L648">
        <v>8</v>
      </c>
      <c r="M648">
        <v>0</v>
      </c>
      <c r="N648">
        <v>1</v>
      </c>
      <c r="O648">
        <v>82767.31</v>
      </c>
      <c r="P648">
        <f>IF(C648&gt;=200000,5,IF(C648&gt;=100000,4,IF(C648&gt;=50000,3,IF(C648&gt;=10000,2,1))))</f>
        <v>3</v>
      </c>
      <c r="Q648">
        <f>IF(B648="TRANSFER",5,IF(B648="CASH_OUT",4,IF(B648="DEBIT",2,1)))</f>
        <v>5</v>
      </c>
      <c r="R648">
        <f>(P648*0.5)+(Q648*0.3)+(N648*0.1)+(M648*0.1)</f>
        <v>3.1</v>
      </c>
      <c r="S648" t="str">
        <f t="shared" si="10"/>
        <v>HIGH</v>
      </c>
    </row>
    <row r="649" spans="1:19" x14ac:dyDescent="0.3">
      <c r="A649">
        <v>56</v>
      </c>
      <c r="B649" t="s">
        <v>18</v>
      </c>
      <c r="C649">
        <v>82767.31</v>
      </c>
      <c r="D649" t="s">
        <v>1306</v>
      </c>
      <c r="E649">
        <v>82767.31</v>
      </c>
      <c r="F649">
        <v>0</v>
      </c>
      <c r="G649" t="s">
        <v>1307</v>
      </c>
      <c r="H649">
        <v>401173.22</v>
      </c>
      <c r="I649">
        <v>483940.53</v>
      </c>
      <c r="J649">
        <v>1</v>
      </c>
      <c r="K649">
        <v>0</v>
      </c>
      <c r="L649">
        <v>8</v>
      </c>
      <c r="M649">
        <v>0</v>
      </c>
      <c r="N649">
        <v>1</v>
      </c>
      <c r="O649">
        <v>82767.31</v>
      </c>
      <c r="P649">
        <f>IF(C649&gt;=200000,5,IF(C649&gt;=100000,4,IF(C649&gt;=50000,3,IF(C649&gt;=10000,2,1))))</f>
        <v>3</v>
      </c>
      <c r="Q649">
        <f>IF(B649="TRANSFER",5,IF(B649="CASH_OUT",4,IF(B649="DEBIT",2,1)))</f>
        <v>4</v>
      </c>
      <c r="R649">
        <f>(P649*0.5)+(Q649*0.3)+(N649*0.1)+(M649*0.1)</f>
        <v>2.8000000000000003</v>
      </c>
      <c r="S649" t="str">
        <f t="shared" si="10"/>
        <v>MEDIUM</v>
      </c>
    </row>
    <row r="650" spans="1:19" x14ac:dyDescent="0.3">
      <c r="A650">
        <v>56</v>
      </c>
      <c r="B650" t="s">
        <v>15</v>
      </c>
      <c r="C650">
        <v>2776135.33</v>
      </c>
      <c r="D650" t="s">
        <v>1308</v>
      </c>
      <c r="E650">
        <v>2776135.33</v>
      </c>
      <c r="F650">
        <v>0</v>
      </c>
      <c r="G650" t="s">
        <v>1309</v>
      </c>
      <c r="H650">
        <v>0</v>
      </c>
      <c r="I650">
        <v>0</v>
      </c>
      <c r="J650">
        <v>1</v>
      </c>
      <c r="K650">
        <v>0</v>
      </c>
      <c r="L650">
        <v>8</v>
      </c>
      <c r="M650">
        <v>0</v>
      </c>
      <c r="N650">
        <v>1</v>
      </c>
      <c r="O650">
        <v>2776135.33</v>
      </c>
      <c r="P650">
        <f>IF(C650&gt;=200000,5,IF(C650&gt;=100000,4,IF(C650&gt;=50000,3,IF(C650&gt;=10000,2,1))))</f>
        <v>5</v>
      </c>
      <c r="Q650">
        <f>IF(B650="TRANSFER",5,IF(B650="CASH_OUT",4,IF(B650="DEBIT",2,1)))</f>
        <v>5</v>
      </c>
      <c r="R650">
        <f>(P650*0.5)+(Q650*0.3)+(N650*0.1)+(M650*0.1)</f>
        <v>4.0999999999999996</v>
      </c>
      <c r="S650" t="str">
        <f t="shared" si="10"/>
        <v>HIGH</v>
      </c>
    </row>
    <row r="651" spans="1:19" x14ac:dyDescent="0.3">
      <c r="A651">
        <v>56</v>
      </c>
      <c r="B651" t="s">
        <v>18</v>
      </c>
      <c r="C651">
        <v>2776135.33</v>
      </c>
      <c r="D651" t="s">
        <v>1310</v>
      </c>
      <c r="E651">
        <v>2776135.33</v>
      </c>
      <c r="F651">
        <v>0</v>
      </c>
      <c r="G651" t="s">
        <v>1311</v>
      </c>
      <c r="H651">
        <v>0</v>
      </c>
      <c r="I651">
        <v>2776135.33</v>
      </c>
      <c r="J651">
        <v>1</v>
      </c>
      <c r="K651">
        <v>0</v>
      </c>
      <c r="L651">
        <v>8</v>
      </c>
      <c r="M651">
        <v>0</v>
      </c>
      <c r="N651">
        <v>1</v>
      </c>
      <c r="O651">
        <v>2776135.33</v>
      </c>
      <c r="P651">
        <f>IF(C651&gt;=200000,5,IF(C651&gt;=100000,4,IF(C651&gt;=50000,3,IF(C651&gt;=10000,2,1))))</f>
        <v>5</v>
      </c>
      <c r="Q651">
        <f>IF(B651="TRANSFER",5,IF(B651="CASH_OUT",4,IF(B651="DEBIT",2,1)))</f>
        <v>4</v>
      </c>
      <c r="R651">
        <f>(P651*0.5)+(Q651*0.3)+(N651*0.1)+(M651*0.1)</f>
        <v>3.8000000000000003</v>
      </c>
      <c r="S651" t="str">
        <f t="shared" si="10"/>
        <v>HIGH</v>
      </c>
    </row>
    <row r="652" spans="1:19" x14ac:dyDescent="0.3">
      <c r="A652">
        <v>56</v>
      </c>
      <c r="B652" t="s">
        <v>15</v>
      </c>
      <c r="C652">
        <v>4243468.1900000004</v>
      </c>
      <c r="D652" t="s">
        <v>1312</v>
      </c>
      <c r="E652">
        <v>4243468.1900000004</v>
      </c>
      <c r="F652">
        <v>0</v>
      </c>
      <c r="G652" t="s">
        <v>1313</v>
      </c>
      <c r="H652">
        <v>0</v>
      </c>
      <c r="I652">
        <v>0</v>
      </c>
      <c r="J652">
        <v>1</v>
      </c>
      <c r="K652">
        <v>0</v>
      </c>
      <c r="L652">
        <v>8</v>
      </c>
      <c r="M652">
        <v>0</v>
      </c>
      <c r="N652">
        <v>1</v>
      </c>
      <c r="O652">
        <v>4243468.1900000004</v>
      </c>
      <c r="P652">
        <f>IF(C652&gt;=200000,5,IF(C652&gt;=100000,4,IF(C652&gt;=50000,3,IF(C652&gt;=10000,2,1))))</f>
        <v>5</v>
      </c>
      <c r="Q652">
        <f>IF(B652="TRANSFER",5,IF(B652="CASH_OUT",4,IF(B652="DEBIT",2,1)))</f>
        <v>5</v>
      </c>
      <c r="R652">
        <f>(P652*0.5)+(Q652*0.3)+(N652*0.1)+(M652*0.1)</f>
        <v>4.0999999999999996</v>
      </c>
      <c r="S652" t="str">
        <f t="shared" si="10"/>
        <v>HIGH</v>
      </c>
    </row>
    <row r="653" spans="1:19" x14ac:dyDescent="0.3">
      <c r="A653">
        <v>56</v>
      </c>
      <c r="B653" t="s">
        <v>18</v>
      </c>
      <c r="C653">
        <v>4243468.1900000004</v>
      </c>
      <c r="D653" t="s">
        <v>1314</v>
      </c>
      <c r="E653">
        <v>4243468.1900000004</v>
      </c>
      <c r="F653">
        <v>0</v>
      </c>
      <c r="G653" t="s">
        <v>1315</v>
      </c>
      <c r="H653">
        <v>698483.22</v>
      </c>
      <c r="I653">
        <v>4941951.41</v>
      </c>
      <c r="J653">
        <v>1</v>
      </c>
      <c r="K653">
        <v>0</v>
      </c>
      <c r="L653">
        <v>8</v>
      </c>
      <c r="M653">
        <v>0</v>
      </c>
      <c r="N653">
        <v>1</v>
      </c>
      <c r="O653">
        <v>4243468.1900000004</v>
      </c>
      <c r="P653">
        <f>IF(C653&gt;=200000,5,IF(C653&gt;=100000,4,IF(C653&gt;=50000,3,IF(C653&gt;=10000,2,1))))</f>
        <v>5</v>
      </c>
      <c r="Q653">
        <f>IF(B653="TRANSFER",5,IF(B653="CASH_OUT",4,IF(B653="DEBIT",2,1)))</f>
        <v>4</v>
      </c>
      <c r="R653">
        <f>(P653*0.5)+(Q653*0.3)+(N653*0.1)+(M653*0.1)</f>
        <v>3.8000000000000003</v>
      </c>
      <c r="S653" t="str">
        <f t="shared" si="10"/>
        <v>HIGH</v>
      </c>
    </row>
    <row r="654" spans="1:19" x14ac:dyDescent="0.3">
      <c r="A654">
        <v>56</v>
      </c>
      <c r="B654" t="s">
        <v>15</v>
      </c>
      <c r="C654">
        <v>530733.43000000005</v>
      </c>
      <c r="D654" t="s">
        <v>1316</v>
      </c>
      <c r="E654">
        <v>530733.43000000005</v>
      </c>
      <c r="F654">
        <v>0</v>
      </c>
      <c r="G654" t="s">
        <v>1317</v>
      </c>
      <c r="H654">
        <v>0</v>
      </c>
      <c r="I654">
        <v>0</v>
      </c>
      <c r="J654">
        <v>1</v>
      </c>
      <c r="K654">
        <v>0</v>
      </c>
      <c r="L654">
        <v>8</v>
      </c>
      <c r="M654">
        <v>0</v>
      </c>
      <c r="N654">
        <v>1</v>
      </c>
      <c r="O654">
        <v>530733.43000000005</v>
      </c>
      <c r="P654">
        <f>IF(C654&gt;=200000,5,IF(C654&gt;=100000,4,IF(C654&gt;=50000,3,IF(C654&gt;=10000,2,1))))</f>
        <v>5</v>
      </c>
      <c r="Q654">
        <f>IF(B654="TRANSFER",5,IF(B654="CASH_OUT",4,IF(B654="DEBIT",2,1)))</f>
        <v>5</v>
      </c>
      <c r="R654">
        <f>(P654*0.5)+(Q654*0.3)+(N654*0.1)+(M654*0.1)</f>
        <v>4.0999999999999996</v>
      </c>
      <c r="S654" t="str">
        <f t="shared" si="10"/>
        <v>HIGH</v>
      </c>
    </row>
    <row r="655" spans="1:19" x14ac:dyDescent="0.3">
      <c r="A655">
        <v>56</v>
      </c>
      <c r="B655" t="s">
        <v>18</v>
      </c>
      <c r="C655">
        <v>530733.43000000005</v>
      </c>
      <c r="D655" t="s">
        <v>1318</v>
      </c>
      <c r="E655">
        <v>530733.43000000005</v>
      </c>
      <c r="F655">
        <v>0</v>
      </c>
      <c r="G655" t="s">
        <v>1319</v>
      </c>
      <c r="H655">
        <v>233066.99</v>
      </c>
      <c r="I655">
        <v>763800.42</v>
      </c>
      <c r="J655">
        <v>1</v>
      </c>
      <c r="K655">
        <v>0</v>
      </c>
      <c r="L655">
        <v>8</v>
      </c>
      <c r="M655">
        <v>0</v>
      </c>
      <c r="N655">
        <v>1</v>
      </c>
      <c r="O655">
        <v>530733.43000000005</v>
      </c>
      <c r="P655">
        <f>IF(C655&gt;=200000,5,IF(C655&gt;=100000,4,IF(C655&gt;=50000,3,IF(C655&gt;=10000,2,1))))</f>
        <v>5</v>
      </c>
      <c r="Q655">
        <f>IF(B655="TRANSFER",5,IF(B655="CASH_OUT",4,IF(B655="DEBIT",2,1)))</f>
        <v>4</v>
      </c>
      <c r="R655">
        <f>(P655*0.5)+(Q655*0.3)+(N655*0.1)+(M655*0.1)</f>
        <v>3.8000000000000003</v>
      </c>
      <c r="S655" t="str">
        <f t="shared" si="10"/>
        <v>HIGH</v>
      </c>
    </row>
    <row r="656" spans="1:19" x14ac:dyDescent="0.3">
      <c r="A656">
        <v>56</v>
      </c>
      <c r="B656" t="s">
        <v>15</v>
      </c>
      <c r="C656">
        <v>325242.69</v>
      </c>
      <c r="D656" t="s">
        <v>1320</v>
      </c>
      <c r="E656">
        <v>325242.69</v>
      </c>
      <c r="F656">
        <v>0</v>
      </c>
      <c r="G656" t="s">
        <v>1321</v>
      </c>
      <c r="H656">
        <v>0</v>
      </c>
      <c r="I656">
        <v>0</v>
      </c>
      <c r="J656">
        <v>1</v>
      </c>
      <c r="K656">
        <v>0</v>
      </c>
      <c r="L656">
        <v>8</v>
      </c>
      <c r="M656">
        <v>0</v>
      </c>
      <c r="N656">
        <v>1</v>
      </c>
      <c r="O656">
        <v>325242.69</v>
      </c>
      <c r="P656">
        <f>IF(C656&gt;=200000,5,IF(C656&gt;=100000,4,IF(C656&gt;=50000,3,IF(C656&gt;=10000,2,1))))</f>
        <v>5</v>
      </c>
      <c r="Q656">
        <f>IF(B656="TRANSFER",5,IF(B656="CASH_OUT",4,IF(B656="DEBIT",2,1)))</f>
        <v>5</v>
      </c>
      <c r="R656">
        <f>(P656*0.5)+(Q656*0.3)+(N656*0.1)+(M656*0.1)</f>
        <v>4.0999999999999996</v>
      </c>
      <c r="S656" t="str">
        <f t="shared" si="10"/>
        <v>HIGH</v>
      </c>
    </row>
    <row r="657" spans="1:19" x14ac:dyDescent="0.3">
      <c r="A657">
        <v>56</v>
      </c>
      <c r="B657" t="s">
        <v>18</v>
      </c>
      <c r="C657">
        <v>325242.69</v>
      </c>
      <c r="D657" t="s">
        <v>1322</v>
      </c>
      <c r="E657">
        <v>325242.69</v>
      </c>
      <c r="F657">
        <v>0</v>
      </c>
      <c r="G657" t="s">
        <v>1323</v>
      </c>
      <c r="H657">
        <v>910845.46</v>
      </c>
      <c r="I657">
        <v>1236088.1499999999</v>
      </c>
      <c r="J657">
        <v>1</v>
      </c>
      <c r="K657">
        <v>0</v>
      </c>
      <c r="L657">
        <v>8</v>
      </c>
      <c r="M657">
        <v>0</v>
      </c>
      <c r="N657">
        <v>1</v>
      </c>
      <c r="O657">
        <v>325242.69</v>
      </c>
      <c r="P657">
        <f>IF(C657&gt;=200000,5,IF(C657&gt;=100000,4,IF(C657&gt;=50000,3,IF(C657&gt;=10000,2,1))))</f>
        <v>5</v>
      </c>
      <c r="Q657">
        <f>IF(B657="TRANSFER",5,IF(B657="CASH_OUT",4,IF(B657="DEBIT",2,1)))</f>
        <v>4</v>
      </c>
      <c r="R657">
        <f>(P657*0.5)+(Q657*0.3)+(N657*0.1)+(M657*0.1)</f>
        <v>3.8000000000000003</v>
      </c>
      <c r="S657" t="str">
        <f t="shared" si="10"/>
        <v>HIGH</v>
      </c>
    </row>
    <row r="658" spans="1:19" x14ac:dyDescent="0.3">
      <c r="A658">
        <v>57</v>
      </c>
      <c r="B658" t="s">
        <v>15</v>
      </c>
      <c r="C658">
        <v>157610.10999999999</v>
      </c>
      <c r="D658" t="s">
        <v>1324</v>
      </c>
      <c r="E658">
        <v>157610.10999999999</v>
      </c>
      <c r="F658">
        <v>0</v>
      </c>
      <c r="G658" t="s">
        <v>1325</v>
      </c>
      <c r="H658">
        <v>0</v>
      </c>
      <c r="I658">
        <v>0</v>
      </c>
      <c r="J658">
        <v>1</v>
      </c>
      <c r="K658">
        <v>0</v>
      </c>
      <c r="L658">
        <v>9</v>
      </c>
      <c r="M658">
        <v>0</v>
      </c>
      <c r="N658">
        <v>1</v>
      </c>
      <c r="O658">
        <v>157610.10999999999</v>
      </c>
      <c r="P658">
        <f>IF(C658&gt;=200000,5,IF(C658&gt;=100000,4,IF(C658&gt;=50000,3,IF(C658&gt;=10000,2,1))))</f>
        <v>4</v>
      </c>
      <c r="Q658">
        <f>IF(B658="TRANSFER",5,IF(B658="CASH_OUT",4,IF(B658="DEBIT",2,1)))</f>
        <v>5</v>
      </c>
      <c r="R658">
        <f>(P658*0.5)+(Q658*0.3)+(N658*0.1)+(M658*0.1)</f>
        <v>3.6</v>
      </c>
      <c r="S658" t="str">
        <f t="shared" si="10"/>
        <v>HIGH</v>
      </c>
    </row>
    <row r="659" spans="1:19" x14ac:dyDescent="0.3">
      <c r="A659">
        <v>57</v>
      </c>
      <c r="B659" t="s">
        <v>18</v>
      </c>
      <c r="C659">
        <v>157610.10999999999</v>
      </c>
      <c r="D659" t="s">
        <v>1326</v>
      </c>
      <c r="E659">
        <v>157610.10999999999</v>
      </c>
      <c r="F659">
        <v>0</v>
      </c>
      <c r="G659" t="s">
        <v>1327</v>
      </c>
      <c r="H659">
        <v>949587.48</v>
      </c>
      <c r="I659">
        <v>1107197.5900000001</v>
      </c>
      <c r="J659">
        <v>1</v>
      </c>
      <c r="K659">
        <v>0</v>
      </c>
      <c r="L659">
        <v>9</v>
      </c>
      <c r="M659">
        <v>0</v>
      </c>
      <c r="N659">
        <v>1</v>
      </c>
      <c r="O659">
        <v>157610.10999999999</v>
      </c>
      <c r="P659">
        <f>IF(C659&gt;=200000,5,IF(C659&gt;=100000,4,IF(C659&gt;=50000,3,IF(C659&gt;=10000,2,1))))</f>
        <v>4</v>
      </c>
      <c r="Q659">
        <f>IF(B659="TRANSFER",5,IF(B659="CASH_OUT",4,IF(B659="DEBIT",2,1)))</f>
        <v>4</v>
      </c>
      <c r="R659">
        <f>(P659*0.5)+(Q659*0.3)+(N659*0.1)+(M659*0.1)</f>
        <v>3.3000000000000003</v>
      </c>
      <c r="S659" t="str">
        <f t="shared" si="10"/>
        <v>HIGH</v>
      </c>
    </row>
    <row r="660" spans="1:19" x14ac:dyDescent="0.3">
      <c r="A660">
        <v>57</v>
      </c>
      <c r="B660" t="s">
        <v>15</v>
      </c>
      <c r="C660">
        <v>354441.19</v>
      </c>
      <c r="D660" t="s">
        <v>1328</v>
      </c>
      <c r="E660">
        <v>354441.19</v>
      </c>
      <c r="F660">
        <v>0</v>
      </c>
      <c r="G660" t="s">
        <v>1329</v>
      </c>
      <c r="H660">
        <v>0</v>
      </c>
      <c r="I660">
        <v>0</v>
      </c>
      <c r="J660">
        <v>1</v>
      </c>
      <c r="K660">
        <v>0</v>
      </c>
      <c r="L660">
        <v>9</v>
      </c>
      <c r="M660">
        <v>0</v>
      </c>
      <c r="N660">
        <v>1</v>
      </c>
      <c r="O660">
        <v>354441.19</v>
      </c>
      <c r="P660">
        <f>IF(C660&gt;=200000,5,IF(C660&gt;=100000,4,IF(C660&gt;=50000,3,IF(C660&gt;=10000,2,1))))</f>
        <v>5</v>
      </c>
      <c r="Q660">
        <f>IF(B660="TRANSFER",5,IF(B660="CASH_OUT",4,IF(B660="DEBIT",2,1)))</f>
        <v>5</v>
      </c>
      <c r="R660">
        <f>(P660*0.5)+(Q660*0.3)+(N660*0.1)+(M660*0.1)</f>
        <v>4.0999999999999996</v>
      </c>
      <c r="S660" t="str">
        <f t="shared" si="10"/>
        <v>HIGH</v>
      </c>
    </row>
    <row r="661" spans="1:19" x14ac:dyDescent="0.3">
      <c r="A661">
        <v>57</v>
      </c>
      <c r="B661" t="s">
        <v>18</v>
      </c>
      <c r="C661">
        <v>354441.19</v>
      </c>
      <c r="D661" t="s">
        <v>1330</v>
      </c>
      <c r="E661">
        <v>354441.19</v>
      </c>
      <c r="F661">
        <v>0</v>
      </c>
      <c r="G661" t="s">
        <v>1331</v>
      </c>
      <c r="H661">
        <v>452296.45</v>
      </c>
      <c r="I661">
        <v>806737.65</v>
      </c>
      <c r="J661">
        <v>1</v>
      </c>
      <c r="K661">
        <v>0</v>
      </c>
      <c r="L661">
        <v>9</v>
      </c>
      <c r="M661">
        <v>0</v>
      </c>
      <c r="N661">
        <v>1</v>
      </c>
      <c r="O661">
        <v>354441.19</v>
      </c>
      <c r="P661">
        <f>IF(C661&gt;=200000,5,IF(C661&gt;=100000,4,IF(C661&gt;=50000,3,IF(C661&gt;=10000,2,1))))</f>
        <v>5</v>
      </c>
      <c r="Q661">
        <f>IF(B661="TRANSFER",5,IF(B661="CASH_OUT",4,IF(B661="DEBIT",2,1)))</f>
        <v>4</v>
      </c>
      <c r="R661">
        <f>(P661*0.5)+(Q661*0.3)+(N661*0.1)+(M661*0.1)</f>
        <v>3.8000000000000003</v>
      </c>
      <c r="S661" t="str">
        <f t="shared" si="10"/>
        <v>HIGH</v>
      </c>
    </row>
    <row r="662" spans="1:19" x14ac:dyDescent="0.3">
      <c r="A662">
        <v>57</v>
      </c>
      <c r="B662" t="s">
        <v>15</v>
      </c>
      <c r="C662">
        <v>1014816.16</v>
      </c>
      <c r="D662" t="s">
        <v>1332</v>
      </c>
      <c r="E662">
        <v>1014816.16</v>
      </c>
      <c r="F662">
        <v>0</v>
      </c>
      <c r="G662" t="s">
        <v>1333</v>
      </c>
      <c r="H662">
        <v>0</v>
      </c>
      <c r="I662">
        <v>0</v>
      </c>
      <c r="J662">
        <v>1</v>
      </c>
      <c r="K662">
        <v>0</v>
      </c>
      <c r="L662">
        <v>9</v>
      </c>
      <c r="M662">
        <v>0</v>
      </c>
      <c r="N662">
        <v>1</v>
      </c>
      <c r="O662">
        <v>1014816.16</v>
      </c>
      <c r="P662">
        <f>IF(C662&gt;=200000,5,IF(C662&gt;=100000,4,IF(C662&gt;=50000,3,IF(C662&gt;=10000,2,1))))</f>
        <v>5</v>
      </c>
      <c r="Q662">
        <f>IF(B662="TRANSFER",5,IF(B662="CASH_OUT",4,IF(B662="DEBIT",2,1)))</f>
        <v>5</v>
      </c>
      <c r="R662">
        <f>(P662*0.5)+(Q662*0.3)+(N662*0.1)+(M662*0.1)</f>
        <v>4.0999999999999996</v>
      </c>
      <c r="S662" t="str">
        <f t="shared" si="10"/>
        <v>HIGH</v>
      </c>
    </row>
    <row r="663" spans="1:19" x14ac:dyDescent="0.3">
      <c r="A663">
        <v>57</v>
      </c>
      <c r="B663" t="s">
        <v>18</v>
      </c>
      <c r="C663">
        <v>1014816.16</v>
      </c>
      <c r="D663" t="s">
        <v>1334</v>
      </c>
      <c r="E663">
        <v>1014816.16</v>
      </c>
      <c r="F663">
        <v>0</v>
      </c>
      <c r="G663" t="s">
        <v>1335</v>
      </c>
      <c r="H663">
        <v>1417511.04</v>
      </c>
      <c r="I663">
        <v>2432327.2000000002</v>
      </c>
      <c r="J663">
        <v>1</v>
      </c>
      <c r="K663">
        <v>0</v>
      </c>
      <c r="L663">
        <v>9</v>
      </c>
      <c r="M663">
        <v>0</v>
      </c>
      <c r="N663">
        <v>1</v>
      </c>
      <c r="O663">
        <v>1014816.16</v>
      </c>
      <c r="P663">
        <f>IF(C663&gt;=200000,5,IF(C663&gt;=100000,4,IF(C663&gt;=50000,3,IF(C663&gt;=10000,2,1))))</f>
        <v>5</v>
      </c>
      <c r="Q663">
        <f>IF(B663="TRANSFER",5,IF(B663="CASH_OUT",4,IF(B663="DEBIT",2,1)))</f>
        <v>4</v>
      </c>
      <c r="R663">
        <f>(P663*0.5)+(Q663*0.3)+(N663*0.1)+(M663*0.1)</f>
        <v>3.8000000000000003</v>
      </c>
      <c r="S663" t="str">
        <f t="shared" si="10"/>
        <v>HIGH</v>
      </c>
    </row>
    <row r="664" spans="1:19" x14ac:dyDescent="0.3">
      <c r="A664">
        <v>58</v>
      </c>
      <c r="B664" t="s">
        <v>15</v>
      </c>
      <c r="C664">
        <v>246938.77</v>
      </c>
      <c r="D664" t="s">
        <v>1336</v>
      </c>
      <c r="E664">
        <v>246938.77</v>
      </c>
      <c r="F664">
        <v>0</v>
      </c>
      <c r="G664" t="s">
        <v>1337</v>
      </c>
      <c r="H664">
        <v>0</v>
      </c>
      <c r="I664">
        <v>0</v>
      </c>
      <c r="J664">
        <v>1</v>
      </c>
      <c r="K664">
        <v>0</v>
      </c>
      <c r="L664">
        <v>10</v>
      </c>
      <c r="M664">
        <v>0</v>
      </c>
      <c r="N664">
        <v>1</v>
      </c>
      <c r="O664">
        <v>246938.77</v>
      </c>
      <c r="P664">
        <f>IF(C664&gt;=200000,5,IF(C664&gt;=100000,4,IF(C664&gt;=50000,3,IF(C664&gt;=10000,2,1))))</f>
        <v>5</v>
      </c>
      <c r="Q664">
        <f>IF(B664="TRANSFER",5,IF(B664="CASH_OUT",4,IF(B664="DEBIT",2,1)))</f>
        <v>5</v>
      </c>
      <c r="R664">
        <f>(P664*0.5)+(Q664*0.3)+(N664*0.1)+(M664*0.1)</f>
        <v>4.0999999999999996</v>
      </c>
      <c r="S664" t="str">
        <f t="shared" si="10"/>
        <v>HIGH</v>
      </c>
    </row>
    <row r="665" spans="1:19" x14ac:dyDescent="0.3">
      <c r="A665">
        <v>58</v>
      </c>
      <c r="B665" t="s">
        <v>18</v>
      </c>
      <c r="C665">
        <v>246938.77</v>
      </c>
      <c r="D665" t="s">
        <v>1338</v>
      </c>
      <c r="E665">
        <v>246938.77</v>
      </c>
      <c r="F665">
        <v>0</v>
      </c>
      <c r="G665" t="s">
        <v>1339</v>
      </c>
      <c r="H665">
        <v>0</v>
      </c>
      <c r="I665">
        <v>246938.77</v>
      </c>
      <c r="J665">
        <v>1</v>
      </c>
      <c r="K665">
        <v>0</v>
      </c>
      <c r="L665">
        <v>10</v>
      </c>
      <c r="M665">
        <v>0</v>
      </c>
      <c r="N665">
        <v>1</v>
      </c>
      <c r="O665">
        <v>246938.77</v>
      </c>
      <c r="P665">
        <f>IF(C665&gt;=200000,5,IF(C665&gt;=100000,4,IF(C665&gt;=50000,3,IF(C665&gt;=10000,2,1))))</f>
        <v>5</v>
      </c>
      <c r="Q665">
        <f>IF(B665="TRANSFER",5,IF(B665="CASH_OUT",4,IF(B665="DEBIT",2,1)))</f>
        <v>4</v>
      </c>
      <c r="R665">
        <f>(P665*0.5)+(Q665*0.3)+(N665*0.1)+(M665*0.1)</f>
        <v>3.8000000000000003</v>
      </c>
      <c r="S665" t="str">
        <f t="shared" si="10"/>
        <v>HIGH</v>
      </c>
    </row>
    <row r="666" spans="1:19" x14ac:dyDescent="0.3">
      <c r="A666">
        <v>58</v>
      </c>
      <c r="B666" t="s">
        <v>15</v>
      </c>
      <c r="C666">
        <v>561948.38</v>
      </c>
      <c r="D666" t="s">
        <v>1340</v>
      </c>
      <c r="E666">
        <v>561948.38</v>
      </c>
      <c r="F666">
        <v>0</v>
      </c>
      <c r="G666" t="s">
        <v>1341</v>
      </c>
      <c r="H666">
        <v>0</v>
      </c>
      <c r="I666">
        <v>0</v>
      </c>
      <c r="J666">
        <v>1</v>
      </c>
      <c r="K666">
        <v>0</v>
      </c>
      <c r="L666">
        <v>10</v>
      </c>
      <c r="M666">
        <v>0</v>
      </c>
      <c r="N666">
        <v>1</v>
      </c>
      <c r="O666">
        <v>561948.38</v>
      </c>
      <c r="P666">
        <f>IF(C666&gt;=200000,5,IF(C666&gt;=100000,4,IF(C666&gt;=50000,3,IF(C666&gt;=10000,2,1))))</f>
        <v>5</v>
      </c>
      <c r="Q666">
        <f>IF(B666="TRANSFER",5,IF(B666="CASH_OUT",4,IF(B666="DEBIT",2,1)))</f>
        <v>5</v>
      </c>
      <c r="R666">
        <f>(P666*0.5)+(Q666*0.3)+(N666*0.1)+(M666*0.1)</f>
        <v>4.0999999999999996</v>
      </c>
      <c r="S666" t="str">
        <f t="shared" si="10"/>
        <v>HIGH</v>
      </c>
    </row>
    <row r="667" spans="1:19" x14ac:dyDescent="0.3">
      <c r="A667">
        <v>58</v>
      </c>
      <c r="B667" t="s">
        <v>18</v>
      </c>
      <c r="C667">
        <v>561948.38</v>
      </c>
      <c r="D667" t="s">
        <v>1342</v>
      </c>
      <c r="E667">
        <v>561948.38</v>
      </c>
      <c r="F667">
        <v>0</v>
      </c>
      <c r="G667" t="s">
        <v>1343</v>
      </c>
      <c r="H667">
        <v>30911.97</v>
      </c>
      <c r="I667">
        <v>592860.35</v>
      </c>
      <c r="J667">
        <v>1</v>
      </c>
      <c r="K667">
        <v>0</v>
      </c>
      <c r="L667">
        <v>10</v>
      </c>
      <c r="M667">
        <v>0</v>
      </c>
      <c r="N667">
        <v>1</v>
      </c>
      <c r="O667">
        <v>561948.38</v>
      </c>
      <c r="P667">
        <f>IF(C667&gt;=200000,5,IF(C667&gt;=100000,4,IF(C667&gt;=50000,3,IF(C667&gt;=10000,2,1))))</f>
        <v>5</v>
      </c>
      <c r="Q667">
        <f>IF(B667="TRANSFER",5,IF(B667="CASH_OUT",4,IF(B667="DEBIT",2,1)))</f>
        <v>4</v>
      </c>
      <c r="R667">
        <f>(P667*0.5)+(Q667*0.3)+(N667*0.1)+(M667*0.1)</f>
        <v>3.8000000000000003</v>
      </c>
      <c r="S667" t="str">
        <f t="shared" si="10"/>
        <v>HIGH</v>
      </c>
    </row>
    <row r="668" spans="1:19" x14ac:dyDescent="0.3">
      <c r="A668">
        <v>58</v>
      </c>
      <c r="B668" t="s">
        <v>15</v>
      </c>
      <c r="C668">
        <v>106673.26</v>
      </c>
      <c r="D668" t="s">
        <v>1344</v>
      </c>
      <c r="E668">
        <v>106673.26</v>
      </c>
      <c r="F668">
        <v>0</v>
      </c>
      <c r="G668" t="s">
        <v>1345</v>
      </c>
      <c r="H668">
        <v>0</v>
      </c>
      <c r="I668">
        <v>0</v>
      </c>
      <c r="J668">
        <v>1</v>
      </c>
      <c r="K668">
        <v>0</v>
      </c>
      <c r="L668">
        <v>10</v>
      </c>
      <c r="M668">
        <v>0</v>
      </c>
      <c r="N668">
        <v>1</v>
      </c>
      <c r="O668">
        <v>106673.26</v>
      </c>
      <c r="P668">
        <f>IF(C668&gt;=200000,5,IF(C668&gt;=100000,4,IF(C668&gt;=50000,3,IF(C668&gt;=10000,2,1))))</f>
        <v>4</v>
      </c>
      <c r="Q668">
        <f>IF(B668="TRANSFER",5,IF(B668="CASH_OUT",4,IF(B668="DEBIT",2,1)))</f>
        <v>5</v>
      </c>
      <c r="R668">
        <f>(P668*0.5)+(Q668*0.3)+(N668*0.1)+(M668*0.1)</f>
        <v>3.6</v>
      </c>
      <c r="S668" t="str">
        <f t="shared" si="10"/>
        <v>HIGH</v>
      </c>
    </row>
    <row r="669" spans="1:19" x14ac:dyDescent="0.3">
      <c r="A669">
        <v>58</v>
      </c>
      <c r="B669" t="s">
        <v>18</v>
      </c>
      <c r="C669">
        <v>106673.26</v>
      </c>
      <c r="D669" t="s">
        <v>1346</v>
      </c>
      <c r="E669">
        <v>106673.26</v>
      </c>
      <c r="F669">
        <v>0</v>
      </c>
      <c r="G669" t="s">
        <v>1347</v>
      </c>
      <c r="H669">
        <v>0</v>
      </c>
      <c r="I669">
        <v>106673.26</v>
      </c>
      <c r="J669">
        <v>1</v>
      </c>
      <c r="K669">
        <v>0</v>
      </c>
      <c r="L669">
        <v>10</v>
      </c>
      <c r="M669">
        <v>0</v>
      </c>
      <c r="N669">
        <v>1</v>
      </c>
      <c r="O669">
        <v>106673.26</v>
      </c>
      <c r="P669">
        <f>IF(C669&gt;=200000,5,IF(C669&gt;=100000,4,IF(C669&gt;=50000,3,IF(C669&gt;=10000,2,1))))</f>
        <v>4</v>
      </c>
      <c r="Q669">
        <f>IF(B669="TRANSFER",5,IF(B669="CASH_OUT",4,IF(B669="DEBIT",2,1)))</f>
        <v>4</v>
      </c>
      <c r="R669">
        <f>(P669*0.5)+(Q669*0.3)+(N669*0.1)+(M669*0.1)</f>
        <v>3.3000000000000003</v>
      </c>
      <c r="S669" t="str">
        <f t="shared" si="10"/>
        <v>HIGH</v>
      </c>
    </row>
    <row r="670" spans="1:19" x14ac:dyDescent="0.3">
      <c r="A670">
        <v>58</v>
      </c>
      <c r="B670" t="s">
        <v>15</v>
      </c>
      <c r="C670">
        <v>6501303.1399999997</v>
      </c>
      <c r="D670" t="s">
        <v>1348</v>
      </c>
      <c r="E670">
        <v>6501303.1399999997</v>
      </c>
      <c r="F670">
        <v>0</v>
      </c>
      <c r="G670" t="s">
        <v>1349</v>
      </c>
      <c r="H670">
        <v>0</v>
      </c>
      <c r="I670">
        <v>0</v>
      </c>
      <c r="J670">
        <v>1</v>
      </c>
      <c r="K670">
        <v>0</v>
      </c>
      <c r="L670">
        <v>10</v>
      </c>
      <c r="M670">
        <v>0</v>
      </c>
      <c r="N670">
        <v>1</v>
      </c>
      <c r="O670">
        <v>6501303.1399999997</v>
      </c>
      <c r="P670">
        <f>IF(C670&gt;=200000,5,IF(C670&gt;=100000,4,IF(C670&gt;=50000,3,IF(C670&gt;=10000,2,1))))</f>
        <v>5</v>
      </c>
      <c r="Q670">
        <f>IF(B670="TRANSFER",5,IF(B670="CASH_OUT",4,IF(B670="DEBIT",2,1)))</f>
        <v>5</v>
      </c>
      <c r="R670">
        <f>(P670*0.5)+(Q670*0.3)+(N670*0.1)+(M670*0.1)</f>
        <v>4.0999999999999996</v>
      </c>
      <c r="S670" t="str">
        <f t="shared" si="10"/>
        <v>HIGH</v>
      </c>
    </row>
    <row r="671" spans="1:19" x14ac:dyDescent="0.3">
      <c r="A671">
        <v>58</v>
      </c>
      <c r="B671" t="s">
        <v>18</v>
      </c>
      <c r="C671">
        <v>6501303.1399999997</v>
      </c>
      <c r="D671" t="s">
        <v>1350</v>
      </c>
      <c r="E671">
        <v>6501303.1399999997</v>
      </c>
      <c r="F671">
        <v>0</v>
      </c>
      <c r="G671" t="s">
        <v>1351</v>
      </c>
      <c r="H671">
        <v>4439499.5</v>
      </c>
      <c r="I671">
        <v>10900000</v>
      </c>
      <c r="J671">
        <v>1</v>
      </c>
      <c r="K671">
        <v>0</v>
      </c>
      <c r="L671">
        <v>10</v>
      </c>
      <c r="M671">
        <v>0</v>
      </c>
      <c r="N671">
        <v>1</v>
      </c>
      <c r="O671">
        <v>6501303.1399999997</v>
      </c>
      <c r="P671">
        <f>IF(C671&gt;=200000,5,IF(C671&gt;=100000,4,IF(C671&gt;=50000,3,IF(C671&gt;=10000,2,1))))</f>
        <v>5</v>
      </c>
      <c r="Q671">
        <f>IF(B671="TRANSFER",5,IF(B671="CASH_OUT",4,IF(B671="DEBIT",2,1)))</f>
        <v>4</v>
      </c>
      <c r="R671">
        <f>(P671*0.5)+(Q671*0.3)+(N671*0.1)+(M671*0.1)</f>
        <v>3.8000000000000003</v>
      </c>
      <c r="S671" t="str">
        <f t="shared" si="10"/>
        <v>HIGH</v>
      </c>
    </row>
    <row r="672" spans="1:19" x14ac:dyDescent="0.3">
      <c r="A672">
        <v>58</v>
      </c>
      <c r="B672" t="s">
        <v>15</v>
      </c>
      <c r="C672">
        <v>3156421.43</v>
      </c>
      <c r="D672" t="s">
        <v>1352</v>
      </c>
      <c r="E672">
        <v>3156421.43</v>
      </c>
      <c r="F672">
        <v>0</v>
      </c>
      <c r="G672" t="s">
        <v>1353</v>
      </c>
      <c r="H672">
        <v>0</v>
      </c>
      <c r="I672">
        <v>0</v>
      </c>
      <c r="J672">
        <v>1</v>
      </c>
      <c r="K672">
        <v>0</v>
      </c>
      <c r="L672">
        <v>10</v>
      </c>
      <c r="M672">
        <v>0</v>
      </c>
      <c r="N672">
        <v>1</v>
      </c>
      <c r="O672">
        <v>3156421.43</v>
      </c>
      <c r="P672">
        <f>IF(C672&gt;=200000,5,IF(C672&gt;=100000,4,IF(C672&gt;=50000,3,IF(C672&gt;=10000,2,1))))</f>
        <v>5</v>
      </c>
      <c r="Q672">
        <f>IF(B672="TRANSFER",5,IF(B672="CASH_OUT",4,IF(B672="DEBIT",2,1)))</f>
        <v>5</v>
      </c>
      <c r="R672">
        <f>(P672*0.5)+(Q672*0.3)+(N672*0.1)+(M672*0.1)</f>
        <v>4.0999999999999996</v>
      </c>
      <c r="S672" t="str">
        <f t="shared" si="10"/>
        <v>HIGH</v>
      </c>
    </row>
    <row r="673" spans="1:19" x14ac:dyDescent="0.3">
      <c r="A673">
        <v>58</v>
      </c>
      <c r="B673" t="s">
        <v>18</v>
      </c>
      <c r="C673">
        <v>3156421.43</v>
      </c>
      <c r="D673" t="s">
        <v>1354</v>
      </c>
      <c r="E673">
        <v>3156421.43</v>
      </c>
      <c r="F673">
        <v>0</v>
      </c>
      <c r="G673" t="s">
        <v>1355</v>
      </c>
      <c r="H673">
        <v>181440.45</v>
      </c>
      <c r="I673">
        <v>3337861.88</v>
      </c>
      <c r="J673">
        <v>1</v>
      </c>
      <c r="K673">
        <v>0</v>
      </c>
      <c r="L673">
        <v>10</v>
      </c>
      <c r="M673">
        <v>0</v>
      </c>
      <c r="N673">
        <v>1</v>
      </c>
      <c r="O673">
        <v>3156421.43</v>
      </c>
      <c r="P673">
        <f>IF(C673&gt;=200000,5,IF(C673&gt;=100000,4,IF(C673&gt;=50000,3,IF(C673&gt;=10000,2,1))))</f>
        <v>5</v>
      </c>
      <c r="Q673">
        <f>IF(B673="TRANSFER",5,IF(B673="CASH_OUT",4,IF(B673="DEBIT",2,1)))</f>
        <v>4</v>
      </c>
      <c r="R673">
        <f>(P673*0.5)+(Q673*0.3)+(N673*0.1)+(M673*0.1)</f>
        <v>3.8000000000000003</v>
      </c>
      <c r="S673" t="str">
        <f t="shared" si="10"/>
        <v>HIGH</v>
      </c>
    </row>
    <row r="674" spans="1:19" x14ac:dyDescent="0.3">
      <c r="A674">
        <v>58</v>
      </c>
      <c r="B674" t="s">
        <v>15</v>
      </c>
      <c r="C674">
        <v>1789155.73</v>
      </c>
      <c r="D674" t="s">
        <v>1356</v>
      </c>
      <c r="E674">
        <v>1789155.73</v>
      </c>
      <c r="F674">
        <v>0</v>
      </c>
      <c r="G674" t="s">
        <v>1357</v>
      </c>
      <c r="H674">
        <v>0</v>
      </c>
      <c r="I674">
        <v>0</v>
      </c>
      <c r="J674">
        <v>1</v>
      </c>
      <c r="K674">
        <v>0</v>
      </c>
      <c r="L674">
        <v>10</v>
      </c>
      <c r="M674">
        <v>0</v>
      </c>
      <c r="N674">
        <v>1</v>
      </c>
      <c r="O674">
        <v>1789155.73</v>
      </c>
      <c r="P674">
        <f>IF(C674&gt;=200000,5,IF(C674&gt;=100000,4,IF(C674&gt;=50000,3,IF(C674&gt;=10000,2,1))))</f>
        <v>5</v>
      </c>
      <c r="Q674">
        <f>IF(B674="TRANSFER",5,IF(B674="CASH_OUT",4,IF(B674="DEBIT",2,1)))</f>
        <v>5</v>
      </c>
      <c r="R674">
        <f>(P674*0.5)+(Q674*0.3)+(N674*0.1)+(M674*0.1)</f>
        <v>4.0999999999999996</v>
      </c>
      <c r="S674" t="str">
        <f t="shared" si="10"/>
        <v>HIGH</v>
      </c>
    </row>
    <row r="675" spans="1:19" x14ac:dyDescent="0.3">
      <c r="A675">
        <v>58</v>
      </c>
      <c r="B675" t="s">
        <v>18</v>
      </c>
      <c r="C675">
        <v>1789155.73</v>
      </c>
      <c r="D675" t="s">
        <v>1358</v>
      </c>
      <c r="E675">
        <v>1789155.73</v>
      </c>
      <c r="F675">
        <v>0</v>
      </c>
      <c r="G675" t="s">
        <v>1359</v>
      </c>
      <c r="H675">
        <v>2031388.61</v>
      </c>
      <c r="I675">
        <v>3820544.34</v>
      </c>
      <c r="J675">
        <v>1</v>
      </c>
      <c r="K675">
        <v>0</v>
      </c>
      <c r="L675">
        <v>10</v>
      </c>
      <c r="M675">
        <v>0</v>
      </c>
      <c r="N675">
        <v>1</v>
      </c>
      <c r="O675">
        <v>1789155.73</v>
      </c>
      <c r="P675">
        <f>IF(C675&gt;=200000,5,IF(C675&gt;=100000,4,IF(C675&gt;=50000,3,IF(C675&gt;=10000,2,1))))</f>
        <v>5</v>
      </c>
      <c r="Q675">
        <f>IF(B675="TRANSFER",5,IF(B675="CASH_OUT",4,IF(B675="DEBIT",2,1)))</f>
        <v>4</v>
      </c>
      <c r="R675">
        <f>(P675*0.5)+(Q675*0.3)+(N675*0.1)+(M675*0.1)</f>
        <v>3.8000000000000003</v>
      </c>
      <c r="S675" t="str">
        <f t="shared" si="10"/>
        <v>HIGH</v>
      </c>
    </row>
    <row r="676" spans="1:19" x14ac:dyDescent="0.3">
      <c r="A676">
        <v>58</v>
      </c>
      <c r="B676" t="s">
        <v>15</v>
      </c>
      <c r="C676">
        <v>456745.18</v>
      </c>
      <c r="D676" t="s">
        <v>1360</v>
      </c>
      <c r="E676">
        <v>456745.18</v>
      </c>
      <c r="F676">
        <v>0</v>
      </c>
      <c r="G676" t="s">
        <v>1361</v>
      </c>
      <c r="H676">
        <v>0</v>
      </c>
      <c r="I676">
        <v>0</v>
      </c>
      <c r="J676">
        <v>1</v>
      </c>
      <c r="K676">
        <v>0</v>
      </c>
      <c r="L676">
        <v>10</v>
      </c>
      <c r="M676">
        <v>0</v>
      </c>
      <c r="N676">
        <v>1</v>
      </c>
      <c r="O676">
        <v>456745.18</v>
      </c>
      <c r="P676">
        <f>IF(C676&gt;=200000,5,IF(C676&gt;=100000,4,IF(C676&gt;=50000,3,IF(C676&gt;=10000,2,1))))</f>
        <v>5</v>
      </c>
      <c r="Q676">
        <f>IF(B676="TRANSFER",5,IF(B676="CASH_OUT",4,IF(B676="DEBIT",2,1)))</f>
        <v>5</v>
      </c>
      <c r="R676">
        <f>(P676*0.5)+(Q676*0.3)+(N676*0.1)+(M676*0.1)</f>
        <v>4.0999999999999996</v>
      </c>
      <c r="S676" t="str">
        <f t="shared" si="10"/>
        <v>HIGH</v>
      </c>
    </row>
    <row r="677" spans="1:19" x14ac:dyDescent="0.3">
      <c r="A677">
        <v>58</v>
      </c>
      <c r="B677" t="s">
        <v>18</v>
      </c>
      <c r="C677">
        <v>456745.18</v>
      </c>
      <c r="D677" t="s">
        <v>1362</v>
      </c>
      <c r="E677">
        <v>456745.18</v>
      </c>
      <c r="F677">
        <v>0</v>
      </c>
      <c r="G677" t="s">
        <v>1363</v>
      </c>
      <c r="H677">
        <v>0</v>
      </c>
      <c r="I677">
        <v>456745.18</v>
      </c>
      <c r="J677">
        <v>1</v>
      </c>
      <c r="K677">
        <v>0</v>
      </c>
      <c r="L677">
        <v>10</v>
      </c>
      <c r="M677">
        <v>0</v>
      </c>
      <c r="N677">
        <v>1</v>
      </c>
      <c r="O677">
        <v>456745.18</v>
      </c>
      <c r="P677">
        <f>IF(C677&gt;=200000,5,IF(C677&gt;=100000,4,IF(C677&gt;=50000,3,IF(C677&gt;=10000,2,1))))</f>
        <v>5</v>
      </c>
      <c r="Q677">
        <f>IF(B677="TRANSFER",5,IF(B677="CASH_OUT",4,IF(B677="DEBIT",2,1)))</f>
        <v>4</v>
      </c>
      <c r="R677">
        <f>(P677*0.5)+(Q677*0.3)+(N677*0.1)+(M677*0.1)</f>
        <v>3.8000000000000003</v>
      </c>
      <c r="S677" t="str">
        <f t="shared" si="10"/>
        <v>HIGH</v>
      </c>
    </row>
    <row r="678" spans="1:19" x14ac:dyDescent="0.3">
      <c r="A678">
        <v>58</v>
      </c>
      <c r="B678" t="s">
        <v>15</v>
      </c>
      <c r="C678">
        <v>7108914.2199999997</v>
      </c>
      <c r="D678" t="s">
        <v>1364</v>
      </c>
      <c r="E678">
        <v>7108914.2199999997</v>
      </c>
      <c r="F678">
        <v>0</v>
      </c>
      <c r="G678" t="s">
        <v>1365</v>
      </c>
      <c r="H678">
        <v>0</v>
      </c>
      <c r="I678">
        <v>0</v>
      </c>
      <c r="J678">
        <v>1</v>
      </c>
      <c r="K678">
        <v>0</v>
      </c>
      <c r="L678">
        <v>10</v>
      </c>
      <c r="M678">
        <v>0</v>
      </c>
      <c r="N678">
        <v>1</v>
      </c>
      <c r="O678">
        <v>7108914.2199999997</v>
      </c>
      <c r="P678">
        <f>IF(C678&gt;=200000,5,IF(C678&gt;=100000,4,IF(C678&gt;=50000,3,IF(C678&gt;=10000,2,1))))</f>
        <v>5</v>
      </c>
      <c r="Q678">
        <f>IF(B678="TRANSFER",5,IF(B678="CASH_OUT",4,IF(B678="DEBIT",2,1)))</f>
        <v>5</v>
      </c>
      <c r="R678">
        <f>(P678*0.5)+(Q678*0.3)+(N678*0.1)+(M678*0.1)</f>
        <v>4.0999999999999996</v>
      </c>
      <c r="S678" t="str">
        <f t="shared" si="10"/>
        <v>HIGH</v>
      </c>
    </row>
    <row r="679" spans="1:19" x14ac:dyDescent="0.3">
      <c r="A679">
        <v>58</v>
      </c>
      <c r="B679" t="s">
        <v>18</v>
      </c>
      <c r="C679">
        <v>7108914.2199999997</v>
      </c>
      <c r="D679" t="s">
        <v>1366</v>
      </c>
      <c r="E679">
        <v>7108914.2199999997</v>
      </c>
      <c r="F679">
        <v>0</v>
      </c>
      <c r="G679" t="s">
        <v>1367</v>
      </c>
      <c r="H679">
        <v>0</v>
      </c>
      <c r="I679">
        <v>7108914.2199999997</v>
      </c>
      <c r="J679">
        <v>1</v>
      </c>
      <c r="K679">
        <v>0</v>
      </c>
      <c r="L679">
        <v>10</v>
      </c>
      <c r="M679">
        <v>0</v>
      </c>
      <c r="N679">
        <v>1</v>
      </c>
      <c r="O679">
        <v>7108914.2199999997</v>
      </c>
      <c r="P679">
        <f>IF(C679&gt;=200000,5,IF(C679&gt;=100000,4,IF(C679&gt;=50000,3,IF(C679&gt;=10000,2,1))))</f>
        <v>5</v>
      </c>
      <c r="Q679">
        <f>IF(B679="TRANSFER",5,IF(B679="CASH_OUT",4,IF(B679="DEBIT",2,1)))</f>
        <v>4</v>
      </c>
      <c r="R679">
        <f>(P679*0.5)+(Q679*0.3)+(N679*0.1)+(M679*0.1)</f>
        <v>3.8000000000000003</v>
      </c>
      <c r="S679" t="str">
        <f t="shared" si="10"/>
        <v>HIGH</v>
      </c>
    </row>
    <row r="680" spans="1:19" x14ac:dyDescent="0.3">
      <c r="A680">
        <v>58</v>
      </c>
      <c r="B680" t="s">
        <v>15</v>
      </c>
      <c r="C680">
        <v>109525.67</v>
      </c>
      <c r="D680" t="s">
        <v>1368</v>
      </c>
      <c r="E680">
        <v>109525.67</v>
      </c>
      <c r="F680">
        <v>0</v>
      </c>
      <c r="G680" t="s">
        <v>1369</v>
      </c>
      <c r="H680">
        <v>0</v>
      </c>
      <c r="I680">
        <v>0</v>
      </c>
      <c r="J680">
        <v>1</v>
      </c>
      <c r="K680">
        <v>0</v>
      </c>
      <c r="L680">
        <v>10</v>
      </c>
      <c r="M680">
        <v>0</v>
      </c>
      <c r="N680">
        <v>1</v>
      </c>
      <c r="O680">
        <v>109525.67</v>
      </c>
      <c r="P680">
        <f>IF(C680&gt;=200000,5,IF(C680&gt;=100000,4,IF(C680&gt;=50000,3,IF(C680&gt;=10000,2,1))))</f>
        <v>4</v>
      </c>
      <c r="Q680">
        <f>IF(B680="TRANSFER",5,IF(B680="CASH_OUT",4,IF(B680="DEBIT",2,1)))</f>
        <v>5</v>
      </c>
      <c r="R680">
        <f>(P680*0.5)+(Q680*0.3)+(N680*0.1)+(M680*0.1)</f>
        <v>3.6</v>
      </c>
      <c r="S680" t="str">
        <f t="shared" si="10"/>
        <v>HIGH</v>
      </c>
    </row>
    <row r="681" spans="1:19" x14ac:dyDescent="0.3">
      <c r="A681">
        <v>58</v>
      </c>
      <c r="B681" t="s">
        <v>18</v>
      </c>
      <c r="C681">
        <v>109525.67</v>
      </c>
      <c r="D681" t="s">
        <v>1370</v>
      </c>
      <c r="E681">
        <v>109525.67</v>
      </c>
      <c r="F681">
        <v>0</v>
      </c>
      <c r="G681" t="s">
        <v>1371</v>
      </c>
      <c r="H681">
        <v>3997342.61</v>
      </c>
      <c r="I681">
        <v>4106868.28</v>
      </c>
      <c r="J681">
        <v>1</v>
      </c>
      <c r="K681">
        <v>0</v>
      </c>
      <c r="L681">
        <v>10</v>
      </c>
      <c r="M681">
        <v>0</v>
      </c>
      <c r="N681">
        <v>1</v>
      </c>
      <c r="O681">
        <v>109525.67</v>
      </c>
      <c r="P681">
        <f>IF(C681&gt;=200000,5,IF(C681&gt;=100000,4,IF(C681&gt;=50000,3,IF(C681&gt;=10000,2,1))))</f>
        <v>4</v>
      </c>
      <c r="Q681">
        <f>IF(B681="TRANSFER",5,IF(B681="CASH_OUT",4,IF(B681="DEBIT",2,1)))</f>
        <v>4</v>
      </c>
      <c r="R681">
        <f>(P681*0.5)+(Q681*0.3)+(N681*0.1)+(M681*0.1)</f>
        <v>3.3000000000000003</v>
      </c>
      <c r="S681" t="str">
        <f t="shared" si="10"/>
        <v>HIGH</v>
      </c>
    </row>
    <row r="682" spans="1:19" x14ac:dyDescent="0.3">
      <c r="A682">
        <v>58</v>
      </c>
      <c r="B682" t="s">
        <v>15</v>
      </c>
      <c r="C682">
        <v>378688.65</v>
      </c>
      <c r="D682" t="s">
        <v>1372</v>
      </c>
      <c r="E682">
        <v>378688.65</v>
      </c>
      <c r="F682">
        <v>0</v>
      </c>
      <c r="G682" t="s">
        <v>1373</v>
      </c>
      <c r="H682">
        <v>0</v>
      </c>
      <c r="I682">
        <v>0</v>
      </c>
      <c r="J682">
        <v>1</v>
      </c>
      <c r="K682">
        <v>0</v>
      </c>
      <c r="L682">
        <v>10</v>
      </c>
      <c r="M682">
        <v>0</v>
      </c>
      <c r="N682">
        <v>1</v>
      </c>
      <c r="O682">
        <v>378688.65</v>
      </c>
      <c r="P682">
        <f>IF(C682&gt;=200000,5,IF(C682&gt;=100000,4,IF(C682&gt;=50000,3,IF(C682&gt;=10000,2,1))))</f>
        <v>5</v>
      </c>
      <c r="Q682">
        <f>IF(B682="TRANSFER",5,IF(B682="CASH_OUT",4,IF(B682="DEBIT",2,1)))</f>
        <v>5</v>
      </c>
      <c r="R682">
        <f>(P682*0.5)+(Q682*0.3)+(N682*0.1)+(M682*0.1)</f>
        <v>4.0999999999999996</v>
      </c>
      <c r="S682" t="str">
        <f t="shared" si="10"/>
        <v>HIGH</v>
      </c>
    </row>
    <row r="683" spans="1:19" x14ac:dyDescent="0.3">
      <c r="A683">
        <v>58</v>
      </c>
      <c r="B683" t="s">
        <v>18</v>
      </c>
      <c r="C683">
        <v>378688.65</v>
      </c>
      <c r="D683" t="s">
        <v>1374</v>
      </c>
      <c r="E683">
        <v>378688.65</v>
      </c>
      <c r="F683">
        <v>0</v>
      </c>
      <c r="G683" t="s">
        <v>1375</v>
      </c>
      <c r="H683">
        <v>0</v>
      </c>
      <c r="I683">
        <v>378688.65</v>
      </c>
      <c r="J683">
        <v>1</v>
      </c>
      <c r="K683">
        <v>0</v>
      </c>
      <c r="L683">
        <v>10</v>
      </c>
      <c r="M683">
        <v>0</v>
      </c>
      <c r="N683">
        <v>1</v>
      </c>
      <c r="O683">
        <v>378688.65</v>
      </c>
      <c r="P683">
        <f>IF(C683&gt;=200000,5,IF(C683&gt;=100000,4,IF(C683&gt;=50000,3,IF(C683&gt;=10000,2,1))))</f>
        <v>5</v>
      </c>
      <c r="Q683">
        <f>IF(B683="TRANSFER",5,IF(B683="CASH_OUT",4,IF(B683="DEBIT",2,1)))</f>
        <v>4</v>
      </c>
      <c r="R683">
        <f>(P683*0.5)+(Q683*0.3)+(N683*0.1)+(M683*0.1)</f>
        <v>3.8000000000000003</v>
      </c>
      <c r="S683" t="str">
        <f t="shared" si="10"/>
        <v>HIGH</v>
      </c>
    </row>
    <row r="684" spans="1:19" x14ac:dyDescent="0.3">
      <c r="A684">
        <v>59</v>
      </c>
      <c r="B684" t="s">
        <v>15</v>
      </c>
      <c r="C684">
        <v>394388.09</v>
      </c>
      <c r="D684" t="s">
        <v>1376</v>
      </c>
      <c r="E684">
        <v>394388.09</v>
      </c>
      <c r="F684">
        <v>0</v>
      </c>
      <c r="G684" t="s">
        <v>1377</v>
      </c>
      <c r="H684">
        <v>0</v>
      </c>
      <c r="I684">
        <v>0</v>
      </c>
      <c r="J684">
        <v>1</v>
      </c>
      <c r="K684">
        <v>0</v>
      </c>
      <c r="L684">
        <v>11</v>
      </c>
      <c r="M684">
        <v>0</v>
      </c>
      <c r="N684">
        <v>1</v>
      </c>
      <c r="O684">
        <v>394388.09</v>
      </c>
      <c r="P684">
        <f>IF(C684&gt;=200000,5,IF(C684&gt;=100000,4,IF(C684&gt;=50000,3,IF(C684&gt;=10000,2,1))))</f>
        <v>5</v>
      </c>
      <c r="Q684">
        <f>IF(B684="TRANSFER",5,IF(B684="CASH_OUT",4,IF(B684="DEBIT",2,1)))</f>
        <v>5</v>
      </c>
      <c r="R684">
        <f>(P684*0.5)+(Q684*0.3)+(N684*0.1)+(M684*0.1)</f>
        <v>4.0999999999999996</v>
      </c>
      <c r="S684" t="str">
        <f t="shared" si="10"/>
        <v>HIGH</v>
      </c>
    </row>
    <row r="685" spans="1:19" x14ac:dyDescent="0.3">
      <c r="A685">
        <v>59</v>
      </c>
      <c r="B685" t="s">
        <v>18</v>
      </c>
      <c r="C685">
        <v>394388.09</v>
      </c>
      <c r="D685" t="s">
        <v>1378</v>
      </c>
      <c r="E685">
        <v>394388.09</v>
      </c>
      <c r="F685">
        <v>0</v>
      </c>
      <c r="G685" t="s">
        <v>1379</v>
      </c>
      <c r="H685">
        <v>1260564.49</v>
      </c>
      <c r="I685">
        <v>1654952.58</v>
      </c>
      <c r="J685">
        <v>1</v>
      </c>
      <c r="K685">
        <v>0</v>
      </c>
      <c r="L685">
        <v>11</v>
      </c>
      <c r="M685">
        <v>0</v>
      </c>
      <c r="N685">
        <v>1</v>
      </c>
      <c r="O685">
        <v>394388.09</v>
      </c>
      <c r="P685">
        <f>IF(C685&gt;=200000,5,IF(C685&gt;=100000,4,IF(C685&gt;=50000,3,IF(C685&gt;=10000,2,1))))</f>
        <v>5</v>
      </c>
      <c r="Q685">
        <f>IF(B685="TRANSFER",5,IF(B685="CASH_OUT",4,IF(B685="DEBIT",2,1)))</f>
        <v>4</v>
      </c>
      <c r="R685">
        <f>(P685*0.5)+(Q685*0.3)+(N685*0.1)+(M685*0.1)</f>
        <v>3.8000000000000003</v>
      </c>
      <c r="S685" t="str">
        <f t="shared" si="10"/>
        <v>HIGH</v>
      </c>
    </row>
    <row r="686" spans="1:19" x14ac:dyDescent="0.3">
      <c r="A686">
        <v>59</v>
      </c>
      <c r="B686" t="s">
        <v>15</v>
      </c>
      <c r="C686">
        <v>3904257.51</v>
      </c>
      <c r="D686" t="s">
        <v>1380</v>
      </c>
      <c r="E686">
        <v>3904257.51</v>
      </c>
      <c r="F686">
        <v>0</v>
      </c>
      <c r="G686" t="s">
        <v>1381</v>
      </c>
      <c r="H686">
        <v>0</v>
      </c>
      <c r="I686">
        <v>0</v>
      </c>
      <c r="J686">
        <v>1</v>
      </c>
      <c r="K686">
        <v>0</v>
      </c>
      <c r="L686">
        <v>11</v>
      </c>
      <c r="M686">
        <v>0</v>
      </c>
      <c r="N686">
        <v>1</v>
      </c>
      <c r="O686">
        <v>3904257.51</v>
      </c>
      <c r="P686">
        <f>IF(C686&gt;=200000,5,IF(C686&gt;=100000,4,IF(C686&gt;=50000,3,IF(C686&gt;=10000,2,1))))</f>
        <v>5</v>
      </c>
      <c r="Q686">
        <f>IF(B686="TRANSFER",5,IF(B686="CASH_OUT",4,IF(B686="DEBIT",2,1)))</f>
        <v>5</v>
      </c>
      <c r="R686">
        <f>(P686*0.5)+(Q686*0.3)+(N686*0.1)+(M686*0.1)</f>
        <v>4.0999999999999996</v>
      </c>
      <c r="S686" t="str">
        <f t="shared" si="10"/>
        <v>HIGH</v>
      </c>
    </row>
    <row r="687" spans="1:19" x14ac:dyDescent="0.3">
      <c r="A687">
        <v>59</v>
      </c>
      <c r="B687" t="s">
        <v>18</v>
      </c>
      <c r="C687">
        <v>3904257.51</v>
      </c>
      <c r="D687" t="s">
        <v>1382</v>
      </c>
      <c r="E687">
        <v>3904257.51</v>
      </c>
      <c r="F687">
        <v>0</v>
      </c>
      <c r="G687" t="s">
        <v>1383</v>
      </c>
      <c r="H687">
        <v>0</v>
      </c>
      <c r="I687">
        <v>3904257.51</v>
      </c>
      <c r="J687">
        <v>1</v>
      </c>
      <c r="K687">
        <v>0</v>
      </c>
      <c r="L687">
        <v>11</v>
      </c>
      <c r="M687">
        <v>0</v>
      </c>
      <c r="N687">
        <v>1</v>
      </c>
      <c r="O687">
        <v>3904257.51</v>
      </c>
      <c r="P687">
        <f>IF(C687&gt;=200000,5,IF(C687&gt;=100000,4,IF(C687&gt;=50000,3,IF(C687&gt;=10000,2,1))))</f>
        <v>5</v>
      </c>
      <c r="Q687">
        <f>IF(B687="TRANSFER",5,IF(B687="CASH_OUT",4,IF(B687="DEBIT",2,1)))</f>
        <v>4</v>
      </c>
      <c r="R687">
        <f>(P687*0.5)+(Q687*0.3)+(N687*0.1)+(M687*0.1)</f>
        <v>3.8000000000000003</v>
      </c>
      <c r="S687" t="str">
        <f t="shared" si="10"/>
        <v>HIGH</v>
      </c>
    </row>
    <row r="688" spans="1:19" x14ac:dyDescent="0.3">
      <c r="A688">
        <v>59</v>
      </c>
      <c r="B688" t="s">
        <v>15</v>
      </c>
      <c r="C688">
        <v>3857176.83</v>
      </c>
      <c r="D688" t="s">
        <v>1384</v>
      </c>
      <c r="E688">
        <v>3857176.83</v>
      </c>
      <c r="F688">
        <v>0</v>
      </c>
      <c r="G688" t="s">
        <v>1385</v>
      </c>
      <c r="H688">
        <v>0</v>
      </c>
      <c r="I688">
        <v>0</v>
      </c>
      <c r="J688">
        <v>1</v>
      </c>
      <c r="K688">
        <v>0</v>
      </c>
      <c r="L688">
        <v>11</v>
      </c>
      <c r="M688">
        <v>0</v>
      </c>
      <c r="N688">
        <v>1</v>
      </c>
      <c r="O688">
        <v>3857176.83</v>
      </c>
      <c r="P688">
        <f>IF(C688&gt;=200000,5,IF(C688&gt;=100000,4,IF(C688&gt;=50000,3,IF(C688&gt;=10000,2,1))))</f>
        <v>5</v>
      </c>
      <c r="Q688">
        <f>IF(B688="TRANSFER",5,IF(B688="CASH_OUT",4,IF(B688="DEBIT",2,1)))</f>
        <v>5</v>
      </c>
      <c r="R688">
        <f>(P688*0.5)+(Q688*0.3)+(N688*0.1)+(M688*0.1)</f>
        <v>4.0999999999999996</v>
      </c>
      <c r="S688" t="str">
        <f t="shared" si="10"/>
        <v>HIGH</v>
      </c>
    </row>
    <row r="689" spans="1:19" x14ac:dyDescent="0.3">
      <c r="A689">
        <v>59</v>
      </c>
      <c r="B689" t="s">
        <v>18</v>
      </c>
      <c r="C689">
        <v>3857176.83</v>
      </c>
      <c r="D689" t="s">
        <v>1386</v>
      </c>
      <c r="E689">
        <v>3857176.83</v>
      </c>
      <c r="F689">
        <v>0</v>
      </c>
      <c r="G689" t="s">
        <v>1387</v>
      </c>
      <c r="H689">
        <v>228541.62</v>
      </c>
      <c r="I689">
        <v>4085718.45</v>
      </c>
      <c r="J689">
        <v>1</v>
      </c>
      <c r="K689">
        <v>0</v>
      </c>
      <c r="L689">
        <v>11</v>
      </c>
      <c r="M689">
        <v>0</v>
      </c>
      <c r="N689">
        <v>1</v>
      </c>
      <c r="O689">
        <v>3857176.83</v>
      </c>
      <c r="P689">
        <f>IF(C689&gt;=200000,5,IF(C689&gt;=100000,4,IF(C689&gt;=50000,3,IF(C689&gt;=10000,2,1))))</f>
        <v>5</v>
      </c>
      <c r="Q689">
        <f>IF(B689="TRANSFER",5,IF(B689="CASH_OUT",4,IF(B689="DEBIT",2,1)))</f>
        <v>4</v>
      </c>
      <c r="R689">
        <f>(P689*0.5)+(Q689*0.3)+(N689*0.1)+(M689*0.1)</f>
        <v>3.8000000000000003</v>
      </c>
      <c r="S689" t="str">
        <f t="shared" si="10"/>
        <v>HIGH</v>
      </c>
    </row>
    <row r="690" spans="1:19" x14ac:dyDescent="0.3">
      <c r="A690">
        <v>59</v>
      </c>
      <c r="B690" t="s">
        <v>15</v>
      </c>
      <c r="C690">
        <v>21174.45</v>
      </c>
      <c r="D690" t="s">
        <v>1388</v>
      </c>
      <c r="E690">
        <v>21174.45</v>
      </c>
      <c r="F690">
        <v>0</v>
      </c>
      <c r="G690" t="s">
        <v>1389</v>
      </c>
      <c r="H690">
        <v>0</v>
      </c>
      <c r="I690">
        <v>0</v>
      </c>
      <c r="J690">
        <v>1</v>
      </c>
      <c r="K690">
        <v>0</v>
      </c>
      <c r="L690">
        <v>11</v>
      </c>
      <c r="M690">
        <v>0</v>
      </c>
      <c r="N690">
        <v>1</v>
      </c>
      <c r="O690">
        <v>21174.45</v>
      </c>
      <c r="P690">
        <f>IF(C690&gt;=200000,5,IF(C690&gt;=100000,4,IF(C690&gt;=50000,3,IF(C690&gt;=10000,2,1))))</f>
        <v>2</v>
      </c>
      <c r="Q690">
        <f>IF(B690="TRANSFER",5,IF(B690="CASH_OUT",4,IF(B690="DEBIT",2,1)))</f>
        <v>5</v>
      </c>
      <c r="R690">
        <f>(P690*0.5)+(Q690*0.3)+(N690*0.1)+(M690*0.1)</f>
        <v>2.6</v>
      </c>
      <c r="S690" t="str">
        <f t="shared" si="10"/>
        <v>MEDIUM</v>
      </c>
    </row>
    <row r="691" spans="1:19" x14ac:dyDescent="0.3">
      <c r="A691">
        <v>59</v>
      </c>
      <c r="B691" t="s">
        <v>18</v>
      </c>
      <c r="C691">
        <v>21174.45</v>
      </c>
      <c r="D691" t="s">
        <v>1390</v>
      </c>
      <c r="E691">
        <v>21174.45</v>
      </c>
      <c r="F691">
        <v>0</v>
      </c>
      <c r="G691" t="s">
        <v>1391</v>
      </c>
      <c r="H691">
        <v>31409.08</v>
      </c>
      <c r="I691">
        <v>52583.53</v>
      </c>
      <c r="J691">
        <v>1</v>
      </c>
      <c r="K691">
        <v>0</v>
      </c>
      <c r="L691">
        <v>11</v>
      </c>
      <c r="M691">
        <v>0</v>
      </c>
      <c r="N691">
        <v>1</v>
      </c>
      <c r="O691">
        <v>21174.45</v>
      </c>
      <c r="P691">
        <f>IF(C691&gt;=200000,5,IF(C691&gt;=100000,4,IF(C691&gt;=50000,3,IF(C691&gt;=10000,2,1))))</f>
        <v>2</v>
      </c>
      <c r="Q691">
        <f>IF(B691="TRANSFER",5,IF(B691="CASH_OUT",4,IF(B691="DEBIT",2,1)))</f>
        <v>4</v>
      </c>
      <c r="R691">
        <f>(P691*0.5)+(Q691*0.3)+(N691*0.1)+(M691*0.1)</f>
        <v>2.3000000000000003</v>
      </c>
      <c r="S691" t="str">
        <f t="shared" si="10"/>
        <v>MEDIUM</v>
      </c>
    </row>
    <row r="692" spans="1:19" x14ac:dyDescent="0.3">
      <c r="A692">
        <v>59</v>
      </c>
      <c r="B692" t="s">
        <v>15</v>
      </c>
      <c r="C692">
        <v>192765.49</v>
      </c>
      <c r="D692" t="s">
        <v>1392</v>
      </c>
      <c r="E692">
        <v>192765.49</v>
      </c>
      <c r="F692">
        <v>0</v>
      </c>
      <c r="G692" t="s">
        <v>1393</v>
      </c>
      <c r="H692">
        <v>0</v>
      </c>
      <c r="I692">
        <v>0</v>
      </c>
      <c r="J692">
        <v>1</v>
      </c>
      <c r="K692">
        <v>0</v>
      </c>
      <c r="L692">
        <v>11</v>
      </c>
      <c r="M692">
        <v>0</v>
      </c>
      <c r="N692">
        <v>1</v>
      </c>
      <c r="O692">
        <v>192765.49</v>
      </c>
      <c r="P692">
        <f>IF(C692&gt;=200000,5,IF(C692&gt;=100000,4,IF(C692&gt;=50000,3,IF(C692&gt;=10000,2,1))))</f>
        <v>4</v>
      </c>
      <c r="Q692">
        <f>IF(B692="TRANSFER",5,IF(B692="CASH_OUT",4,IF(B692="DEBIT",2,1)))</f>
        <v>5</v>
      </c>
      <c r="R692">
        <f>(P692*0.5)+(Q692*0.3)+(N692*0.1)+(M692*0.1)</f>
        <v>3.6</v>
      </c>
      <c r="S692" t="str">
        <f t="shared" si="10"/>
        <v>HIGH</v>
      </c>
    </row>
    <row r="693" spans="1:19" x14ac:dyDescent="0.3">
      <c r="A693">
        <v>59</v>
      </c>
      <c r="B693" t="s">
        <v>18</v>
      </c>
      <c r="C693">
        <v>192765.49</v>
      </c>
      <c r="D693" t="s">
        <v>1394</v>
      </c>
      <c r="E693">
        <v>192765.49</v>
      </c>
      <c r="F693">
        <v>0</v>
      </c>
      <c r="G693" t="s">
        <v>1395</v>
      </c>
      <c r="H693">
        <v>3252407.57</v>
      </c>
      <c r="I693">
        <v>3445173.06</v>
      </c>
      <c r="J693">
        <v>1</v>
      </c>
      <c r="K693">
        <v>0</v>
      </c>
      <c r="L693">
        <v>11</v>
      </c>
      <c r="M693">
        <v>0</v>
      </c>
      <c r="N693">
        <v>1</v>
      </c>
      <c r="O693">
        <v>192765.49</v>
      </c>
      <c r="P693">
        <f>IF(C693&gt;=200000,5,IF(C693&gt;=100000,4,IF(C693&gt;=50000,3,IF(C693&gt;=10000,2,1))))</f>
        <v>4</v>
      </c>
      <c r="Q693">
        <f>IF(B693="TRANSFER",5,IF(B693="CASH_OUT",4,IF(B693="DEBIT",2,1)))</f>
        <v>4</v>
      </c>
      <c r="R693">
        <f>(P693*0.5)+(Q693*0.3)+(N693*0.1)+(M693*0.1)</f>
        <v>3.3000000000000003</v>
      </c>
      <c r="S693" t="str">
        <f t="shared" si="10"/>
        <v>HIGH</v>
      </c>
    </row>
    <row r="694" spans="1:19" x14ac:dyDescent="0.3">
      <c r="A694">
        <v>59</v>
      </c>
      <c r="B694" t="s">
        <v>15</v>
      </c>
      <c r="C694">
        <v>1011606.26</v>
      </c>
      <c r="D694" t="s">
        <v>1396</v>
      </c>
      <c r="E694">
        <v>1011606.26</v>
      </c>
      <c r="F694">
        <v>0</v>
      </c>
      <c r="G694" t="s">
        <v>1397</v>
      </c>
      <c r="H694">
        <v>0</v>
      </c>
      <c r="I694">
        <v>0</v>
      </c>
      <c r="J694">
        <v>1</v>
      </c>
      <c r="K694">
        <v>0</v>
      </c>
      <c r="L694">
        <v>11</v>
      </c>
      <c r="M694">
        <v>0</v>
      </c>
      <c r="N694">
        <v>1</v>
      </c>
      <c r="O694">
        <v>1011606.26</v>
      </c>
      <c r="P694">
        <f>IF(C694&gt;=200000,5,IF(C694&gt;=100000,4,IF(C694&gt;=50000,3,IF(C694&gt;=10000,2,1))))</f>
        <v>5</v>
      </c>
      <c r="Q694">
        <f>IF(B694="TRANSFER",5,IF(B694="CASH_OUT",4,IF(B694="DEBIT",2,1)))</f>
        <v>5</v>
      </c>
      <c r="R694">
        <f>(P694*0.5)+(Q694*0.3)+(N694*0.1)+(M694*0.1)</f>
        <v>4.0999999999999996</v>
      </c>
      <c r="S694" t="str">
        <f t="shared" si="10"/>
        <v>HIGH</v>
      </c>
    </row>
    <row r="695" spans="1:19" x14ac:dyDescent="0.3">
      <c r="A695">
        <v>59</v>
      </c>
      <c r="B695" t="s">
        <v>18</v>
      </c>
      <c r="C695">
        <v>1011606.26</v>
      </c>
      <c r="D695" t="s">
        <v>1398</v>
      </c>
      <c r="E695">
        <v>1011606.26</v>
      </c>
      <c r="F695">
        <v>0</v>
      </c>
      <c r="G695" t="s">
        <v>1399</v>
      </c>
      <c r="H695">
        <v>0</v>
      </c>
      <c r="I695">
        <v>1011606.26</v>
      </c>
      <c r="J695">
        <v>1</v>
      </c>
      <c r="K695">
        <v>0</v>
      </c>
      <c r="L695">
        <v>11</v>
      </c>
      <c r="M695">
        <v>0</v>
      </c>
      <c r="N695">
        <v>1</v>
      </c>
      <c r="O695">
        <v>1011606.26</v>
      </c>
      <c r="P695">
        <f>IF(C695&gt;=200000,5,IF(C695&gt;=100000,4,IF(C695&gt;=50000,3,IF(C695&gt;=10000,2,1))))</f>
        <v>5</v>
      </c>
      <c r="Q695">
        <f>IF(B695="TRANSFER",5,IF(B695="CASH_OUT",4,IF(B695="DEBIT",2,1)))</f>
        <v>4</v>
      </c>
      <c r="R695">
        <f>(P695*0.5)+(Q695*0.3)+(N695*0.1)+(M695*0.1)</f>
        <v>3.8000000000000003</v>
      </c>
      <c r="S695" t="str">
        <f t="shared" si="10"/>
        <v>HIGH</v>
      </c>
    </row>
    <row r="696" spans="1:19" x14ac:dyDescent="0.3">
      <c r="A696">
        <v>59</v>
      </c>
      <c r="B696" t="s">
        <v>15</v>
      </c>
      <c r="C696">
        <v>2050727.81</v>
      </c>
      <c r="D696" t="s">
        <v>1400</v>
      </c>
      <c r="E696">
        <v>2050727.81</v>
      </c>
      <c r="F696">
        <v>0</v>
      </c>
      <c r="G696" t="s">
        <v>1401</v>
      </c>
      <c r="H696">
        <v>0</v>
      </c>
      <c r="I696">
        <v>0</v>
      </c>
      <c r="J696">
        <v>1</v>
      </c>
      <c r="K696">
        <v>0</v>
      </c>
      <c r="L696">
        <v>11</v>
      </c>
      <c r="M696">
        <v>0</v>
      </c>
      <c r="N696">
        <v>1</v>
      </c>
      <c r="O696">
        <v>2050727.81</v>
      </c>
      <c r="P696">
        <f>IF(C696&gt;=200000,5,IF(C696&gt;=100000,4,IF(C696&gt;=50000,3,IF(C696&gt;=10000,2,1))))</f>
        <v>5</v>
      </c>
      <c r="Q696">
        <f>IF(B696="TRANSFER",5,IF(B696="CASH_OUT",4,IF(B696="DEBIT",2,1)))</f>
        <v>5</v>
      </c>
      <c r="R696">
        <f>(P696*0.5)+(Q696*0.3)+(N696*0.1)+(M696*0.1)</f>
        <v>4.0999999999999996</v>
      </c>
      <c r="S696" t="str">
        <f t="shared" si="10"/>
        <v>HIGH</v>
      </c>
    </row>
    <row r="697" spans="1:19" x14ac:dyDescent="0.3">
      <c r="A697">
        <v>59</v>
      </c>
      <c r="B697" t="s">
        <v>18</v>
      </c>
      <c r="C697">
        <v>2050727.81</v>
      </c>
      <c r="D697" t="s">
        <v>1402</v>
      </c>
      <c r="E697">
        <v>2050727.81</v>
      </c>
      <c r="F697">
        <v>0</v>
      </c>
      <c r="G697" t="s">
        <v>926</v>
      </c>
      <c r="H697">
        <v>0</v>
      </c>
      <c r="I697">
        <v>2050727.81</v>
      </c>
      <c r="J697">
        <v>1</v>
      </c>
      <c r="K697">
        <v>0</v>
      </c>
      <c r="L697">
        <v>11</v>
      </c>
      <c r="M697">
        <v>0</v>
      </c>
      <c r="N697">
        <v>1</v>
      </c>
      <c r="O697">
        <v>2050727.81</v>
      </c>
      <c r="P697">
        <f>IF(C697&gt;=200000,5,IF(C697&gt;=100000,4,IF(C697&gt;=50000,3,IF(C697&gt;=10000,2,1))))</f>
        <v>5</v>
      </c>
      <c r="Q697">
        <f>IF(B697="TRANSFER",5,IF(B697="CASH_OUT",4,IF(B697="DEBIT",2,1)))</f>
        <v>4</v>
      </c>
      <c r="R697">
        <f>(P697*0.5)+(Q697*0.3)+(N697*0.1)+(M697*0.1)</f>
        <v>3.8000000000000003</v>
      </c>
      <c r="S697" t="str">
        <f t="shared" si="10"/>
        <v>HIGH</v>
      </c>
    </row>
    <row r="698" spans="1:19" x14ac:dyDescent="0.3">
      <c r="A698">
        <v>59</v>
      </c>
      <c r="B698" t="s">
        <v>15</v>
      </c>
      <c r="C698">
        <v>9748.89</v>
      </c>
      <c r="D698" t="s">
        <v>1403</v>
      </c>
      <c r="E698">
        <v>9748.89</v>
      </c>
      <c r="F698">
        <v>0</v>
      </c>
      <c r="G698" t="s">
        <v>1404</v>
      </c>
      <c r="H698">
        <v>0</v>
      </c>
      <c r="I698">
        <v>0</v>
      </c>
      <c r="J698">
        <v>1</v>
      </c>
      <c r="K698">
        <v>0</v>
      </c>
      <c r="L698">
        <v>11</v>
      </c>
      <c r="M698">
        <v>0</v>
      </c>
      <c r="N698">
        <v>1</v>
      </c>
      <c r="O698">
        <v>9748.89</v>
      </c>
      <c r="P698">
        <f>IF(C698&gt;=200000,5,IF(C698&gt;=100000,4,IF(C698&gt;=50000,3,IF(C698&gt;=10000,2,1))))</f>
        <v>1</v>
      </c>
      <c r="Q698">
        <f>IF(B698="TRANSFER",5,IF(B698="CASH_OUT",4,IF(B698="DEBIT",2,1)))</f>
        <v>5</v>
      </c>
      <c r="R698">
        <f>(P698*0.5)+(Q698*0.3)+(N698*0.1)+(M698*0.1)</f>
        <v>2.1</v>
      </c>
      <c r="S698" t="str">
        <f t="shared" si="10"/>
        <v>MEDIUM</v>
      </c>
    </row>
    <row r="699" spans="1:19" x14ac:dyDescent="0.3">
      <c r="A699">
        <v>59</v>
      </c>
      <c r="B699" t="s">
        <v>18</v>
      </c>
      <c r="C699">
        <v>9748.89</v>
      </c>
      <c r="D699" t="s">
        <v>1405</v>
      </c>
      <c r="E699">
        <v>9748.89</v>
      </c>
      <c r="F699">
        <v>0</v>
      </c>
      <c r="G699" t="s">
        <v>1406</v>
      </c>
      <c r="H699">
        <v>180869.12</v>
      </c>
      <c r="I699">
        <v>190618.01</v>
      </c>
      <c r="J699">
        <v>1</v>
      </c>
      <c r="K699">
        <v>0</v>
      </c>
      <c r="L699">
        <v>11</v>
      </c>
      <c r="M699">
        <v>0</v>
      </c>
      <c r="N699">
        <v>1</v>
      </c>
      <c r="O699">
        <v>9748.89</v>
      </c>
      <c r="P699">
        <f>IF(C699&gt;=200000,5,IF(C699&gt;=100000,4,IF(C699&gt;=50000,3,IF(C699&gt;=10000,2,1))))</f>
        <v>1</v>
      </c>
      <c r="Q699">
        <f>IF(B699="TRANSFER",5,IF(B699="CASH_OUT",4,IF(B699="DEBIT",2,1)))</f>
        <v>4</v>
      </c>
      <c r="R699">
        <f>(P699*0.5)+(Q699*0.3)+(N699*0.1)+(M699*0.1)</f>
        <v>1.8</v>
      </c>
      <c r="S699" t="str">
        <f t="shared" si="10"/>
        <v>LOW</v>
      </c>
    </row>
    <row r="700" spans="1:19" x14ac:dyDescent="0.3">
      <c r="A700">
        <v>59</v>
      </c>
      <c r="B700" t="s">
        <v>15</v>
      </c>
      <c r="C700">
        <v>44733.5</v>
      </c>
      <c r="D700" t="s">
        <v>1407</v>
      </c>
      <c r="E700">
        <v>44733.5</v>
      </c>
      <c r="F700">
        <v>0</v>
      </c>
      <c r="G700" t="s">
        <v>1408</v>
      </c>
      <c r="H700">
        <v>0</v>
      </c>
      <c r="I700">
        <v>0</v>
      </c>
      <c r="J700">
        <v>1</v>
      </c>
      <c r="K700">
        <v>0</v>
      </c>
      <c r="L700">
        <v>11</v>
      </c>
      <c r="M700">
        <v>0</v>
      </c>
      <c r="N700">
        <v>1</v>
      </c>
      <c r="O700">
        <v>44733.5</v>
      </c>
      <c r="P700">
        <f>IF(C700&gt;=200000,5,IF(C700&gt;=100000,4,IF(C700&gt;=50000,3,IF(C700&gt;=10000,2,1))))</f>
        <v>2</v>
      </c>
      <c r="Q700">
        <f>IF(B700="TRANSFER",5,IF(B700="CASH_OUT",4,IF(B700="DEBIT",2,1)))</f>
        <v>5</v>
      </c>
      <c r="R700">
        <f>(P700*0.5)+(Q700*0.3)+(N700*0.1)+(M700*0.1)</f>
        <v>2.6</v>
      </c>
      <c r="S700" t="str">
        <f t="shared" si="10"/>
        <v>MEDIUM</v>
      </c>
    </row>
    <row r="701" spans="1:19" x14ac:dyDescent="0.3">
      <c r="A701">
        <v>59</v>
      </c>
      <c r="B701" t="s">
        <v>18</v>
      </c>
      <c r="C701">
        <v>44733.5</v>
      </c>
      <c r="D701" t="s">
        <v>1409</v>
      </c>
      <c r="E701">
        <v>44733.5</v>
      </c>
      <c r="F701">
        <v>0</v>
      </c>
      <c r="G701" t="s">
        <v>1410</v>
      </c>
      <c r="H701">
        <v>2534461.11</v>
      </c>
      <c r="I701">
        <v>2579194.61</v>
      </c>
      <c r="J701">
        <v>1</v>
      </c>
      <c r="K701">
        <v>0</v>
      </c>
      <c r="L701">
        <v>11</v>
      </c>
      <c r="M701">
        <v>0</v>
      </c>
      <c r="N701">
        <v>1</v>
      </c>
      <c r="O701">
        <v>44733.5</v>
      </c>
      <c r="P701">
        <f>IF(C701&gt;=200000,5,IF(C701&gt;=100000,4,IF(C701&gt;=50000,3,IF(C701&gt;=10000,2,1))))</f>
        <v>2</v>
      </c>
      <c r="Q701">
        <f>IF(B701="TRANSFER",5,IF(B701="CASH_OUT",4,IF(B701="DEBIT",2,1)))</f>
        <v>4</v>
      </c>
      <c r="R701">
        <f>(P701*0.5)+(Q701*0.3)+(N701*0.1)+(M701*0.1)</f>
        <v>2.3000000000000003</v>
      </c>
      <c r="S701" t="str">
        <f t="shared" si="10"/>
        <v>MEDIUM</v>
      </c>
    </row>
    <row r="702" spans="1:19" x14ac:dyDescent="0.3">
      <c r="A702">
        <v>59</v>
      </c>
      <c r="B702" t="s">
        <v>15</v>
      </c>
      <c r="C702">
        <v>1367340.03</v>
      </c>
      <c r="D702" t="s">
        <v>1411</v>
      </c>
      <c r="E702">
        <v>1367340.03</v>
      </c>
      <c r="F702">
        <v>0</v>
      </c>
      <c r="G702" t="s">
        <v>1412</v>
      </c>
      <c r="H702">
        <v>0</v>
      </c>
      <c r="I702">
        <v>0</v>
      </c>
      <c r="J702">
        <v>1</v>
      </c>
      <c r="K702">
        <v>0</v>
      </c>
      <c r="L702">
        <v>11</v>
      </c>
      <c r="M702">
        <v>0</v>
      </c>
      <c r="N702">
        <v>1</v>
      </c>
      <c r="O702">
        <v>1367340.03</v>
      </c>
      <c r="P702">
        <f>IF(C702&gt;=200000,5,IF(C702&gt;=100000,4,IF(C702&gt;=50000,3,IF(C702&gt;=10000,2,1))))</f>
        <v>5</v>
      </c>
      <c r="Q702">
        <f>IF(B702="TRANSFER",5,IF(B702="CASH_OUT",4,IF(B702="DEBIT",2,1)))</f>
        <v>5</v>
      </c>
      <c r="R702">
        <f>(P702*0.5)+(Q702*0.3)+(N702*0.1)+(M702*0.1)</f>
        <v>4.0999999999999996</v>
      </c>
      <c r="S702" t="str">
        <f t="shared" si="10"/>
        <v>HIGH</v>
      </c>
    </row>
    <row r="703" spans="1:19" x14ac:dyDescent="0.3">
      <c r="A703">
        <v>59</v>
      </c>
      <c r="B703" t="s">
        <v>18</v>
      </c>
      <c r="C703">
        <v>1367340.03</v>
      </c>
      <c r="D703" t="s">
        <v>1413</v>
      </c>
      <c r="E703">
        <v>1367340.03</v>
      </c>
      <c r="F703">
        <v>0</v>
      </c>
      <c r="G703" t="s">
        <v>1414</v>
      </c>
      <c r="H703">
        <v>296833.59999999998</v>
      </c>
      <c r="I703">
        <v>1664173.63</v>
      </c>
      <c r="J703">
        <v>1</v>
      </c>
      <c r="K703">
        <v>0</v>
      </c>
      <c r="L703">
        <v>11</v>
      </c>
      <c r="M703">
        <v>0</v>
      </c>
      <c r="N703">
        <v>1</v>
      </c>
      <c r="O703">
        <v>1367340.03</v>
      </c>
      <c r="P703">
        <f>IF(C703&gt;=200000,5,IF(C703&gt;=100000,4,IF(C703&gt;=50000,3,IF(C703&gt;=10000,2,1))))</f>
        <v>5</v>
      </c>
      <c r="Q703">
        <f>IF(B703="TRANSFER",5,IF(B703="CASH_OUT",4,IF(B703="DEBIT",2,1)))</f>
        <v>4</v>
      </c>
      <c r="R703">
        <f>(P703*0.5)+(Q703*0.3)+(N703*0.1)+(M703*0.1)</f>
        <v>3.8000000000000003</v>
      </c>
      <c r="S703" t="str">
        <f t="shared" si="10"/>
        <v>HIGH</v>
      </c>
    </row>
    <row r="704" spans="1:19" x14ac:dyDescent="0.3">
      <c r="A704">
        <v>60</v>
      </c>
      <c r="B704" t="s">
        <v>15</v>
      </c>
      <c r="C704">
        <v>1026208.84</v>
      </c>
      <c r="D704" t="s">
        <v>1415</v>
      </c>
      <c r="E704">
        <v>1026208.84</v>
      </c>
      <c r="F704">
        <v>0</v>
      </c>
      <c r="G704" t="s">
        <v>1416</v>
      </c>
      <c r="H704">
        <v>0</v>
      </c>
      <c r="I704">
        <v>0</v>
      </c>
      <c r="J704">
        <v>1</v>
      </c>
      <c r="K704">
        <v>0</v>
      </c>
      <c r="L704">
        <v>12</v>
      </c>
      <c r="M704">
        <v>0</v>
      </c>
      <c r="N704">
        <v>1</v>
      </c>
      <c r="O704">
        <v>1026208.84</v>
      </c>
      <c r="P704">
        <f>IF(C704&gt;=200000,5,IF(C704&gt;=100000,4,IF(C704&gt;=50000,3,IF(C704&gt;=10000,2,1))))</f>
        <v>5</v>
      </c>
      <c r="Q704">
        <f>IF(B704="TRANSFER",5,IF(B704="CASH_OUT",4,IF(B704="DEBIT",2,1)))</f>
        <v>5</v>
      </c>
      <c r="R704">
        <f>(P704*0.5)+(Q704*0.3)+(N704*0.1)+(M704*0.1)</f>
        <v>4.0999999999999996</v>
      </c>
      <c r="S704" t="str">
        <f t="shared" si="10"/>
        <v>HIGH</v>
      </c>
    </row>
    <row r="705" spans="1:19" x14ac:dyDescent="0.3">
      <c r="A705">
        <v>60</v>
      </c>
      <c r="B705" t="s">
        <v>18</v>
      </c>
      <c r="C705">
        <v>1026208.84</v>
      </c>
      <c r="D705" t="s">
        <v>1417</v>
      </c>
      <c r="E705">
        <v>1026208.84</v>
      </c>
      <c r="F705">
        <v>0</v>
      </c>
      <c r="G705" t="s">
        <v>1418</v>
      </c>
      <c r="H705">
        <v>353447.51</v>
      </c>
      <c r="I705">
        <v>1379656.35</v>
      </c>
      <c r="J705">
        <v>1</v>
      </c>
      <c r="K705">
        <v>0</v>
      </c>
      <c r="L705">
        <v>12</v>
      </c>
      <c r="M705">
        <v>0</v>
      </c>
      <c r="N705">
        <v>1</v>
      </c>
      <c r="O705">
        <v>1026208.84</v>
      </c>
      <c r="P705">
        <f>IF(C705&gt;=200000,5,IF(C705&gt;=100000,4,IF(C705&gt;=50000,3,IF(C705&gt;=10000,2,1))))</f>
        <v>5</v>
      </c>
      <c r="Q705">
        <f>IF(B705="TRANSFER",5,IF(B705="CASH_OUT",4,IF(B705="DEBIT",2,1)))</f>
        <v>4</v>
      </c>
      <c r="R705">
        <f>(P705*0.5)+(Q705*0.3)+(N705*0.1)+(M705*0.1)</f>
        <v>3.8000000000000003</v>
      </c>
      <c r="S705" t="str">
        <f t="shared" si="10"/>
        <v>HIGH</v>
      </c>
    </row>
    <row r="706" spans="1:19" x14ac:dyDescent="0.3">
      <c r="A706">
        <v>60</v>
      </c>
      <c r="B706" t="s">
        <v>15</v>
      </c>
      <c r="C706">
        <v>40486.25</v>
      </c>
      <c r="D706" t="s">
        <v>1419</v>
      </c>
      <c r="E706">
        <v>40486.25</v>
      </c>
      <c r="F706">
        <v>0</v>
      </c>
      <c r="G706" t="s">
        <v>1420</v>
      </c>
      <c r="H706">
        <v>0</v>
      </c>
      <c r="I706">
        <v>0</v>
      </c>
      <c r="J706">
        <v>1</v>
      </c>
      <c r="K706">
        <v>0</v>
      </c>
      <c r="L706">
        <v>12</v>
      </c>
      <c r="M706">
        <v>0</v>
      </c>
      <c r="N706">
        <v>1</v>
      </c>
      <c r="O706">
        <v>40486.25</v>
      </c>
      <c r="P706">
        <f>IF(C706&gt;=200000,5,IF(C706&gt;=100000,4,IF(C706&gt;=50000,3,IF(C706&gt;=10000,2,1))))</f>
        <v>2</v>
      </c>
      <c r="Q706">
        <f>IF(B706="TRANSFER",5,IF(B706="CASH_OUT",4,IF(B706="DEBIT",2,1)))</f>
        <v>5</v>
      </c>
      <c r="R706">
        <f>(P706*0.5)+(Q706*0.3)+(N706*0.1)+(M706*0.1)</f>
        <v>2.6</v>
      </c>
      <c r="S706" t="str">
        <f t="shared" si="10"/>
        <v>MEDIUM</v>
      </c>
    </row>
    <row r="707" spans="1:19" x14ac:dyDescent="0.3">
      <c r="A707">
        <v>60</v>
      </c>
      <c r="B707" t="s">
        <v>18</v>
      </c>
      <c r="C707">
        <v>40486.25</v>
      </c>
      <c r="D707" t="s">
        <v>1421</v>
      </c>
      <c r="E707">
        <v>40486.25</v>
      </c>
      <c r="F707">
        <v>0</v>
      </c>
      <c r="G707" t="s">
        <v>1422</v>
      </c>
      <c r="H707">
        <v>4716889.9000000004</v>
      </c>
      <c r="I707">
        <v>4757376.1500000004</v>
      </c>
      <c r="J707">
        <v>1</v>
      </c>
      <c r="K707">
        <v>0</v>
      </c>
      <c r="L707">
        <v>12</v>
      </c>
      <c r="M707">
        <v>0</v>
      </c>
      <c r="N707">
        <v>1</v>
      </c>
      <c r="O707">
        <v>40486.25</v>
      </c>
      <c r="P707">
        <f>IF(C707&gt;=200000,5,IF(C707&gt;=100000,4,IF(C707&gt;=50000,3,IF(C707&gt;=10000,2,1))))</f>
        <v>2</v>
      </c>
      <c r="Q707">
        <f>IF(B707="TRANSFER",5,IF(B707="CASH_OUT",4,IF(B707="DEBIT",2,1)))</f>
        <v>4</v>
      </c>
      <c r="R707">
        <f>(P707*0.5)+(Q707*0.3)+(N707*0.1)+(M707*0.1)</f>
        <v>2.3000000000000003</v>
      </c>
      <c r="S707" t="str">
        <f t="shared" ref="S707:S770" si="11">IF(R707&gt;=3,"HIGH",IF(R707&gt;=2,"MEDIUM","LOW"))</f>
        <v>MEDIUM</v>
      </c>
    </row>
    <row r="708" spans="1:19" x14ac:dyDescent="0.3">
      <c r="A708">
        <v>60</v>
      </c>
      <c r="B708" t="s">
        <v>15</v>
      </c>
      <c r="C708">
        <v>89014.32</v>
      </c>
      <c r="D708" t="s">
        <v>1423</v>
      </c>
      <c r="E708">
        <v>89014.32</v>
      </c>
      <c r="F708">
        <v>0</v>
      </c>
      <c r="G708" t="s">
        <v>1424</v>
      </c>
      <c r="H708">
        <v>0</v>
      </c>
      <c r="I708">
        <v>0</v>
      </c>
      <c r="J708">
        <v>1</v>
      </c>
      <c r="K708">
        <v>0</v>
      </c>
      <c r="L708">
        <v>12</v>
      </c>
      <c r="M708">
        <v>0</v>
      </c>
      <c r="N708">
        <v>1</v>
      </c>
      <c r="O708">
        <v>89014.32</v>
      </c>
      <c r="P708">
        <f>IF(C708&gt;=200000,5,IF(C708&gt;=100000,4,IF(C708&gt;=50000,3,IF(C708&gt;=10000,2,1))))</f>
        <v>3</v>
      </c>
      <c r="Q708">
        <f>IF(B708="TRANSFER",5,IF(B708="CASH_OUT",4,IF(B708="DEBIT",2,1)))</f>
        <v>5</v>
      </c>
      <c r="R708">
        <f>(P708*0.5)+(Q708*0.3)+(N708*0.1)+(M708*0.1)</f>
        <v>3.1</v>
      </c>
      <c r="S708" t="str">
        <f t="shared" si="11"/>
        <v>HIGH</v>
      </c>
    </row>
    <row r="709" spans="1:19" x14ac:dyDescent="0.3">
      <c r="A709">
        <v>60</v>
      </c>
      <c r="B709" t="s">
        <v>18</v>
      </c>
      <c r="C709">
        <v>89014.32</v>
      </c>
      <c r="D709" t="s">
        <v>1425</v>
      </c>
      <c r="E709">
        <v>89014.32</v>
      </c>
      <c r="F709">
        <v>0</v>
      </c>
      <c r="G709" t="s">
        <v>1426</v>
      </c>
      <c r="H709">
        <v>330651.68</v>
      </c>
      <c r="I709">
        <v>419666</v>
      </c>
      <c r="J709">
        <v>1</v>
      </c>
      <c r="K709">
        <v>0</v>
      </c>
      <c r="L709">
        <v>12</v>
      </c>
      <c r="M709">
        <v>0</v>
      </c>
      <c r="N709">
        <v>1</v>
      </c>
      <c r="O709">
        <v>89014.32</v>
      </c>
      <c r="P709">
        <f>IF(C709&gt;=200000,5,IF(C709&gt;=100000,4,IF(C709&gt;=50000,3,IF(C709&gt;=10000,2,1))))</f>
        <v>3</v>
      </c>
      <c r="Q709">
        <f>IF(B709="TRANSFER",5,IF(B709="CASH_OUT",4,IF(B709="DEBIT",2,1)))</f>
        <v>4</v>
      </c>
      <c r="R709">
        <f>(P709*0.5)+(Q709*0.3)+(N709*0.1)+(M709*0.1)</f>
        <v>2.8000000000000003</v>
      </c>
      <c r="S709" t="str">
        <f t="shared" si="11"/>
        <v>MEDIUM</v>
      </c>
    </row>
    <row r="710" spans="1:19" x14ac:dyDescent="0.3">
      <c r="A710">
        <v>60</v>
      </c>
      <c r="B710" t="s">
        <v>15</v>
      </c>
      <c r="C710">
        <v>45807.51</v>
      </c>
      <c r="D710" t="s">
        <v>1427</v>
      </c>
      <c r="E710">
        <v>45807.51</v>
      </c>
      <c r="F710">
        <v>0</v>
      </c>
      <c r="G710" t="s">
        <v>1428</v>
      </c>
      <c r="H710">
        <v>0</v>
      </c>
      <c r="I710">
        <v>0</v>
      </c>
      <c r="J710">
        <v>1</v>
      </c>
      <c r="K710">
        <v>0</v>
      </c>
      <c r="L710">
        <v>12</v>
      </c>
      <c r="M710">
        <v>0</v>
      </c>
      <c r="N710">
        <v>1</v>
      </c>
      <c r="O710">
        <v>45807.51</v>
      </c>
      <c r="P710">
        <f>IF(C710&gt;=200000,5,IF(C710&gt;=100000,4,IF(C710&gt;=50000,3,IF(C710&gt;=10000,2,1))))</f>
        <v>2</v>
      </c>
      <c r="Q710">
        <f>IF(B710="TRANSFER",5,IF(B710="CASH_OUT",4,IF(B710="DEBIT",2,1)))</f>
        <v>5</v>
      </c>
      <c r="R710">
        <f>(P710*0.5)+(Q710*0.3)+(N710*0.1)+(M710*0.1)</f>
        <v>2.6</v>
      </c>
      <c r="S710" t="str">
        <f t="shared" si="11"/>
        <v>MEDIUM</v>
      </c>
    </row>
    <row r="711" spans="1:19" x14ac:dyDescent="0.3">
      <c r="A711">
        <v>60</v>
      </c>
      <c r="B711" t="s">
        <v>18</v>
      </c>
      <c r="C711">
        <v>45807.51</v>
      </c>
      <c r="D711" t="s">
        <v>1429</v>
      </c>
      <c r="E711">
        <v>45807.51</v>
      </c>
      <c r="F711">
        <v>0</v>
      </c>
      <c r="G711" t="s">
        <v>1430</v>
      </c>
      <c r="H711">
        <v>267824.05</v>
      </c>
      <c r="I711">
        <v>313631.56</v>
      </c>
      <c r="J711">
        <v>1</v>
      </c>
      <c r="K711">
        <v>0</v>
      </c>
      <c r="L711">
        <v>12</v>
      </c>
      <c r="M711">
        <v>0</v>
      </c>
      <c r="N711">
        <v>1</v>
      </c>
      <c r="O711">
        <v>45807.51</v>
      </c>
      <c r="P711">
        <f>IF(C711&gt;=200000,5,IF(C711&gt;=100000,4,IF(C711&gt;=50000,3,IF(C711&gt;=10000,2,1))))</f>
        <v>2</v>
      </c>
      <c r="Q711">
        <f>IF(B711="TRANSFER",5,IF(B711="CASH_OUT",4,IF(B711="DEBIT",2,1)))</f>
        <v>4</v>
      </c>
      <c r="R711">
        <f>(P711*0.5)+(Q711*0.3)+(N711*0.1)+(M711*0.1)</f>
        <v>2.3000000000000003</v>
      </c>
      <c r="S711" t="str">
        <f t="shared" si="11"/>
        <v>MEDIUM</v>
      </c>
    </row>
    <row r="712" spans="1:19" x14ac:dyDescent="0.3">
      <c r="A712">
        <v>60</v>
      </c>
      <c r="B712" t="s">
        <v>15</v>
      </c>
      <c r="C712">
        <v>742973.53</v>
      </c>
      <c r="D712" t="s">
        <v>1431</v>
      </c>
      <c r="E712">
        <v>742973.53</v>
      </c>
      <c r="F712">
        <v>0</v>
      </c>
      <c r="G712" t="s">
        <v>1432</v>
      </c>
      <c r="H712">
        <v>0</v>
      </c>
      <c r="I712">
        <v>0</v>
      </c>
      <c r="J712">
        <v>1</v>
      </c>
      <c r="K712">
        <v>0</v>
      </c>
      <c r="L712">
        <v>12</v>
      </c>
      <c r="M712">
        <v>0</v>
      </c>
      <c r="N712">
        <v>1</v>
      </c>
      <c r="O712">
        <v>742973.53</v>
      </c>
      <c r="P712">
        <f>IF(C712&gt;=200000,5,IF(C712&gt;=100000,4,IF(C712&gt;=50000,3,IF(C712&gt;=10000,2,1))))</f>
        <v>5</v>
      </c>
      <c r="Q712">
        <f>IF(B712="TRANSFER",5,IF(B712="CASH_OUT",4,IF(B712="DEBIT",2,1)))</f>
        <v>5</v>
      </c>
      <c r="R712">
        <f>(P712*0.5)+(Q712*0.3)+(N712*0.1)+(M712*0.1)</f>
        <v>4.0999999999999996</v>
      </c>
      <c r="S712" t="str">
        <f t="shared" si="11"/>
        <v>HIGH</v>
      </c>
    </row>
    <row r="713" spans="1:19" x14ac:dyDescent="0.3">
      <c r="A713">
        <v>60</v>
      </c>
      <c r="B713" t="s">
        <v>18</v>
      </c>
      <c r="C713">
        <v>742973.53</v>
      </c>
      <c r="D713" t="s">
        <v>1433</v>
      </c>
      <c r="E713">
        <v>742973.53</v>
      </c>
      <c r="F713">
        <v>0</v>
      </c>
      <c r="G713" t="s">
        <v>1434</v>
      </c>
      <c r="H713">
        <v>0</v>
      </c>
      <c r="I713">
        <v>742973.53</v>
      </c>
      <c r="J713">
        <v>1</v>
      </c>
      <c r="K713">
        <v>0</v>
      </c>
      <c r="L713">
        <v>12</v>
      </c>
      <c r="M713">
        <v>0</v>
      </c>
      <c r="N713">
        <v>1</v>
      </c>
      <c r="O713">
        <v>742973.53</v>
      </c>
      <c r="P713">
        <f>IF(C713&gt;=200000,5,IF(C713&gt;=100000,4,IF(C713&gt;=50000,3,IF(C713&gt;=10000,2,1))))</f>
        <v>5</v>
      </c>
      <c r="Q713">
        <f>IF(B713="TRANSFER",5,IF(B713="CASH_OUT",4,IF(B713="DEBIT",2,1)))</f>
        <v>4</v>
      </c>
      <c r="R713">
        <f>(P713*0.5)+(Q713*0.3)+(N713*0.1)+(M713*0.1)</f>
        <v>3.8000000000000003</v>
      </c>
      <c r="S713" t="str">
        <f t="shared" si="11"/>
        <v>HIGH</v>
      </c>
    </row>
    <row r="714" spans="1:19" x14ac:dyDescent="0.3">
      <c r="A714">
        <v>60</v>
      </c>
      <c r="B714" t="s">
        <v>15</v>
      </c>
      <c r="C714">
        <v>581421.85</v>
      </c>
      <c r="D714" t="s">
        <v>1435</v>
      </c>
      <c r="E714">
        <v>581421.85</v>
      </c>
      <c r="F714">
        <v>0</v>
      </c>
      <c r="G714" t="s">
        <v>1436</v>
      </c>
      <c r="H714">
        <v>0</v>
      </c>
      <c r="I714">
        <v>0</v>
      </c>
      <c r="J714">
        <v>1</v>
      </c>
      <c r="K714">
        <v>0</v>
      </c>
      <c r="L714">
        <v>12</v>
      </c>
      <c r="M714">
        <v>0</v>
      </c>
      <c r="N714">
        <v>1</v>
      </c>
      <c r="O714">
        <v>581421.85</v>
      </c>
      <c r="P714">
        <f>IF(C714&gt;=200000,5,IF(C714&gt;=100000,4,IF(C714&gt;=50000,3,IF(C714&gt;=10000,2,1))))</f>
        <v>5</v>
      </c>
      <c r="Q714">
        <f>IF(B714="TRANSFER",5,IF(B714="CASH_OUT",4,IF(B714="DEBIT",2,1)))</f>
        <v>5</v>
      </c>
      <c r="R714">
        <f>(P714*0.5)+(Q714*0.3)+(N714*0.1)+(M714*0.1)</f>
        <v>4.0999999999999996</v>
      </c>
      <c r="S714" t="str">
        <f t="shared" si="11"/>
        <v>HIGH</v>
      </c>
    </row>
    <row r="715" spans="1:19" x14ac:dyDescent="0.3">
      <c r="A715">
        <v>60</v>
      </c>
      <c r="B715" t="s">
        <v>18</v>
      </c>
      <c r="C715">
        <v>581421.85</v>
      </c>
      <c r="D715" t="s">
        <v>1437</v>
      </c>
      <c r="E715">
        <v>581421.85</v>
      </c>
      <c r="F715">
        <v>0</v>
      </c>
      <c r="G715" t="s">
        <v>1438</v>
      </c>
      <c r="H715">
        <v>407848.96000000002</v>
      </c>
      <c r="I715">
        <v>989270.81</v>
      </c>
      <c r="J715">
        <v>1</v>
      </c>
      <c r="K715">
        <v>0</v>
      </c>
      <c r="L715">
        <v>12</v>
      </c>
      <c r="M715">
        <v>0</v>
      </c>
      <c r="N715">
        <v>1</v>
      </c>
      <c r="O715">
        <v>581421.85</v>
      </c>
      <c r="P715">
        <f>IF(C715&gt;=200000,5,IF(C715&gt;=100000,4,IF(C715&gt;=50000,3,IF(C715&gt;=10000,2,1))))</f>
        <v>5</v>
      </c>
      <c r="Q715">
        <f>IF(B715="TRANSFER",5,IF(B715="CASH_OUT",4,IF(B715="DEBIT",2,1)))</f>
        <v>4</v>
      </c>
      <c r="R715">
        <f>(P715*0.5)+(Q715*0.3)+(N715*0.1)+(M715*0.1)</f>
        <v>3.8000000000000003</v>
      </c>
      <c r="S715" t="str">
        <f t="shared" si="11"/>
        <v>HIGH</v>
      </c>
    </row>
    <row r="716" spans="1:19" x14ac:dyDescent="0.3">
      <c r="A716">
        <v>61</v>
      </c>
      <c r="B716" t="s">
        <v>15</v>
      </c>
      <c r="C716">
        <v>475368.94</v>
      </c>
      <c r="D716" t="s">
        <v>1439</v>
      </c>
      <c r="E716">
        <v>475368.94</v>
      </c>
      <c r="F716">
        <v>0</v>
      </c>
      <c r="G716" t="s">
        <v>1440</v>
      </c>
      <c r="H716">
        <v>0</v>
      </c>
      <c r="I716">
        <v>0</v>
      </c>
      <c r="J716">
        <v>1</v>
      </c>
      <c r="K716">
        <v>0</v>
      </c>
      <c r="L716">
        <v>13</v>
      </c>
      <c r="M716">
        <v>0</v>
      </c>
      <c r="N716">
        <v>1</v>
      </c>
      <c r="O716">
        <v>475368.94</v>
      </c>
      <c r="P716">
        <f>IF(C716&gt;=200000,5,IF(C716&gt;=100000,4,IF(C716&gt;=50000,3,IF(C716&gt;=10000,2,1))))</f>
        <v>5</v>
      </c>
      <c r="Q716">
        <f>IF(B716="TRANSFER",5,IF(B716="CASH_OUT",4,IF(B716="DEBIT",2,1)))</f>
        <v>5</v>
      </c>
      <c r="R716">
        <f>(P716*0.5)+(Q716*0.3)+(N716*0.1)+(M716*0.1)</f>
        <v>4.0999999999999996</v>
      </c>
      <c r="S716" t="str">
        <f t="shared" si="11"/>
        <v>HIGH</v>
      </c>
    </row>
    <row r="717" spans="1:19" x14ac:dyDescent="0.3">
      <c r="A717">
        <v>61</v>
      </c>
      <c r="B717" t="s">
        <v>18</v>
      </c>
      <c r="C717">
        <v>475368.94</v>
      </c>
      <c r="D717" t="s">
        <v>1441</v>
      </c>
      <c r="E717">
        <v>475368.94</v>
      </c>
      <c r="F717">
        <v>0</v>
      </c>
      <c r="G717" t="s">
        <v>1442</v>
      </c>
      <c r="H717">
        <v>1348026.73</v>
      </c>
      <c r="I717">
        <v>1823395.67</v>
      </c>
      <c r="J717">
        <v>1</v>
      </c>
      <c r="K717">
        <v>0</v>
      </c>
      <c r="L717">
        <v>13</v>
      </c>
      <c r="M717">
        <v>0</v>
      </c>
      <c r="N717">
        <v>1</v>
      </c>
      <c r="O717">
        <v>475368.94</v>
      </c>
      <c r="P717">
        <f>IF(C717&gt;=200000,5,IF(C717&gt;=100000,4,IF(C717&gt;=50000,3,IF(C717&gt;=10000,2,1))))</f>
        <v>5</v>
      </c>
      <c r="Q717">
        <f>IF(B717="TRANSFER",5,IF(B717="CASH_OUT",4,IF(B717="DEBIT",2,1)))</f>
        <v>4</v>
      </c>
      <c r="R717">
        <f>(P717*0.5)+(Q717*0.3)+(N717*0.1)+(M717*0.1)</f>
        <v>3.8000000000000003</v>
      </c>
      <c r="S717" t="str">
        <f t="shared" si="11"/>
        <v>HIGH</v>
      </c>
    </row>
    <row r="718" spans="1:19" x14ac:dyDescent="0.3">
      <c r="A718">
        <v>61</v>
      </c>
      <c r="B718" t="s">
        <v>15</v>
      </c>
      <c r="C718">
        <v>1735466.52</v>
      </c>
      <c r="D718" t="s">
        <v>1443</v>
      </c>
      <c r="E718">
        <v>1735466.52</v>
      </c>
      <c r="F718">
        <v>0</v>
      </c>
      <c r="G718" t="s">
        <v>1444</v>
      </c>
      <c r="H718">
        <v>0</v>
      </c>
      <c r="I718">
        <v>0</v>
      </c>
      <c r="J718">
        <v>1</v>
      </c>
      <c r="K718">
        <v>0</v>
      </c>
      <c r="L718">
        <v>13</v>
      </c>
      <c r="M718">
        <v>0</v>
      </c>
      <c r="N718">
        <v>1</v>
      </c>
      <c r="O718">
        <v>1735466.52</v>
      </c>
      <c r="P718">
        <f>IF(C718&gt;=200000,5,IF(C718&gt;=100000,4,IF(C718&gt;=50000,3,IF(C718&gt;=10000,2,1))))</f>
        <v>5</v>
      </c>
      <c r="Q718">
        <f>IF(B718="TRANSFER",5,IF(B718="CASH_OUT",4,IF(B718="DEBIT",2,1)))</f>
        <v>5</v>
      </c>
      <c r="R718">
        <f>(P718*0.5)+(Q718*0.3)+(N718*0.1)+(M718*0.1)</f>
        <v>4.0999999999999996</v>
      </c>
      <c r="S718" t="str">
        <f t="shared" si="11"/>
        <v>HIGH</v>
      </c>
    </row>
    <row r="719" spans="1:19" x14ac:dyDescent="0.3">
      <c r="A719">
        <v>61</v>
      </c>
      <c r="B719" t="s">
        <v>18</v>
      </c>
      <c r="C719">
        <v>1735466.52</v>
      </c>
      <c r="D719" t="s">
        <v>1445</v>
      </c>
      <c r="E719">
        <v>1735466.52</v>
      </c>
      <c r="F719">
        <v>0</v>
      </c>
      <c r="G719" t="s">
        <v>1446</v>
      </c>
      <c r="H719">
        <v>0</v>
      </c>
      <c r="I719">
        <v>1735466.52</v>
      </c>
      <c r="J719">
        <v>1</v>
      </c>
      <c r="K719">
        <v>0</v>
      </c>
      <c r="L719">
        <v>13</v>
      </c>
      <c r="M719">
        <v>0</v>
      </c>
      <c r="N719">
        <v>1</v>
      </c>
      <c r="O719">
        <v>1735466.52</v>
      </c>
      <c r="P719">
        <f>IF(C719&gt;=200000,5,IF(C719&gt;=100000,4,IF(C719&gt;=50000,3,IF(C719&gt;=10000,2,1))))</f>
        <v>5</v>
      </c>
      <c r="Q719">
        <f>IF(B719="TRANSFER",5,IF(B719="CASH_OUT",4,IF(B719="DEBIT",2,1)))</f>
        <v>4</v>
      </c>
      <c r="R719">
        <f>(P719*0.5)+(Q719*0.3)+(N719*0.1)+(M719*0.1)</f>
        <v>3.8000000000000003</v>
      </c>
      <c r="S719" t="str">
        <f t="shared" si="11"/>
        <v>HIGH</v>
      </c>
    </row>
    <row r="720" spans="1:19" x14ac:dyDescent="0.3">
      <c r="A720">
        <v>61</v>
      </c>
      <c r="B720" t="s">
        <v>15</v>
      </c>
      <c r="C720">
        <v>37720.99</v>
      </c>
      <c r="D720" t="s">
        <v>1447</v>
      </c>
      <c r="E720">
        <v>37720.99</v>
      </c>
      <c r="F720">
        <v>0</v>
      </c>
      <c r="G720" t="s">
        <v>1448</v>
      </c>
      <c r="H720">
        <v>0</v>
      </c>
      <c r="I720">
        <v>0</v>
      </c>
      <c r="J720">
        <v>1</v>
      </c>
      <c r="K720">
        <v>0</v>
      </c>
      <c r="L720">
        <v>13</v>
      </c>
      <c r="M720">
        <v>0</v>
      </c>
      <c r="N720">
        <v>1</v>
      </c>
      <c r="O720">
        <v>37720.99</v>
      </c>
      <c r="P720">
        <f>IF(C720&gt;=200000,5,IF(C720&gt;=100000,4,IF(C720&gt;=50000,3,IF(C720&gt;=10000,2,1))))</f>
        <v>2</v>
      </c>
      <c r="Q720">
        <f>IF(B720="TRANSFER",5,IF(B720="CASH_OUT",4,IF(B720="DEBIT",2,1)))</f>
        <v>5</v>
      </c>
      <c r="R720">
        <f>(P720*0.5)+(Q720*0.3)+(N720*0.1)+(M720*0.1)</f>
        <v>2.6</v>
      </c>
      <c r="S720" t="str">
        <f t="shared" si="11"/>
        <v>MEDIUM</v>
      </c>
    </row>
    <row r="721" spans="1:19" x14ac:dyDescent="0.3">
      <c r="A721">
        <v>61</v>
      </c>
      <c r="B721" t="s">
        <v>18</v>
      </c>
      <c r="C721">
        <v>37720.99</v>
      </c>
      <c r="D721" t="s">
        <v>1449</v>
      </c>
      <c r="E721">
        <v>37720.99</v>
      </c>
      <c r="F721">
        <v>0</v>
      </c>
      <c r="G721" t="s">
        <v>1450</v>
      </c>
      <c r="H721">
        <v>288804.07</v>
      </c>
      <c r="I721">
        <v>326525.06</v>
      </c>
      <c r="J721">
        <v>1</v>
      </c>
      <c r="K721">
        <v>0</v>
      </c>
      <c r="L721">
        <v>13</v>
      </c>
      <c r="M721">
        <v>0</v>
      </c>
      <c r="N721">
        <v>1</v>
      </c>
      <c r="O721">
        <v>37720.99</v>
      </c>
      <c r="P721">
        <f>IF(C721&gt;=200000,5,IF(C721&gt;=100000,4,IF(C721&gt;=50000,3,IF(C721&gt;=10000,2,1))))</f>
        <v>2</v>
      </c>
      <c r="Q721">
        <f>IF(B721="TRANSFER",5,IF(B721="CASH_OUT",4,IF(B721="DEBIT",2,1)))</f>
        <v>4</v>
      </c>
      <c r="R721">
        <f>(P721*0.5)+(Q721*0.3)+(N721*0.1)+(M721*0.1)</f>
        <v>2.3000000000000003</v>
      </c>
      <c r="S721" t="str">
        <f t="shared" si="11"/>
        <v>MEDIUM</v>
      </c>
    </row>
    <row r="722" spans="1:19" x14ac:dyDescent="0.3">
      <c r="A722">
        <v>61</v>
      </c>
      <c r="B722" t="s">
        <v>15</v>
      </c>
      <c r="C722">
        <v>1372301.24</v>
      </c>
      <c r="D722" t="s">
        <v>1451</v>
      </c>
      <c r="E722">
        <v>1372301.24</v>
      </c>
      <c r="F722">
        <v>0</v>
      </c>
      <c r="G722" t="s">
        <v>1452</v>
      </c>
      <c r="H722">
        <v>0</v>
      </c>
      <c r="I722">
        <v>0</v>
      </c>
      <c r="J722">
        <v>1</v>
      </c>
      <c r="K722">
        <v>0</v>
      </c>
      <c r="L722">
        <v>13</v>
      </c>
      <c r="M722">
        <v>0</v>
      </c>
      <c r="N722">
        <v>1</v>
      </c>
      <c r="O722">
        <v>1372301.24</v>
      </c>
      <c r="P722">
        <f>IF(C722&gt;=200000,5,IF(C722&gt;=100000,4,IF(C722&gt;=50000,3,IF(C722&gt;=10000,2,1))))</f>
        <v>5</v>
      </c>
      <c r="Q722">
        <f>IF(B722="TRANSFER",5,IF(B722="CASH_OUT",4,IF(B722="DEBIT",2,1)))</f>
        <v>5</v>
      </c>
      <c r="R722">
        <f>(P722*0.5)+(Q722*0.3)+(N722*0.1)+(M722*0.1)</f>
        <v>4.0999999999999996</v>
      </c>
      <c r="S722" t="str">
        <f t="shared" si="11"/>
        <v>HIGH</v>
      </c>
    </row>
    <row r="723" spans="1:19" x14ac:dyDescent="0.3">
      <c r="A723">
        <v>61</v>
      </c>
      <c r="B723" t="s">
        <v>18</v>
      </c>
      <c r="C723">
        <v>1372301.24</v>
      </c>
      <c r="D723" t="s">
        <v>1453</v>
      </c>
      <c r="E723">
        <v>1372301.24</v>
      </c>
      <c r="F723">
        <v>0</v>
      </c>
      <c r="G723" t="s">
        <v>1454</v>
      </c>
      <c r="H723">
        <v>0</v>
      </c>
      <c r="I723">
        <v>1372301.24</v>
      </c>
      <c r="J723">
        <v>1</v>
      </c>
      <c r="K723">
        <v>0</v>
      </c>
      <c r="L723">
        <v>13</v>
      </c>
      <c r="M723">
        <v>0</v>
      </c>
      <c r="N723">
        <v>1</v>
      </c>
      <c r="O723">
        <v>1372301.24</v>
      </c>
      <c r="P723">
        <f>IF(C723&gt;=200000,5,IF(C723&gt;=100000,4,IF(C723&gt;=50000,3,IF(C723&gt;=10000,2,1))))</f>
        <v>5</v>
      </c>
      <c r="Q723">
        <f>IF(B723="TRANSFER",5,IF(B723="CASH_OUT",4,IF(B723="DEBIT",2,1)))</f>
        <v>4</v>
      </c>
      <c r="R723">
        <f>(P723*0.5)+(Q723*0.3)+(N723*0.1)+(M723*0.1)</f>
        <v>3.8000000000000003</v>
      </c>
      <c r="S723" t="str">
        <f t="shared" si="11"/>
        <v>HIGH</v>
      </c>
    </row>
    <row r="724" spans="1:19" x14ac:dyDescent="0.3">
      <c r="A724">
        <v>61</v>
      </c>
      <c r="B724" t="s">
        <v>15</v>
      </c>
      <c r="C724">
        <v>332138.32</v>
      </c>
      <c r="D724" t="s">
        <v>1455</v>
      </c>
      <c r="E724">
        <v>332138.32</v>
      </c>
      <c r="F724">
        <v>0</v>
      </c>
      <c r="G724" t="s">
        <v>1456</v>
      </c>
      <c r="H724">
        <v>0</v>
      </c>
      <c r="I724">
        <v>0</v>
      </c>
      <c r="J724">
        <v>1</v>
      </c>
      <c r="K724">
        <v>0</v>
      </c>
      <c r="L724">
        <v>13</v>
      </c>
      <c r="M724">
        <v>0</v>
      </c>
      <c r="N724">
        <v>1</v>
      </c>
      <c r="O724">
        <v>332138.32</v>
      </c>
      <c r="P724">
        <f>IF(C724&gt;=200000,5,IF(C724&gt;=100000,4,IF(C724&gt;=50000,3,IF(C724&gt;=10000,2,1))))</f>
        <v>5</v>
      </c>
      <c r="Q724">
        <f>IF(B724="TRANSFER",5,IF(B724="CASH_OUT",4,IF(B724="DEBIT",2,1)))</f>
        <v>5</v>
      </c>
      <c r="R724">
        <f>(P724*0.5)+(Q724*0.3)+(N724*0.1)+(M724*0.1)</f>
        <v>4.0999999999999996</v>
      </c>
      <c r="S724" t="str">
        <f t="shared" si="11"/>
        <v>HIGH</v>
      </c>
    </row>
    <row r="725" spans="1:19" x14ac:dyDescent="0.3">
      <c r="A725">
        <v>61</v>
      </c>
      <c r="B725" t="s">
        <v>18</v>
      </c>
      <c r="C725">
        <v>332138.32</v>
      </c>
      <c r="D725" t="s">
        <v>1457</v>
      </c>
      <c r="E725">
        <v>332138.32</v>
      </c>
      <c r="F725">
        <v>0</v>
      </c>
      <c r="G725" t="s">
        <v>1458</v>
      </c>
      <c r="H725">
        <v>52021.34</v>
      </c>
      <c r="I725">
        <v>384159.66</v>
      </c>
      <c r="J725">
        <v>1</v>
      </c>
      <c r="K725">
        <v>0</v>
      </c>
      <c r="L725">
        <v>13</v>
      </c>
      <c r="M725">
        <v>0</v>
      </c>
      <c r="N725">
        <v>1</v>
      </c>
      <c r="O725">
        <v>332138.32</v>
      </c>
      <c r="P725">
        <f>IF(C725&gt;=200000,5,IF(C725&gt;=100000,4,IF(C725&gt;=50000,3,IF(C725&gt;=10000,2,1))))</f>
        <v>5</v>
      </c>
      <c r="Q725">
        <f>IF(B725="TRANSFER",5,IF(B725="CASH_OUT",4,IF(B725="DEBIT",2,1)))</f>
        <v>4</v>
      </c>
      <c r="R725">
        <f>(P725*0.5)+(Q725*0.3)+(N725*0.1)+(M725*0.1)</f>
        <v>3.8000000000000003</v>
      </c>
      <c r="S725" t="str">
        <f t="shared" si="11"/>
        <v>HIGH</v>
      </c>
    </row>
    <row r="726" spans="1:19" x14ac:dyDescent="0.3">
      <c r="A726">
        <v>61</v>
      </c>
      <c r="B726" t="s">
        <v>15</v>
      </c>
      <c r="C726">
        <v>55062.46</v>
      </c>
      <c r="D726" t="s">
        <v>1459</v>
      </c>
      <c r="E726">
        <v>55062.46</v>
      </c>
      <c r="F726">
        <v>0</v>
      </c>
      <c r="G726" t="s">
        <v>1460</v>
      </c>
      <c r="H726">
        <v>0</v>
      </c>
      <c r="I726">
        <v>0</v>
      </c>
      <c r="J726">
        <v>1</v>
      </c>
      <c r="K726">
        <v>0</v>
      </c>
      <c r="L726">
        <v>13</v>
      </c>
      <c r="M726">
        <v>0</v>
      </c>
      <c r="N726">
        <v>1</v>
      </c>
      <c r="O726">
        <v>55062.46</v>
      </c>
      <c r="P726">
        <f>IF(C726&gt;=200000,5,IF(C726&gt;=100000,4,IF(C726&gt;=50000,3,IF(C726&gt;=10000,2,1))))</f>
        <v>3</v>
      </c>
      <c r="Q726">
        <f>IF(B726="TRANSFER",5,IF(B726="CASH_OUT",4,IF(B726="DEBIT",2,1)))</f>
        <v>5</v>
      </c>
      <c r="R726">
        <f>(P726*0.5)+(Q726*0.3)+(N726*0.1)+(M726*0.1)</f>
        <v>3.1</v>
      </c>
      <c r="S726" t="str">
        <f t="shared" si="11"/>
        <v>HIGH</v>
      </c>
    </row>
    <row r="727" spans="1:19" x14ac:dyDescent="0.3">
      <c r="A727">
        <v>61</v>
      </c>
      <c r="B727" t="s">
        <v>18</v>
      </c>
      <c r="C727">
        <v>55062.46</v>
      </c>
      <c r="D727" t="s">
        <v>1461</v>
      </c>
      <c r="E727">
        <v>55062.46</v>
      </c>
      <c r="F727">
        <v>0</v>
      </c>
      <c r="G727" t="s">
        <v>1462</v>
      </c>
      <c r="H727">
        <v>0</v>
      </c>
      <c r="I727">
        <v>55062.46</v>
      </c>
      <c r="J727">
        <v>1</v>
      </c>
      <c r="K727">
        <v>0</v>
      </c>
      <c r="L727">
        <v>13</v>
      </c>
      <c r="M727">
        <v>0</v>
      </c>
      <c r="N727">
        <v>1</v>
      </c>
      <c r="O727">
        <v>55062.46</v>
      </c>
      <c r="P727">
        <f>IF(C727&gt;=200000,5,IF(C727&gt;=100000,4,IF(C727&gt;=50000,3,IF(C727&gt;=10000,2,1))))</f>
        <v>3</v>
      </c>
      <c r="Q727">
        <f>IF(B727="TRANSFER",5,IF(B727="CASH_OUT",4,IF(B727="DEBIT",2,1)))</f>
        <v>4</v>
      </c>
      <c r="R727">
        <f>(P727*0.5)+(Q727*0.3)+(N727*0.1)+(M727*0.1)</f>
        <v>2.8000000000000003</v>
      </c>
      <c r="S727" t="str">
        <f t="shared" si="11"/>
        <v>MEDIUM</v>
      </c>
    </row>
    <row r="728" spans="1:19" x14ac:dyDescent="0.3">
      <c r="A728">
        <v>61</v>
      </c>
      <c r="B728" t="s">
        <v>15</v>
      </c>
      <c r="C728">
        <v>1155128.9099999999</v>
      </c>
      <c r="D728" t="s">
        <v>1463</v>
      </c>
      <c r="E728">
        <v>1155128.9099999999</v>
      </c>
      <c r="F728">
        <v>0</v>
      </c>
      <c r="G728" t="s">
        <v>1464</v>
      </c>
      <c r="H728">
        <v>0</v>
      </c>
      <c r="I728">
        <v>0</v>
      </c>
      <c r="J728">
        <v>1</v>
      </c>
      <c r="K728">
        <v>0</v>
      </c>
      <c r="L728">
        <v>13</v>
      </c>
      <c r="M728">
        <v>0</v>
      </c>
      <c r="N728">
        <v>1</v>
      </c>
      <c r="O728">
        <v>1155128.9099999999</v>
      </c>
      <c r="P728">
        <f>IF(C728&gt;=200000,5,IF(C728&gt;=100000,4,IF(C728&gt;=50000,3,IF(C728&gt;=10000,2,1))))</f>
        <v>5</v>
      </c>
      <c r="Q728">
        <f>IF(B728="TRANSFER",5,IF(B728="CASH_OUT",4,IF(B728="DEBIT",2,1)))</f>
        <v>5</v>
      </c>
      <c r="R728">
        <f>(P728*0.5)+(Q728*0.3)+(N728*0.1)+(M728*0.1)</f>
        <v>4.0999999999999996</v>
      </c>
      <c r="S728" t="str">
        <f t="shared" si="11"/>
        <v>HIGH</v>
      </c>
    </row>
    <row r="729" spans="1:19" x14ac:dyDescent="0.3">
      <c r="A729">
        <v>61</v>
      </c>
      <c r="B729" t="s">
        <v>18</v>
      </c>
      <c r="C729">
        <v>1155128.9099999999</v>
      </c>
      <c r="D729" t="s">
        <v>1465</v>
      </c>
      <c r="E729">
        <v>1155128.9099999999</v>
      </c>
      <c r="F729">
        <v>0</v>
      </c>
      <c r="G729" t="s">
        <v>1466</v>
      </c>
      <c r="H729">
        <v>0</v>
      </c>
      <c r="I729">
        <v>1155128.9099999999</v>
      </c>
      <c r="J729">
        <v>1</v>
      </c>
      <c r="K729">
        <v>0</v>
      </c>
      <c r="L729">
        <v>13</v>
      </c>
      <c r="M729">
        <v>0</v>
      </c>
      <c r="N729">
        <v>1</v>
      </c>
      <c r="O729">
        <v>1155128.9099999999</v>
      </c>
      <c r="P729">
        <f>IF(C729&gt;=200000,5,IF(C729&gt;=100000,4,IF(C729&gt;=50000,3,IF(C729&gt;=10000,2,1))))</f>
        <v>5</v>
      </c>
      <c r="Q729">
        <f>IF(B729="TRANSFER",5,IF(B729="CASH_OUT",4,IF(B729="DEBIT",2,1)))</f>
        <v>4</v>
      </c>
      <c r="R729">
        <f>(P729*0.5)+(Q729*0.3)+(N729*0.1)+(M729*0.1)</f>
        <v>3.8000000000000003</v>
      </c>
      <c r="S729" t="str">
        <f t="shared" si="11"/>
        <v>HIGH</v>
      </c>
    </row>
    <row r="730" spans="1:19" x14ac:dyDescent="0.3">
      <c r="A730">
        <v>62</v>
      </c>
      <c r="B730" t="s">
        <v>15</v>
      </c>
      <c r="C730">
        <v>401529.35</v>
      </c>
      <c r="D730" t="s">
        <v>1467</v>
      </c>
      <c r="E730">
        <v>401529.35</v>
      </c>
      <c r="F730">
        <v>0</v>
      </c>
      <c r="G730" t="s">
        <v>1468</v>
      </c>
      <c r="H730">
        <v>0</v>
      </c>
      <c r="I730">
        <v>0</v>
      </c>
      <c r="J730">
        <v>1</v>
      </c>
      <c r="K730">
        <v>0</v>
      </c>
      <c r="L730">
        <v>14</v>
      </c>
      <c r="M730">
        <v>0</v>
      </c>
      <c r="N730">
        <v>1</v>
      </c>
      <c r="O730">
        <v>401529.35</v>
      </c>
      <c r="P730">
        <f>IF(C730&gt;=200000,5,IF(C730&gt;=100000,4,IF(C730&gt;=50000,3,IF(C730&gt;=10000,2,1))))</f>
        <v>5</v>
      </c>
      <c r="Q730">
        <f>IF(B730="TRANSFER",5,IF(B730="CASH_OUT",4,IF(B730="DEBIT",2,1)))</f>
        <v>5</v>
      </c>
      <c r="R730">
        <f>(P730*0.5)+(Q730*0.3)+(N730*0.1)+(M730*0.1)</f>
        <v>4.0999999999999996</v>
      </c>
      <c r="S730" t="str">
        <f t="shared" si="11"/>
        <v>HIGH</v>
      </c>
    </row>
    <row r="731" spans="1:19" x14ac:dyDescent="0.3">
      <c r="A731">
        <v>62</v>
      </c>
      <c r="B731" t="s">
        <v>18</v>
      </c>
      <c r="C731">
        <v>401529.35</v>
      </c>
      <c r="D731" t="s">
        <v>1469</v>
      </c>
      <c r="E731">
        <v>401529.35</v>
      </c>
      <c r="F731">
        <v>0</v>
      </c>
      <c r="G731" t="s">
        <v>1470</v>
      </c>
      <c r="H731">
        <v>4162.42</v>
      </c>
      <c r="I731">
        <v>405691.77</v>
      </c>
      <c r="J731">
        <v>1</v>
      </c>
      <c r="K731">
        <v>0</v>
      </c>
      <c r="L731">
        <v>14</v>
      </c>
      <c r="M731">
        <v>0</v>
      </c>
      <c r="N731">
        <v>1</v>
      </c>
      <c r="O731">
        <v>401529.35</v>
      </c>
      <c r="P731">
        <f>IF(C731&gt;=200000,5,IF(C731&gt;=100000,4,IF(C731&gt;=50000,3,IF(C731&gt;=10000,2,1))))</f>
        <v>5</v>
      </c>
      <c r="Q731">
        <f>IF(B731="TRANSFER",5,IF(B731="CASH_OUT",4,IF(B731="DEBIT",2,1)))</f>
        <v>4</v>
      </c>
      <c r="R731">
        <f>(P731*0.5)+(Q731*0.3)+(N731*0.1)+(M731*0.1)</f>
        <v>3.8000000000000003</v>
      </c>
      <c r="S731" t="str">
        <f t="shared" si="11"/>
        <v>HIGH</v>
      </c>
    </row>
    <row r="732" spans="1:19" x14ac:dyDescent="0.3">
      <c r="A732">
        <v>62</v>
      </c>
      <c r="B732" t="s">
        <v>15</v>
      </c>
      <c r="C732">
        <v>722380.88</v>
      </c>
      <c r="D732" t="s">
        <v>1471</v>
      </c>
      <c r="E732">
        <v>722380.88</v>
      </c>
      <c r="F732">
        <v>0</v>
      </c>
      <c r="G732" t="s">
        <v>1472</v>
      </c>
      <c r="H732">
        <v>0</v>
      </c>
      <c r="I732">
        <v>0</v>
      </c>
      <c r="J732">
        <v>1</v>
      </c>
      <c r="K732">
        <v>0</v>
      </c>
      <c r="L732">
        <v>14</v>
      </c>
      <c r="M732">
        <v>0</v>
      </c>
      <c r="N732">
        <v>1</v>
      </c>
      <c r="O732">
        <v>722380.88</v>
      </c>
      <c r="P732">
        <f>IF(C732&gt;=200000,5,IF(C732&gt;=100000,4,IF(C732&gt;=50000,3,IF(C732&gt;=10000,2,1))))</f>
        <v>5</v>
      </c>
      <c r="Q732">
        <f>IF(B732="TRANSFER",5,IF(B732="CASH_OUT",4,IF(B732="DEBIT",2,1)))</f>
        <v>5</v>
      </c>
      <c r="R732">
        <f>(P732*0.5)+(Q732*0.3)+(N732*0.1)+(M732*0.1)</f>
        <v>4.0999999999999996</v>
      </c>
      <c r="S732" t="str">
        <f t="shared" si="11"/>
        <v>HIGH</v>
      </c>
    </row>
    <row r="733" spans="1:19" x14ac:dyDescent="0.3">
      <c r="A733">
        <v>62</v>
      </c>
      <c r="B733" t="s">
        <v>18</v>
      </c>
      <c r="C733">
        <v>722380.88</v>
      </c>
      <c r="D733" t="s">
        <v>1473</v>
      </c>
      <c r="E733">
        <v>722380.88</v>
      </c>
      <c r="F733">
        <v>0</v>
      </c>
      <c r="G733" t="s">
        <v>1474</v>
      </c>
      <c r="H733">
        <v>331969.08</v>
      </c>
      <c r="I733">
        <v>1054349.95</v>
      </c>
      <c r="J733">
        <v>1</v>
      </c>
      <c r="K733">
        <v>0</v>
      </c>
      <c r="L733">
        <v>14</v>
      </c>
      <c r="M733">
        <v>0</v>
      </c>
      <c r="N733">
        <v>1</v>
      </c>
      <c r="O733">
        <v>722380.88</v>
      </c>
      <c r="P733">
        <f>IF(C733&gt;=200000,5,IF(C733&gt;=100000,4,IF(C733&gt;=50000,3,IF(C733&gt;=10000,2,1))))</f>
        <v>5</v>
      </c>
      <c r="Q733">
        <f>IF(B733="TRANSFER",5,IF(B733="CASH_OUT",4,IF(B733="DEBIT",2,1)))</f>
        <v>4</v>
      </c>
      <c r="R733">
        <f>(P733*0.5)+(Q733*0.3)+(N733*0.1)+(M733*0.1)</f>
        <v>3.8000000000000003</v>
      </c>
      <c r="S733" t="str">
        <f t="shared" si="11"/>
        <v>HIGH</v>
      </c>
    </row>
    <row r="734" spans="1:19" x14ac:dyDescent="0.3">
      <c r="A734">
        <v>62</v>
      </c>
      <c r="B734" t="s">
        <v>15</v>
      </c>
      <c r="C734">
        <v>724414.43</v>
      </c>
      <c r="D734" t="s">
        <v>1475</v>
      </c>
      <c r="E734">
        <v>724414.43</v>
      </c>
      <c r="F734">
        <v>0</v>
      </c>
      <c r="G734" t="s">
        <v>1476</v>
      </c>
      <c r="H734">
        <v>0</v>
      </c>
      <c r="I734">
        <v>0</v>
      </c>
      <c r="J734">
        <v>1</v>
      </c>
      <c r="K734">
        <v>0</v>
      </c>
      <c r="L734">
        <v>14</v>
      </c>
      <c r="M734">
        <v>0</v>
      </c>
      <c r="N734">
        <v>1</v>
      </c>
      <c r="O734">
        <v>724414.43</v>
      </c>
      <c r="P734">
        <f>IF(C734&gt;=200000,5,IF(C734&gt;=100000,4,IF(C734&gt;=50000,3,IF(C734&gt;=10000,2,1))))</f>
        <v>5</v>
      </c>
      <c r="Q734">
        <f>IF(B734="TRANSFER",5,IF(B734="CASH_OUT",4,IF(B734="DEBIT",2,1)))</f>
        <v>5</v>
      </c>
      <c r="R734">
        <f>(P734*0.5)+(Q734*0.3)+(N734*0.1)+(M734*0.1)</f>
        <v>4.0999999999999996</v>
      </c>
      <c r="S734" t="str">
        <f t="shared" si="11"/>
        <v>HIGH</v>
      </c>
    </row>
    <row r="735" spans="1:19" x14ac:dyDescent="0.3">
      <c r="A735">
        <v>62</v>
      </c>
      <c r="B735" t="s">
        <v>18</v>
      </c>
      <c r="C735">
        <v>724414.43</v>
      </c>
      <c r="D735" t="s">
        <v>1477</v>
      </c>
      <c r="E735">
        <v>724414.43</v>
      </c>
      <c r="F735">
        <v>0</v>
      </c>
      <c r="G735" t="s">
        <v>1478</v>
      </c>
      <c r="H735">
        <v>223853.38</v>
      </c>
      <c r="I735">
        <v>948267.81</v>
      </c>
      <c r="J735">
        <v>1</v>
      </c>
      <c r="K735">
        <v>0</v>
      </c>
      <c r="L735">
        <v>14</v>
      </c>
      <c r="M735">
        <v>0</v>
      </c>
      <c r="N735">
        <v>1</v>
      </c>
      <c r="O735">
        <v>724414.43</v>
      </c>
      <c r="P735">
        <f>IF(C735&gt;=200000,5,IF(C735&gt;=100000,4,IF(C735&gt;=50000,3,IF(C735&gt;=10000,2,1))))</f>
        <v>5</v>
      </c>
      <c r="Q735">
        <f>IF(B735="TRANSFER",5,IF(B735="CASH_OUT",4,IF(B735="DEBIT",2,1)))</f>
        <v>4</v>
      </c>
      <c r="R735">
        <f>(P735*0.5)+(Q735*0.3)+(N735*0.1)+(M735*0.1)</f>
        <v>3.8000000000000003</v>
      </c>
      <c r="S735" t="str">
        <f t="shared" si="11"/>
        <v>HIGH</v>
      </c>
    </row>
    <row r="736" spans="1:19" x14ac:dyDescent="0.3">
      <c r="A736">
        <v>62</v>
      </c>
      <c r="B736" t="s">
        <v>15</v>
      </c>
      <c r="C736">
        <v>407833.62</v>
      </c>
      <c r="D736" t="s">
        <v>1479</v>
      </c>
      <c r="E736">
        <v>407833.62</v>
      </c>
      <c r="F736">
        <v>0</v>
      </c>
      <c r="G736" t="s">
        <v>1480</v>
      </c>
      <c r="H736">
        <v>0</v>
      </c>
      <c r="I736">
        <v>0</v>
      </c>
      <c r="J736">
        <v>1</v>
      </c>
      <c r="K736">
        <v>0</v>
      </c>
      <c r="L736">
        <v>14</v>
      </c>
      <c r="M736">
        <v>0</v>
      </c>
      <c r="N736">
        <v>1</v>
      </c>
      <c r="O736">
        <v>407833.62</v>
      </c>
      <c r="P736">
        <f>IF(C736&gt;=200000,5,IF(C736&gt;=100000,4,IF(C736&gt;=50000,3,IF(C736&gt;=10000,2,1))))</f>
        <v>5</v>
      </c>
      <c r="Q736">
        <f>IF(B736="TRANSFER",5,IF(B736="CASH_OUT",4,IF(B736="DEBIT",2,1)))</f>
        <v>5</v>
      </c>
      <c r="R736">
        <f>(P736*0.5)+(Q736*0.3)+(N736*0.1)+(M736*0.1)</f>
        <v>4.0999999999999996</v>
      </c>
      <c r="S736" t="str">
        <f t="shared" si="11"/>
        <v>HIGH</v>
      </c>
    </row>
    <row r="737" spans="1:19" x14ac:dyDescent="0.3">
      <c r="A737">
        <v>62</v>
      </c>
      <c r="B737" t="s">
        <v>18</v>
      </c>
      <c r="C737">
        <v>407833.62</v>
      </c>
      <c r="D737" t="s">
        <v>1481</v>
      </c>
      <c r="E737">
        <v>407833.62</v>
      </c>
      <c r="F737">
        <v>0</v>
      </c>
      <c r="G737" t="s">
        <v>1482</v>
      </c>
      <c r="H737">
        <v>0</v>
      </c>
      <c r="I737">
        <v>407833.62</v>
      </c>
      <c r="J737">
        <v>1</v>
      </c>
      <c r="K737">
        <v>0</v>
      </c>
      <c r="L737">
        <v>14</v>
      </c>
      <c r="M737">
        <v>0</v>
      </c>
      <c r="N737">
        <v>1</v>
      </c>
      <c r="O737">
        <v>407833.62</v>
      </c>
      <c r="P737">
        <f>IF(C737&gt;=200000,5,IF(C737&gt;=100000,4,IF(C737&gt;=50000,3,IF(C737&gt;=10000,2,1))))</f>
        <v>5</v>
      </c>
      <c r="Q737">
        <f>IF(B737="TRANSFER",5,IF(B737="CASH_OUT",4,IF(B737="DEBIT",2,1)))</f>
        <v>4</v>
      </c>
      <c r="R737">
        <f>(P737*0.5)+(Q737*0.3)+(N737*0.1)+(M737*0.1)</f>
        <v>3.8000000000000003</v>
      </c>
      <c r="S737" t="str">
        <f t="shared" si="11"/>
        <v>HIGH</v>
      </c>
    </row>
    <row r="738" spans="1:19" x14ac:dyDescent="0.3">
      <c r="A738">
        <v>63</v>
      </c>
      <c r="B738" t="s">
        <v>15</v>
      </c>
      <c r="C738">
        <v>148188.84</v>
      </c>
      <c r="D738" t="s">
        <v>1483</v>
      </c>
      <c r="E738">
        <v>148188.84</v>
      </c>
      <c r="F738">
        <v>0</v>
      </c>
      <c r="G738" t="s">
        <v>1484</v>
      </c>
      <c r="H738">
        <v>0</v>
      </c>
      <c r="I738">
        <v>0</v>
      </c>
      <c r="J738">
        <v>1</v>
      </c>
      <c r="K738">
        <v>0</v>
      </c>
      <c r="L738">
        <v>15</v>
      </c>
      <c r="M738">
        <v>0</v>
      </c>
      <c r="N738">
        <v>1</v>
      </c>
      <c r="O738">
        <v>148188.84</v>
      </c>
      <c r="P738">
        <f>IF(C738&gt;=200000,5,IF(C738&gt;=100000,4,IF(C738&gt;=50000,3,IF(C738&gt;=10000,2,1))))</f>
        <v>4</v>
      </c>
      <c r="Q738">
        <f>IF(B738="TRANSFER",5,IF(B738="CASH_OUT",4,IF(B738="DEBIT",2,1)))</f>
        <v>5</v>
      </c>
      <c r="R738">
        <f>(P738*0.5)+(Q738*0.3)+(N738*0.1)+(M738*0.1)</f>
        <v>3.6</v>
      </c>
      <c r="S738" t="str">
        <f t="shared" si="11"/>
        <v>HIGH</v>
      </c>
    </row>
    <row r="739" spans="1:19" x14ac:dyDescent="0.3">
      <c r="A739">
        <v>63</v>
      </c>
      <c r="B739" t="s">
        <v>18</v>
      </c>
      <c r="C739">
        <v>148188.84</v>
      </c>
      <c r="D739" t="s">
        <v>1485</v>
      </c>
      <c r="E739">
        <v>148188.84</v>
      </c>
      <c r="F739">
        <v>0</v>
      </c>
      <c r="G739" t="s">
        <v>1486</v>
      </c>
      <c r="H739">
        <v>194134.25</v>
      </c>
      <c r="I739">
        <v>342323.08</v>
      </c>
      <c r="J739">
        <v>1</v>
      </c>
      <c r="K739">
        <v>0</v>
      </c>
      <c r="L739">
        <v>15</v>
      </c>
      <c r="M739">
        <v>0</v>
      </c>
      <c r="N739">
        <v>1</v>
      </c>
      <c r="O739">
        <v>148188.84</v>
      </c>
      <c r="P739">
        <f>IF(C739&gt;=200000,5,IF(C739&gt;=100000,4,IF(C739&gt;=50000,3,IF(C739&gt;=10000,2,1))))</f>
        <v>4</v>
      </c>
      <c r="Q739">
        <f>IF(B739="TRANSFER",5,IF(B739="CASH_OUT",4,IF(B739="DEBIT",2,1)))</f>
        <v>4</v>
      </c>
      <c r="R739">
        <f>(P739*0.5)+(Q739*0.3)+(N739*0.1)+(M739*0.1)</f>
        <v>3.3000000000000003</v>
      </c>
      <c r="S739" t="str">
        <f t="shared" si="11"/>
        <v>HIGH</v>
      </c>
    </row>
    <row r="740" spans="1:19" x14ac:dyDescent="0.3">
      <c r="A740">
        <v>63</v>
      </c>
      <c r="B740" t="s">
        <v>15</v>
      </c>
      <c r="C740">
        <v>1693962.01</v>
      </c>
      <c r="D740" t="s">
        <v>1487</v>
      </c>
      <c r="E740">
        <v>1693962.01</v>
      </c>
      <c r="F740">
        <v>0</v>
      </c>
      <c r="G740" t="s">
        <v>1488</v>
      </c>
      <c r="H740">
        <v>0</v>
      </c>
      <c r="I740">
        <v>0</v>
      </c>
      <c r="J740">
        <v>1</v>
      </c>
      <c r="K740">
        <v>0</v>
      </c>
      <c r="L740">
        <v>15</v>
      </c>
      <c r="M740">
        <v>0</v>
      </c>
      <c r="N740">
        <v>1</v>
      </c>
      <c r="O740">
        <v>1693962.01</v>
      </c>
      <c r="P740">
        <f>IF(C740&gt;=200000,5,IF(C740&gt;=100000,4,IF(C740&gt;=50000,3,IF(C740&gt;=10000,2,1))))</f>
        <v>5</v>
      </c>
      <c r="Q740">
        <f>IF(B740="TRANSFER",5,IF(B740="CASH_OUT",4,IF(B740="DEBIT",2,1)))</f>
        <v>5</v>
      </c>
      <c r="R740">
        <f>(P740*0.5)+(Q740*0.3)+(N740*0.1)+(M740*0.1)</f>
        <v>4.0999999999999996</v>
      </c>
      <c r="S740" t="str">
        <f t="shared" si="11"/>
        <v>HIGH</v>
      </c>
    </row>
    <row r="741" spans="1:19" x14ac:dyDescent="0.3">
      <c r="A741">
        <v>63</v>
      </c>
      <c r="B741" t="s">
        <v>18</v>
      </c>
      <c r="C741">
        <v>1693962.01</v>
      </c>
      <c r="D741" t="s">
        <v>1489</v>
      </c>
      <c r="E741">
        <v>1693962.01</v>
      </c>
      <c r="F741">
        <v>0</v>
      </c>
      <c r="G741" t="s">
        <v>1490</v>
      </c>
      <c r="H741">
        <v>98505.53</v>
      </c>
      <c r="I741">
        <v>1792467.54</v>
      </c>
      <c r="J741">
        <v>1</v>
      </c>
      <c r="K741">
        <v>0</v>
      </c>
      <c r="L741">
        <v>15</v>
      </c>
      <c r="M741">
        <v>0</v>
      </c>
      <c r="N741">
        <v>1</v>
      </c>
      <c r="O741">
        <v>1693962.01</v>
      </c>
      <c r="P741">
        <f>IF(C741&gt;=200000,5,IF(C741&gt;=100000,4,IF(C741&gt;=50000,3,IF(C741&gt;=10000,2,1))))</f>
        <v>5</v>
      </c>
      <c r="Q741">
        <f>IF(B741="TRANSFER",5,IF(B741="CASH_OUT",4,IF(B741="DEBIT",2,1)))</f>
        <v>4</v>
      </c>
      <c r="R741">
        <f>(P741*0.5)+(Q741*0.3)+(N741*0.1)+(M741*0.1)</f>
        <v>3.8000000000000003</v>
      </c>
      <c r="S741" t="str">
        <f t="shared" si="11"/>
        <v>HIGH</v>
      </c>
    </row>
    <row r="742" spans="1:19" x14ac:dyDescent="0.3">
      <c r="A742">
        <v>63</v>
      </c>
      <c r="B742" t="s">
        <v>15</v>
      </c>
      <c r="C742">
        <v>14017.38</v>
      </c>
      <c r="D742" t="s">
        <v>1491</v>
      </c>
      <c r="E742">
        <v>14017.38</v>
      </c>
      <c r="F742">
        <v>0</v>
      </c>
      <c r="G742" t="s">
        <v>1492</v>
      </c>
      <c r="H742">
        <v>0</v>
      </c>
      <c r="I742">
        <v>0</v>
      </c>
      <c r="J742">
        <v>1</v>
      </c>
      <c r="K742">
        <v>0</v>
      </c>
      <c r="L742">
        <v>15</v>
      </c>
      <c r="M742">
        <v>0</v>
      </c>
      <c r="N742">
        <v>1</v>
      </c>
      <c r="O742">
        <v>14017.38</v>
      </c>
      <c r="P742">
        <f>IF(C742&gt;=200000,5,IF(C742&gt;=100000,4,IF(C742&gt;=50000,3,IF(C742&gt;=10000,2,1))))</f>
        <v>2</v>
      </c>
      <c r="Q742">
        <f>IF(B742="TRANSFER",5,IF(B742="CASH_OUT",4,IF(B742="DEBIT",2,1)))</f>
        <v>5</v>
      </c>
      <c r="R742">
        <f>(P742*0.5)+(Q742*0.3)+(N742*0.1)+(M742*0.1)</f>
        <v>2.6</v>
      </c>
      <c r="S742" t="str">
        <f t="shared" si="11"/>
        <v>MEDIUM</v>
      </c>
    </row>
    <row r="743" spans="1:19" x14ac:dyDescent="0.3">
      <c r="A743">
        <v>63</v>
      </c>
      <c r="B743" t="s">
        <v>18</v>
      </c>
      <c r="C743">
        <v>14017.38</v>
      </c>
      <c r="D743" t="s">
        <v>1493</v>
      </c>
      <c r="E743">
        <v>14017.38</v>
      </c>
      <c r="F743">
        <v>0</v>
      </c>
      <c r="G743" t="s">
        <v>1494</v>
      </c>
      <c r="H743">
        <v>0</v>
      </c>
      <c r="I743">
        <v>14017.38</v>
      </c>
      <c r="J743">
        <v>1</v>
      </c>
      <c r="K743">
        <v>0</v>
      </c>
      <c r="L743">
        <v>15</v>
      </c>
      <c r="M743">
        <v>0</v>
      </c>
      <c r="N743">
        <v>1</v>
      </c>
      <c r="O743">
        <v>14017.38</v>
      </c>
      <c r="P743">
        <f>IF(C743&gt;=200000,5,IF(C743&gt;=100000,4,IF(C743&gt;=50000,3,IF(C743&gt;=10000,2,1))))</f>
        <v>2</v>
      </c>
      <c r="Q743">
        <f>IF(B743="TRANSFER",5,IF(B743="CASH_OUT",4,IF(B743="DEBIT",2,1)))</f>
        <v>4</v>
      </c>
      <c r="R743">
        <f>(P743*0.5)+(Q743*0.3)+(N743*0.1)+(M743*0.1)</f>
        <v>2.3000000000000003</v>
      </c>
      <c r="S743" t="str">
        <f t="shared" si="11"/>
        <v>MEDIUM</v>
      </c>
    </row>
    <row r="744" spans="1:19" x14ac:dyDescent="0.3">
      <c r="A744">
        <v>63</v>
      </c>
      <c r="B744" t="s">
        <v>15</v>
      </c>
      <c r="C744">
        <v>197226.65</v>
      </c>
      <c r="D744" t="s">
        <v>1495</v>
      </c>
      <c r="E744">
        <v>197226.65</v>
      </c>
      <c r="F744">
        <v>0</v>
      </c>
      <c r="G744" t="s">
        <v>1496</v>
      </c>
      <c r="H744">
        <v>0</v>
      </c>
      <c r="I744">
        <v>0</v>
      </c>
      <c r="J744">
        <v>1</v>
      </c>
      <c r="K744">
        <v>0</v>
      </c>
      <c r="L744">
        <v>15</v>
      </c>
      <c r="M744">
        <v>0</v>
      </c>
      <c r="N744">
        <v>1</v>
      </c>
      <c r="O744">
        <v>197226.65</v>
      </c>
      <c r="P744">
        <f>IF(C744&gt;=200000,5,IF(C744&gt;=100000,4,IF(C744&gt;=50000,3,IF(C744&gt;=10000,2,1))))</f>
        <v>4</v>
      </c>
      <c r="Q744">
        <f>IF(B744="TRANSFER",5,IF(B744="CASH_OUT",4,IF(B744="DEBIT",2,1)))</f>
        <v>5</v>
      </c>
      <c r="R744">
        <f>(P744*0.5)+(Q744*0.3)+(N744*0.1)+(M744*0.1)</f>
        <v>3.6</v>
      </c>
      <c r="S744" t="str">
        <f t="shared" si="11"/>
        <v>HIGH</v>
      </c>
    </row>
    <row r="745" spans="1:19" x14ac:dyDescent="0.3">
      <c r="A745">
        <v>63</v>
      </c>
      <c r="B745" t="s">
        <v>18</v>
      </c>
      <c r="C745">
        <v>197226.65</v>
      </c>
      <c r="D745" t="s">
        <v>1497</v>
      </c>
      <c r="E745">
        <v>197226.65</v>
      </c>
      <c r="F745">
        <v>0</v>
      </c>
      <c r="G745" t="s">
        <v>1498</v>
      </c>
      <c r="H745">
        <v>0</v>
      </c>
      <c r="I745">
        <v>197226.65</v>
      </c>
      <c r="J745">
        <v>1</v>
      </c>
      <c r="K745">
        <v>0</v>
      </c>
      <c r="L745">
        <v>15</v>
      </c>
      <c r="M745">
        <v>0</v>
      </c>
      <c r="N745">
        <v>1</v>
      </c>
      <c r="O745">
        <v>197226.65</v>
      </c>
      <c r="P745">
        <f>IF(C745&gt;=200000,5,IF(C745&gt;=100000,4,IF(C745&gt;=50000,3,IF(C745&gt;=10000,2,1))))</f>
        <v>4</v>
      </c>
      <c r="Q745">
        <f>IF(B745="TRANSFER",5,IF(B745="CASH_OUT",4,IF(B745="DEBIT",2,1)))</f>
        <v>4</v>
      </c>
      <c r="R745">
        <f>(P745*0.5)+(Q745*0.3)+(N745*0.1)+(M745*0.1)</f>
        <v>3.3000000000000003</v>
      </c>
      <c r="S745" t="str">
        <f t="shared" si="11"/>
        <v>HIGH</v>
      </c>
    </row>
    <row r="746" spans="1:19" x14ac:dyDescent="0.3">
      <c r="A746">
        <v>64</v>
      </c>
      <c r="B746" t="s">
        <v>15</v>
      </c>
      <c r="C746">
        <v>31574.65</v>
      </c>
      <c r="D746" t="s">
        <v>1499</v>
      </c>
      <c r="E746">
        <v>31574.65</v>
      </c>
      <c r="F746">
        <v>0</v>
      </c>
      <c r="G746" t="s">
        <v>1500</v>
      </c>
      <c r="H746">
        <v>0</v>
      </c>
      <c r="I746">
        <v>0</v>
      </c>
      <c r="J746">
        <v>1</v>
      </c>
      <c r="K746">
        <v>0</v>
      </c>
      <c r="L746">
        <v>16</v>
      </c>
      <c r="M746">
        <v>0</v>
      </c>
      <c r="N746">
        <v>1</v>
      </c>
      <c r="O746">
        <v>31574.65</v>
      </c>
      <c r="P746">
        <f>IF(C746&gt;=200000,5,IF(C746&gt;=100000,4,IF(C746&gt;=50000,3,IF(C746&gt;=10000,2,1))))</f>
        <v>2</v>
      </c>
      <c r="Q746">
        <f>IF(B746="TRANSFER",5,IF(B746="CASH_OUT",4,IF(B746="DEBIT",2,1)))</f>
        <v>5</v>
      </c>
      <c r="R746">
        <f>(P746*0.5)+(Q746*0.3)+(N746*0.1)+(M746*0.1)</f>
        <v>2.6</v>
      </c>
      <c r="S746" t="str">
        <f t="shared" si="11"/>
        <v>MEDIUM</v>
      </c>
    </row>
    <row r="747" spans="1:19" x14ac:dyDescent="0.3">
      <c r="A747">
        <v>64</v>
      </c>
      <c r="B747" t="s">
        <v>18</v>
      </c>
      <c r="C747">
        <v>31574.65</v>
      </c>
      <c r="D747" t="s">
        <v>1501</v>
      </c>
      <c r="E747">
        <v>31574.65</v>
      </c>
      <c r="F747">
        <v>0</v>
      </c>
      <c r="G747" t="s">
        <v>1502</v>
      </c>
      <c r="H747">
        <v>199385.83</v>
      </c>
      <c r="I747">
        <v>230960.48</v>
      </c>
      <c r="J747">
        <v>1</v>
      </c>
      <c r="K747">
        <v>0</v>
      </c>
      <c r="L747">
        <v>16</v>
      </c>
      <c r="M747">
        <v>0</v>
      </c>
      <c r="N747">
        <v>1</v>
      </c>
      <c r="O747">
        <v>31574.65</v>
      </c>
      <c r="P747">
        <f>IF(C747&gt;=200000,5,IF(C747&gt;=100000,4,IF(C747&gt;=50000,3,IF(C747&gt;=10000,2,1))))</f>
        <v>2</v>
      </c>
      <c r="Q747">
        <f>IF(B747="TRANSFER",5,IF(B747="CASH_OUT",4,IF(B747="DEBIT",2,1)))</f>
        <v>4</v>
      </c>
      <c r="R747">
        <f>(P747*0.5)+(Q747*0.3)+(N747*0.1)+(M747*0.1)</f>
        <v>2.3000000000000003</v>
      </c>
      <c r="S747" t="str">
        <f t="shared" si="11"/>
        <v>MEDIUM</v>
      </c>
    </row>
    <row r="748" spans="1:19" x14ac:dyDescent="0.3">
      <c r="A748">
        <v>64</v>
      </c>
      <c r="B748" t="s">
        <v>15</v>
      </c>
      <c r="C748">
        <v>37796.75</v>
      </c>
      <c r="D748" t="s">
        <v>1503</v>
      </c>
      <c r="E748">
        <v>37796.75</v>
      </c>
      <c r="F748">
        <v>0</v>
      </c>
      <c r="G748" t="s">
        <v>1504</v>
      </c>
      <c r="H748">
        <v>0</v>
      </c>
      <c r="I748">
        <v>0</v>
      </c>
      <c r="J748">
        <v>1</v>
      </c>
      <c r="K748">
        <v>0</v>
      </c>
      <c r="L748">
        <v>16</v>
      </c>
      <c r="M748">
        <v>0</v>
      </c>
      <c r="N748">
        <v>1</v>
      </c>
      <c r="O748">
        <v>37796.75</v>
      </c>
      <c r="P748">
        <f>IF(C748&gt;=200000,5,IF(C748&gt;=100000,4,IF(C748&gt;=50000,3,IF(C748&gt;=10000,2,1))))</f>
        <v>2</v>
      </c>
      <c r="Q748">
        <f>IF(B748="TRANSFER",5,IF(B748="CASH_OUT",4,IF(B748="DEBIT",2,1)))</f>
        <v>5</v>
      </c>
      <c r="R748">
        <f>(P748*0.5)+(Q748*0.3)+(N748*0.1)+(M748*0.1)</f>
        <v>2.6</v>
      </c>
      <c r="S748" t="str">
        <f t="shared" si="11"/>
        <v>MEDIUM</v>
      </c>
    </row>
    <row r="749" spans="1:19" x14ac:dyDescent="0.3">
      <c r="A749">
        <v>64</v>
      </c>
      <c r="B749" t="s">
        <v>18</v>
      </c>
      <c r="C749">
        <v>37796.75</v>
      </c>
      <c r="D749" t="s">
        <v>1505</v>
      </c>
      <c r="E749">
        <v>37796.75</v>
      </c>
      <c r="F749">
        <v>0</v>
      </c>
      <c r="G749" t="s">
        <v>1506</v>
      </c>
      <c r="H749">
        <v>211905.39</v>
      </c>
      <c r="I749">
        <v>249702.14</v>
      </c>
      <c r="J749">
        <v>1</v>
      </c>
      <c r="K749">
        <v>0</v>
      </c>
      <c r="L749">
        <v>16</v>
      </c>
      <c r="M749">
        <v>0</v>
      </c>
      <c r="N749">
        <v>1</v>
      </c>
      <c r="O749">
        <v>37796.75</v>
      </c>
      <c r="P749">
        <f>IF(C749&gt;=200000,5,IF(C749&gt;=100000,4,IF(C749&gt;=50000,3,IF(C749&gt;=10000,2,1))))</f>
        <v>2</v>
      </c>
      <c r="Q749">
        <f>IF(B749="TRANSFER",5,IF(B749="CASH_OUT",4,IF(B749="DEBIT",2,1)))</f>
        <v>4</v>
      </c>
      <c r="R749">
        <f>(P749*0.5)+(Q749*0.3)+(N749*0.1)+(M749*0.1)</f>
        <v>2.3000000000000003</v>
      </c>
      <c r="S749" t="str">
        <f t="shared" si="11"/>
        <v>MEDIUM</v>
      </c>
    </row>
    <row r="750" spans="1:19" x14ac:dyDescent="0.3">
      <c r="A750">
        <v>64</v>
      </c>
      <c r="B750" t="s">
        <v>15</v>
      </c>
      <c r="C750">
        <v>17051.689999999999</v>
      </c>
      <c r="D750" t="s">
        <v>1507</v>
      </c>
      <c r="E750">
        <v>17051.689999999999</v>
      </c>
      <c r="F750">
        <v>0</v>
      </c>
      <c r="G750" t="s">
        <v>1508</v>
      </c>
      <c r="H750">
        <v>0</v>
      </c>
      <c r="I750">
        <v>0</v>
      </c>
      <c r="J750">
        <v>1</v>
      </c>
      <c r="K750">
        <v>0</v>
      </c>
      <c r="L750">
        <v>16</v>
      </c>
      <c r="M750">
        <v>0</v>
      </c>
      <c r="N750">
        <v>1</v>
      </c>
      <c r="O750">
        <v>17051.689999999999</v>
      </c>
      <c r="P750">
        <f>IF(C750&gt;=200000,5,IF(C750&gt;=100000,4,IF(C750&gt;=50000,3,IF(C750&gt;=10000,2,1))))</f>
        <v>2</v>
      </c>
      <c r="Q750">
        <f>IF(B750="TRANSFER",5,IF(B750="CASH_OUT",4,IF(B750="DEBIT",2,1)))</f>
        <v>5</v>
      </c>
      <c r="R750">
        <f>(P750*0.5)+(Q750*0.3)+(N750*0.1)+(M750*0.1)</f>
        <v>2.6</v>
      </c>
      <c r="S750" t="str">
        <f t="shared" si="11"/>
        <v>MEDIUM</v>
      </c>
    </row>
    <row r="751" spans="1:19" x14ac:dyDescent="0.3">
      <c r="A751">
        <v>64</v>
      </c>
      <c r="B751" t="s">
        <v>18</v>
      </c>
      <c r="C751">
        <v>17051.689999999999</v>
      </c>
      <c r="D751" t="s">
        <v>1509</v>
      </c>
      <c r="E751">
        <v>17051.689999999999</v>
      </c>
      <c r="F751">
        <v>0</v>
      </c>
      <c r="G751" t="s">
        <v>1510</v>
      </c>
      <c r="H751">
        <v>289129.2</v>
      </c>
      <c r="I751">
        <v>306180.89</v>
      </c>
      <c r="J751">
        <v>1</v>
      </c>
      <c r="K751">
        <v>0</v>
      </c>
      <c r="L751">
        <v>16</v>
      </c>
      <c r="M751">
        <v>0</v>
      </c>
      <c r="N751">
        <v>1</v>
      </c>
      <c r="O751">
        <v>17051.689999999999</v>
      </c>
      <c r="P751">
        <f>IF(C751&gt;=200000,5,IF(C751&gt;=100000,4,IF(C751&gt;=50000,3,IF(C751&gt;=10000,2,1))))</f>
        <v>2</v>
      </c>
      <c r="Q751">
        <f>IF(B751="TRANSFER",5,IF(B751="CASH_OUT",4,IF(B751="DEBIT",2,1)))</f>
        <v>4</v>
      </c>
      <c r="R751">
        <f>(P751*0.5)+(Q751*0.3)+(N751*0.1)+(M751*0.1)</f>
        <v>2.3000000000000003</v>
      </c>
      <c r="S751" t="str">
        <f t="shared" si="11"/>
        <v>MEDIUM</v>
      </c>
    </row>
    <row r="752" spans="1:19" x14ac:dyDescent="0.3">
      <c r="A752">
        <v>64</v>
      </c>
      <c r="B752" t="s">
        <v>15</v>
      </c>
      <c r="C752">
        <v>960306.85</v>
      </c>
      <c r="D752" t="s">
        <v>1511</v>
      </c>
      <c r="E752">
        <v>960306.85</v>
      </c>
      <c r="F752">
        <v>0</v>
      </c>
      <c r="G752" t="s">
        <v>1512</v>
      </c>
      <c r="H752">
        <v>0</v>
      </c>
      <c r="I752">
        <v>0</v>
      </c>
      <c r="J752">
        <v>1</v>
      </c>
      <c r="K752">
        <v>0</v>
      </c>
      <c r="L752">
        <v>16</v>
      </c>
      <c r="M752">
        <v>0</v>
      </c>
      <c r="N752">
        <v>1</v>
      </c>
      <c r="O752">
        <v>960306.85</v>
      </c>
      <c r="P752">
        <f>IF(C752&gt;=200000,5,IF(C752&gt;=100000,4,IF(C752&gt;=50000,3,IF(C752&gt;=10000,2,1))))</f>
        <v>5</v>
      </c>
      <c r="Q752">
        <f>IF(B752="TRANSFER",5,IF(B752="CASH_OUT",4,IF(B752="DEBIT",2,1)))</f>
        <v>5</v>
      </c>
      <c r="R752">
        <f>(P752*0.5)+(Q752*0.3)+(N752*0.1)+(M752*0.1)</f>
        <v>4.0999999999999996</v>
      </c>
      <c r="S752" t="str">
        <f t="shared" si="11"/>
        <v>HIGH</v>
      </c>
    </row>
    <row r="753" spans="1:19" x14ac:dyDescent="0.3">
      <c r="A753">
        <v>64</v>
      </c>
      <c r="B753" t="s">
        <v>18</v>
      </c>
      <c r="C753">
        <v>960306.85</v>
      </c>
      <c r="D753" t="s">
        <v>1513</v>
      </c>
      <c r="E753">
        <v>960306.85</v>
      </c>
      <c r="F753">
        <v>0</v>
      </c>
      <c r="G753" t="s">
        <v>1514</v>
      </c>
      <c r="H753">
        <v>0</v>
      </c>
      <c r="I753">
        <v>960306.85</v>
      </c>
      <c r="J753">
        <v>1</v>
      </c>
      <c r="K753">
        <v>0</v>
      </c>
      <c r="L753">
        <v>16</v>
      </c>
      <c r="M753">
        <v>0</v>
      </c>
      <c r="N753">
        <v>1</v>
      </c>
      <c r="O753">
        <v>960306.85</v>
      </c>
      <c r="P753">
        <f>IF(C753&gt;=200000,5,IF(C753&gt;=100000,4,IF(C753&gt;=50000,3,IF(C753&gt;=10000,2,1))))</f>
        <v>5</v>
      </c>
      <c r="Q753">
        <f>IF(B753="TRANSFER",5,IF(B753="CASH_OUT",4,IF(B753="DEBIT",2,1)))</f>
        <v>4</v>
      </c>
      <c r="R753">
        <f>(P753*0.5)+(Q753*0.3)+(N753*0.1)+(M753*0.1)</f>
        <v>3.8000000000000003</v>
      </c>
      <c r="S753" t="str">
        <f t="shared" si="11"/>
        <v>HIGH</v>
      </c>
    </row>
    <row r="754" spans="1:19" x14ac:dyDescent="0.3">
      <c r="A754">
        <v>64</v>
      </c>
      <c r="B754" t="s">
        <v>15</v>
      </c>
      <c r="C754">
        <v>3097121.75</v>
      </c>
      <c r="D754" t="s">
        <v>1515</v>
      </c>
      <c r="E754">
        <v>3097121.75</v>
      </c>
      <c r="F754">
        <v>0</v>
      </c>
      <c r="G754" t="s">
        <v>1516</v>
      </c>
      <c r="H754">
        <v>0</v>
      </c>
      <c r="I754">
        <v>0</v>
      </c>
      <c r="J754">
        <v>1</v>
      </c>
      <c r="K754">
        <v>0</v>
      </c>
      <c r="L754">
        <v>16</v>
      </c>
      <c r="M754">
        <v>0</v>
      </c>
      <c r="N754">
        <v>1</v>
      </c>
      <c r="O754">
        <v>3097121.75</v>
      </c>
      <c r="P754">
        <f>IF(C754&gt;=200000,5,IF(C754&gt;=100000,4,IF(C754&gt;=50000,3,IF(C754&gt;=10000,2,1))))</f>
        <v>5</v>
      </c>
      <c r="Q754">
        <f>IF(B754="TRANSFER",5,IF(B754="CASH_OUT",4,IF(B754="DEBIT",2,1)))</f>
        <v>5</v>
      </c>
      <c r="R754">
        <f>(P754*0.5)+(Q754*0.3)+(N754*0.1)+(M754*0.1)</f>
        <v>4.0999999999999996</v>
      </c>
      <c r="S754" t="str">
        <f t="shared" si="11"/>
        <v>HIGH</v>
      </c>
    </row>
    <row r="755" spans="1:19" x14ac:dyDescent="0.3">
      <c r="A755">
        <v>64</v>
      </c>
      <c r="B755" t="s">
        <v>18</v>
      </c>
      <c r="C755">
        <v>3097121.75</v>
      </c>
      <c r="D755" t="s">
        <v>1517</v>
      </c>
      <c r="E755">
        <v>3097121.75</v>
      </c>
      <c r="F755">
        <v>0</v>
      </c>
      <c r="G755" t="s">
        <v>1518</v>
      </c>
      <c r="H755">
        <v>0</v>
      </c>
      <c r="I755">
        <v>3097121.75</v>
      </c>
      <c r="J755">
        <v>1</v>
      </c>
      <c r="K755">
        <v>0</v>
      </c>
      <c r="L755">
        <v>16</v>
      </c>
      <c r="M755">
        <v>0</v>
      </c>
      <c r="N755">
        <v>1</v>
      </c>
      <c r="O755">
        <v>3097121.75</v>
      </c>
      <c r="P755">
        <f>IF(C755&gt;=200000,5,IF(C755&gt;=100000,4,IF(C755&gt;=50000,3,IF(C755&gt;=10000,2,1))))</f>
        <v>5</v>
      </c>
      <c r="Q755">
        <f>IF(B755="TRANSFER",5,IF(B755="CASH_OUT",4,IF(B755="DEBIT",2,1)))</f>
        <v>4</v>
      </c>
      <c r="R755">
        <f>(P755*0.5)+(Q755*0.3)+(N755*0.1)+(M755*0.1)</f>
        <v>3.8000000000000003</v>
      </c>
      <c r="S755" t="str">
        <f t="shared" si="11"/>
        <v>HIGH</v>
      </c>
    </row>
    <row r="756" spans="1:19" x14ac:dyDescent="0.3">
      <c r="A756">
        <v>64</v>
      </c>
      <c r="B756" t="s">
        <v>15</v>
      </c>
      <c r="C756">
        <v>436317.49</v>
      </c>
      <c r="D756" t="s">
        <v>1519</v>
      </c>
      <c r="E756">
        <v>436317.49</v>
      </c>
      <c r="F756">
        <v>0</v>
      </c>
      <c r="G756" t="s">
        <v>1520</v>
      </c>
      <c r="H756">
        <v>0</v>
      </c>
      <c r="I756">
        <v>0</v>
      </c>
      <c r="J756">
        <v>1</v>
      </c>
      <c r="K756">
        <v>0</v>
      </c>
      <c r="L756">
        <v>16</v>
      </c>
      <c r="M756">
        <v>0</v>
      </c>
      <c r="N756">
        <v>1</v>
      </c>
      <c r="O756">
        <v>436317.49</v>
      </c>
      <c r="P756">
        <f>IF(C756&gt;=200000,5,IF(C756&gt;=100000,4,IF(C756&gt;=50000,3,IF(C756&gt;=10000,2,1))))</f>
        <v>5</v>
      </c>
      <c r="Q756">
        <f>IF(B756="TRANSFER",5,IF(B756="CASH_OUT",4,IF(B756="DEBIT",2,1)))</f>
        <v>5</v>
      </c>
      <c r="R756">
        <f>(P756*0.5)+(Q756*0.3)+(N756*0.1)+(M756*0.1)</f>
        <v>4.0999999999999996</v>
      </c>
      <c r="S756" t="str">
        <f t="shared" si="11"/>
        <v>HIGH</v>
      </c>
    </row>
    <row r="757" spans="1:19" x14ac:dyDescent="0.3">
      <c r="A757">
        <v>64</v>
      </c>
      <c r="B757" t="s">
        <v>18</v>
      </c>
      <c r="C757">
        <v>436317.49</v>
      </c>
      <c r="D757" t="s">
        <v>1521</v>
      </c>
      <c r="E757">
        <v>436317.49</v>
      </c>
      <c r="F757">
        <v>0</v>
      </c>
      <c r="G757" t="s">
        <v>1522</v>
      </c>
      <c r="H757">
        <v>195948.3</v>
      </c>
      <c r="I757">
        <v>632265.79</v>
      </c>
      <c r="J757">
        <v>1</v>
      </c>
      <c r="K757">
        <v>0</v>
      </c>
      <c r="L757">
        <v>16</v>
      </c>
      <c r="M757">
        <v>0</v>
      </c>
      <c r="N757">
        <v>1</v>
      </c>
      <c r="O757">
        <v>436317.49</v>
      </c>
      <c r="P757">
        <f>IF(C757&gt;=200000,5,IF(C757&gt;=100000,4,IF(C757&gt;=50000,3,IF(C757&gt;=10000,2,1))))</f>
        <v>5</v>
      </c>
      <c r="Q757">
        <f>IF(B757="TRANSFER",5,IF(B757="CASH_OUT",4,IF(B757="DEBIT",2,1)))</f>
        <v>4</v>
      </c>
      <c r="R757">
        <f>(P757*0.5)+(Q757*0.3)+(N757*0.1)+(M757*0.1)</f>
        <v>3.8000000000000003</v>
      </c>
      <c r="S757" t="str">
        <f t="shared" si="11"/>
        <v>HIGH</v>
      </c>
    </row>
    <row r="758" spans="1:19" x14ac:dyDescent="0.3">
      <c r="A758">
        <v>64</v>
      </c>
      <c r="B758" t="s">
        <v>15</v>
      </c>
      <c r="C758">
        <v>104957.85</v>
      </c>
      <c r="D758" t="s">
        <v>1523</v>
      </c>
      <c r="E758">
        <v>104957.85</v>
      </c>
      <c r="F758">
        <v>0</v>
      </c>
      <c r="G758" t="s">
        <v>1524</v>
      </c>
      <c r="H758">
        <v>0</v>
      </c>
      <c r="I758">
        <v>0</v>
      </c>
      <c r="J758">
        <v>1</v>
      </c>
      <c r="K758">
        <v>0</v>
      </c>
      <c r="L758">
        <v>16</v>
      </c>
      <c r="M758">
        <v>0</v>
      </c>
      <c r="N758">
        <v>1</v>
      </c>
      <c r="O758">
        <v>104957.85</v>
      </c>
      <c r="P758">
        <f>IF(C758&gt;=200000,5,IF(C758&gt;=100000,4,IF(C758&gt;=50000,3,IF(C758&gt;=10000,2,1))))</f>
        <v>4</v>
      </c>
      <c r="Q758">
        <f>IF(B758="TRANSFER",5,IF(B758="CASH_OUT",4,IF(B758="DEBIT",2,1)))</f>
        <v>5</v>
      </c>
      <c r="R758">
        <f>(P758*0.5)+(Q758*0.3)+(N758*0.1)+(M758*0.1)</f>
        <v>3.6</v>
      </c>
      <c r="S758" t="str">
        <f t="shared" si="11"/>
        <v>HIGH</v>
      </c>
    </row>
    <row r="759" spans="1:19" x14ac:dyDescent="0.3">
      <c r="A759">
        <v>64</v>
      </c>
      <c r="B759" t="s">
        <v>18</v>
      </c>
      <c r="C759">
        <v>104957.85</v>
      </c>
      <c r="D759" t="s">
        <v>1525</v>
      </c>
      <c r="E759">
        <v>104957.85</v>
      </c>
      <c r="F759">
        <v>0</v>
      </c>
      <c r="G759" t="s">
        <v>1526</v>
      </c>
      <c r="H759">
        <v>29237.79</v>
      </c>
      <c r="I759">
        <v>134195.64000000001</v>
      </c>
      <c r="J759">
        <v>1</v>
      </c>
      <c r="K759">
        <v>0</v>
      </c>
      <c r="L759">
        <v>16</v>
      </c>
      <c r="M759">
        <v>0</v>
      </c>
      <c r="N759">
        <v>1</v>
      </c>
      <c r="O759">
        <v>104957.85</v>
      </c>
      <c r="P759">
        <f>IF(C759&gt;=200000,5,IF(C759&gt;=100000,4,IF(C759&gt;=50000,3,IF(C759&gt;=10000,2,1))))</f>
        <v>4</v>
      </c>
      <c r="Q759">
        <f>IF(B759="TRANSFER",5,IF(B759="CASH_OUT",4,IF(B759="DEBIT",2,1)))</f>
        <v>4</v>
      </c>
      <c r="R759">
        <f>(P759*0.5)+(Q759*0.3)+(N759*0.1)+(M759*0.1)</f>
        <v>3.3000000000000003</v>
      </c>
      <c r="S759" t="str">
        <f t="shared" si="11"/>
        <v>HIGH</v>
      </c>
    </row>
    <row r="760" spans="1:19" x14ac:dyDescent="0.3">
      <c r="A760">
        <v>64</v>
      </c>
      <c r="B760" t="s">
        <v>15</v>
      </c>
      <c r="C760">
        <v>841052.98</v>
      </c>
      <c r="D760" t="s">
        <v>1527</v>
      </c>
      <c r="E760">
        <v>841052.98</v>
      </c>
      <c r="F760">
        <v>0</v>
      </c>
      <c r="G760" t="s">
        <v>1528</v>
      </c>
      <c r="H760">
        <v>0</v>
      </c>
      <c r="I760">
        <v>0</v>
      </c>
      <c r="J760">
        <v>1</v>
      </c>
      <c r="K760">
        <v>0</v>
      </c>
      <c r="L760">
        <v>16</v>
      </c>
      <c r="M760">
        <v>0</v>
      </c>
      <c r="N760">
        <v>1</v>
      </c>
      <c r="O760">
        <v>841052.98</v>
      </c>
      <c r="P760">
        <f>IF(C760&gt;=200000,5,IF(C760&gt;=100000,4,IF(C760&gt;=50000,3,IF(C760&gt;=10000,2,1))))</f>
        <v>5</v>
      </c>
      <c r="Q760">
        <f>IF(B760="TRANSFER",5,IF(B760="CASH_OUT",4,IF(B760="DEBIT",2,1)))</f>
        <v>5</v>
      </c>
      <c r="R760">
        <f>(P760*0.5)+(Q760*0.3)+(N760*0.1)+(M760*0.1)</f>
        <v>4.0999999999999996</v>
      </c>
      <c r="S760" t="str">
        <f t="shared" si="11"/>
        <v>HIGH</v>
      </c>
    </row>
    <row r="761" spans="1:19" x14ac:dyDescent="0.3">
      <c r="A761">
        <v>64</v>
      </c>
      <c r="B761" t="s">
        <v>18</v>
      </c>
      <c r="C761">
        <v>841052.98</v>
      </c>
      <c r="D761" t="s">
        <v>1529</v>
      </c>
      <c r="E761">
        <v>841052.98</v>
      </c>
      <c r="F761">
        <v>0</v>
      </c>
      <c r="G761" t="s">
        <v>1530</v>
      </c>
      <c r="H761">
        <v>0</v>
      </c>
      <c r="I761">
        <v>841052.98</v>
      </c>
      <c r="J761">
        <v>1</v>
      </c>
      <c r="K761">
        <v>0</v>
      </c>
      <c r="L761">
        <v>16</v>
      </c>
      <c r="M761">
        <v>0</v>
      </c>
      <c r="N761">
        <v>1</v>
      </c>
      <c r="O761">
        <v>841052.98</v>
      </c>
      <c r="P761">
        <f>IF(C761&gt;=200000,5,IF(C761&gt;=100000,4,IF(C761&gt;=50000,3,IF(C761&gt;=10000,2,1))))</f>
        <v>5</v>
      </c>
      <c r="Q761">
        <f>IF(B761="TRANSFER",5,IF(B761="CASH_OUT",4,IF(B761="DEBIT",2,1)))</f>
        <v>4</v>
      </c>
      <c r="R761">
        <f>(P761*0.5)+(Q761*0.3)+(N761*0.1)+(M761*0.1)</f>
        <v>3.8000000000000003</v>
      </c>
      <c r="S761" t="str">
        <f t="shared" si="11"/>
        <v>HIGH</v>
      </c>
    </row>
    <row r="762" spans="1:19" x14ac:dyDescent="0.3">
      <c r="A762">
        <v>64</v>
      </c>
      <c r="B762" t="s">
        <v>15</v>
      </c>
      <c r="C762">
        <v>1814483.97</v>
      </c>
      <c r="D762" t="s">
        <v>1531</v>
      </c>
      <c r="E762">
        <v>1814483.97</v>
      </c>
      <c r="F762">
        <v>0</v>
      </c>
      <c r="G762" t="s">
        <v>1532</v>
      </c>
      <c r="H762">
        <v>0</v>
      </c>
      <c r="I762">
        <v>0</v>
      </c>
      <c r="J762">
        <v>1</v>
      </c>
      <c r="K762">
        <v>0</v>
      </c>
      <c r="L762">
        <v>16</v>
      </c>
      <c r="M762">
        <v>0</v>
      </c>
      <c r="N762">
        <v>1</v>
      </c>
      <c r="O762">
        <v>1814483.97</v>
      </c>
      <c r="P762">
        <f>IF(C762&gt;=200000,5,IF(C762&gt;=100000,4,IF(C762&gt;=50000,3,IF(C762&gt;=10000,2,1))))</f>
        <v>5</v>
      </c>
      <c r="Q762">
        <f>IF(B762="TRANSFER",5,IF(B762="CASH_OUT",4,IF(B762="DEBIT",2,1)))</f>
        <v>5</v>
      </c>
      <c r="R762">
        <f>(P762*0.5)+(Q762*0.3)+(N762*0.1)+(M762*0.1)</f>
        <v>4.0999999999999996</v>
      </c>
      <c r="S762" t="str">
        <f t="shared" si="11"/>
        <v>HIGH</v>
      </c>
    </row>
    <row r="763" spans="1:19" x14ac:dyDescent="0.3">
      <c r="A763">
        <v>64</v>
      </c>
      <c r="B763" t="s">
        <v>18</v>
      </c>
      <c r="C763">
        <v>1814483.97</v>
      </c>
      <c r="D763" t="s">
        <v>1533</v>
      </c>
      <c r="E763">
        <v>1814483.97</v>
      </c>
      <c r="F763">
        <v>0</v>
      </c>
      <c r="G763" t="s">
        <v>1534</v>
      </c>
      <c r="H763">
        <v>0</v>
      </c>
      <c r="I763">
        <v>1814483.97</v>
      </c>
      <c r="J763">
        <v>1</v>
      </c>
      <c r="K763">
        <v>0</v>
      </c>
      <c r="L763">
        <v>16</v>
      </c>
      <c r="M763">
        <v>0</v>
      </c>
      <c r="N763">
        <v>1</v>
      </c>
      <c r="O763">
        <v>1814483.97</v>
      </c>
      <c r="P763">
        <f>IF(C763&gt;=200000,5,IF(C763&gt;=100000,4,IF(C763&gt;=50000,3,IF(C763&gt;=10000,2,1))))</f>
        <v>5</v>
      </c>
      <c r="Q763">
        <f>IF(B763="TRANSFER",5,IF(B763="CASH_OUT",4,IF(B763="DEBIT",2,1)))</f>
        <v>4</v>
      </c>
      <c r="R763">
        <f>(P763*0.5)+(Q763*0.3)+(N763*0.1)+(M763*0.1)</f>
        <v>3.8000000000000003</v>
      </c>
      <c r="S763" t="str">
        <f t="shared" si="11"/>
        <v>HIGH</v>
      </c>
    </row>
    <row r="764" spans="1:19" x14ac:dyDescent="0.3">
      <c r="A764">
        <v>65</v>
      </c>
      <c r="B764" t="s">
        <v>15</v>
      </c>
      <c r="C764">
        <v>701168.78</v>
      </c>
      <c r="D764" t="s">
        <v>1535</v>
      </c>
      <c r="E764">
        <v>701168.78</v>
      </c>
      <c r="F764">
        <v>0</v>
      </c>
      <c r="G764" t="s">
        <v>1536</v>
      </c>
      <c r="H764">
        <v>0</v>
      </c>
      <c r="I764">
        <v>0</v>
      </c>
      <c r="J764">
        <v>1</v>
      </c>
      <c r="K764">
        <v>0</v>
      </c>
      <c r="L764">
        <v>17</v>
      </c>
      <c r="M764">
        <v>0</v>
      </c>
      <c r="N764">
        <v>1</v>
      </c>
      <c r="O764">
        <v>701168.78</v>
      </c>
      <c r="P764">
        <f>IF(C764&gt;=200000,5,IF(C764&gt;=100000,4,IF(C764&gt;=50000,3,IF(C764&gt;=10000,2,1))))</f>
        <v>5</v>
      </c>
      <c r="Q764">
        <f>IF(B764="TRANSFER",5,IF(B764="CASH_OUT",4,IF(B764="DEBIT",2,1)))</f>
        <v>5</v>
      </c>
      <c r="R764">
        <f>(P764*0.5)+(Q764*0.3)+(N764*0.1)+(M764*0.1)</f>
        <v>4.0999999999999996</v>
      </c>
      <c r="S764" t="str">
        <f t="shared" si="11"/>
        <v>HIGH</v>
      </c>
    </row>
    <row r="765" spans="1:19" x14ac:dyDescent="0.3">
      <c r="A765">
        <v>65</v>
      </c>
      <c r="B765" t="s">
        <v>18</v>
      </c>
      <c r="C765">
        <v>701168.78</v>
      </c>
      <c r="D765" t="s">
        <v>1537</v>
      </c>
      <c r="E765">
        <v>701168.78</v>
      </c>
      <c r="F765">
        <v>0</v>
      </c>
      <c r="G765" t="s">
        <v>1538</v>
      </c>
      <c r="H765">
        <v>841462.58</v>
      </c>
      <c r="I765">
        <v>1542631.35</v>
      </c>
      <c r="J765">
        <v>1</v>
      </c>
      <c r="K765">
        <v>0</v>
      </c>
      <c r="L765">
        <v>17</v>
      </c>
      <c r="M765">
        <v>0</v>
      </c>
      <c r="N765">
        <v>1</v>
      </c>
      <c r="O765">
        <v>701168.78</v>
      </c>
      <c r="P765">
        <f>IF(C765&gt;=200000,5,IF(C765&gt;=100000,4,IF(C765&gt;=50000,3,IF(C765&gt;=10000,2,1))))</f>
        <v>5</v>
      </c>
      <c r="Q765">
        <f>IF(B765="TRANSFER",5,IF(B765="CASH_OUT",4,IF(B765="DEBIT",2,1)))</f>
        <v>4</v>
      </c>
      <c r="R765">
        <f>(P765*0.5)+(Q765*0.3)+(N765*0.1)+(M765*0.1)</f>
        <v>3.8000000000000003</v>
      </c>
      <c r="S765" t="str">
        <f t="shared" si="11"/>
        <v>HIGH</v>
      </c>
    </row>
    <row r="766" spans="1:19" x14ac:dyDescent="0.3">
      <c r="A766">
        <v>65</v>
      </c>
      <c r="B766" t="s">
        <v>15</v>
      </c>
      <c r="C766">
        <v>446032.95</v>
      </c>
      <c r="D766" t="s">
        <v>1539</v>
      </c>
      <c r="E766">
        <v>446032.95</v>
      </c>
      <c r="F766">
        <v>0</v>
      </c>
      <c r="G766" t="s">
        <v>1540</v>
      </c>
      <c r="H766">
        <v>0</v>
      </c>
      <c r="I766">
        <v>0</v>
      </c>
      <c r="J766">
        <v>1</v>
      </c>
      <c r="K766">
        <v>0</v>
      </c>
      <c r="L766">
        <v>17</v>
      </c>
      <c r="M766">
        <v>0</v>
      </c>
      <c r="N766">
        <v>1</v>
      </c>
      <c r="O766">
        <v>446032.95</v>
      </c>
      <c r="P766">
        <f>IF(C766&gt;=200000,5,IF(C766&gt;=100000,4,IF(C766&gt;=50000,3,IF(C766&gt;=10000,2,1))))</f>
        <v>5</v>
      </c>
      <c r="Q766">
        <f>IF(B766="TRANSFER",5,IF(B766="CASH_OUT",4,IF(B766="DEBIT",2,1)))</f>
        <v>5</v>
      </c>
      <c r="R766">
        <f>(P766*0.5)+(Q766*0.3)+(N766*0.1)+(M766*0.1)</f>
        <v>4.0999999999999996</v>
      </c>
      <c r="S766" t="str">
        <f t="shared" si="11"/>
        <v>HIGH</v>
      </c>
    </row>
    <row r="767" spans="1:19" x14ac:dyDescent="0.3">
      <c r="A767">
        <v>65</v>
      </c>
      <c r="B767" t="s">
        <v>18</v>
      </c>
      <c r="C767">
        <v>446032.95</v>
      </c>
      <c r="D767" t="s">
        <v>1541</v>
      </c>
      <c r="E767">
        <v>446032.95</v>
      </c>
      <c r="F767">
        <v>0</v>
      </c>
      <c r="G767" t="s">
        <v>1542</v>
      </c>
      <c r="H767">
        <v>205977.41</v>
      </c>
      <c r="I767">
        <v>652010.36</v>
      </c>
      <c r="J767">
        <v>1</v>
      </c>
      <c r="K767">
        <v>0</v>
      </c>
      <c r="L767">
        <v>17</v>
      </c>
      <c r="M767">
        <v>0</v>
      </c>
      <c r="N767">
        <v>1</v>
      </c>
      <c r="O767">
        <v>446032.95</v>
      </c>
      <c r="P767">
        <f>IF(C767&gt;=200000,5,IF(C767&gt;=100000,4,IF(C767&gt;=50000,3,IF(C767&gt;=10000,2,1))))</f>
        <v>5</v>
      </c>
      <c r="Q767">
        <f>IF(B767="TRANSFER",5,IF(B767="CASH_OUT",4,IF(B767="DEBIT",2,1)))</f>
        <v>4</v>
      </c>
      <c r="R767">
        <f>(P767*0.5)+(Q767*0.3)+(N767*0.1)+(M767*0.1)</f>
        <v>3.8000000000000003</v>
      </c>
      <c r="S767" t="str">
        <f t="shared" si="11"/>
        <v>HIGH</v>
      </c>
    </row>
    <row r="768" spans="1:19" x14ac:dyDescent="0.3">
      <c r="A768">
        <v>65</v>
      </c>
      <c r="B768" t="s">
        <v>15</v>
      </c>
      <c r="C768">
        <v>385556.82</v>
      </c>
      <c r="D768" t="s">
        <v>1543</v>
      </c>
      <c r="E768">
        <v>385556.82</v>
      </c>
      <c r="F768">
        <v>0</v>
      </c>
      <c r="G768" t="s">
        <v>1544</v>
      </c>
      <c r="H768">
        <v>0</v>
      </c>
      <c r="I768">
        <v>0</v>
      </c>
      <c r="J768">
        <v>1</v>
      </c>
      <c r="K768">
        <v>0</v>
      </c>
      <c r="L768">
        <v>17</v>
      </c>
      <c r="M768">
        <v>0</v>
      </c>
      <c r="N768">
        <v>1</v>
      </c>
      <c r="O768">
        <v>385556.82</v>
      </c>
      <c r="P768">
        <f>IF(C768&gt;=200000,5,IF(C768&gt;=100000,4,IF(C768&gt;=50000,3,IF(C768&gt;=10000,2,1))))</f>
        <v>5</v>
      </c>
      <c r="Q768">
        <f>IF(B768="TRANSFER",5,IF(B768="CASH_OUT",4,IF(B768="DEBIT",2,1)))</f>
        <v>5</v>
      </c>
      <c r="R768">
        <f>(P768*0.5)+(Q768*0.3)+(N768*0.1)+(M768*0.1)</f>
        <v>4.0999999999999996</v>
      </c>
      <c r="S768" t="str">
        <f t="shared" si="11"/>
        <v>HIGH</v>
      </c>
    </row>
    <row r="769" spans="1:19" x14ac:dyDescent="0.3">
      <c r="A769">
        <v>65</v>
      </c>
      <c r="B769" t="s">
        <v>18</v>
      </c>
      <c r="C769">
        <v>385556.82</v>
      </c>
      <c r="D769" t="s">
        <v>1545</v>
      </c>
      <c r="E769">
        <v>385556.82</v>
      </c>
      <c r="F769">
        <v>0</v>
      </c>
      <c r="G769" t="s">
        <v>1546</v>
      </c>
      <c r="H769">
        <v>60032.11</v>
      </c>
      <c r="I769">
        <v>445588.93</v>
      </c>
      <c r="J769">
        <v>1</v>
      </c>
      <c r="K769">
        <v>0</v>
      </c>
      <c r="L769">
        <v>17</v>
      </c>
      <c r="M769">
        <v>0</v>
      </c>
      <c r="N769">
        <v>1</v>
      </c>
      <c r="O769">
        <v>385556.82</v>
      </c>
      <c r="P769">
        <f>IF(C769&gt;=200000,5,IF(C769&gt;=100000,4,IF(C769&gt;=50000,3,IF(C769&gt;=10000,2,1))))</f>
        <v>5</v>
      </c>
      <c r="Q769">
        <f>IF(B769="TRANSFER",5,IF(B769="CASH_OUT",4,IF(B769="DEBIT",2,1)))</f>
        <v>4</v>
      </c>
      <c r="R769">
        <f>(P769*0.5)+(Q769*0.3)+(N769*0.1)+(M769*0.1)</f>
        <v>3.8000000000000003</v>
      </c>
      <c r="S769" t="str">
        <f t="shared" si="11"/>
        <v>HIGH</v>
      </c>
    </row>
    <row r="770" spans="1:19" x14ac:dyDescent="0.3">
      <c r="A770">
        <v>65</v>
      </c>
      <c r="B770" t="s">
        <v>15</v>
      </c>
      <c r="C770">
        <v>3760068.04</v>
      </c>
      <c r="D770" t="s">
        <v>1547</v>
      </c>
      <c r="E770">
        <v>3760068.04</v>
      </c>
      <c r="F770">
        <v>0</v>
      </c>
      <c r="G770" t="s">
        <v>1548</v>
      </c>
      <c r="H770">
        <v>0</v>
      </c>
      <c r="I770">
        <v>0</v>
      </c>
      <c r="J770">
        <v>1</v>
      </c>
      <c r="K770">
        <v>0</v>
      </c>
      <c r="L770">
        <v>17</v>
      </c>
      <c r="M770">
        <v>0</v>
      </c>
      <c r="N770">
        <v>1</v>
      </c>
      <c r="O770">
        <v>3760068.04</v>
      </c>
      <c r="P770">
        <f>IF(C770&gt;=200000,5,IF(C770&gt;=100000,4,IF(C770&gt;=50000,3,IF(C770&gt;=10000,2,1))))</f>
        <v>5</v>
      </c>
      <c r="Q770">
        <f>IF(B770="TRANSFER",5,IF(B770="CASH_OUT",4,IF(B770="DEBIT",2,1)))</f>
        <v>5</v>
      </c>
      <c r="R770">
        <f>(P770*0.5)+(Q770*0.3)+(N770*0.1)+(M770*0.1)</f>
        <v>4.0999999999999996</v>
      </c>
      <c r="S770" t="str">
        <f t="shared" si="11"/>
        <v>HIGH</v>
      </c>
    </row>
    <row r="771" spans="1:19" x14ac:dyDescent="0.3">
      <c r="A771">
        <v>65</v>
      </c>
      <c r="B771" t="s">
        <v>18</v>
      </c>
      <c r="C771">
        <v>3760068.04</v>
      </c>
      <c r="D771" t="s">
        <v>1549</v>
      </c>
      <c r="E771">
        <v>3760068.04</v>
      </c>
      <c r="F771">
        <v>0</v>
      </c>
      <c r="G771" t="s">
        <v>1550</v>
      </c>
      <c r="H771">
        <v>622555.65</v>
      </c>
      <c r="I771">
        <v>4382623.6900000004</v>
      </c>
      <c r="J771">
        <v>1</v>
      </c>
      <c r="K771">
        <v>0</v>
      </c>
      <c r="L771">
        <v>17</v>
      </c>
      <c r="M771">
        <v>0</v>
      </c>
      <c r="N771">
        <v>1</v>
      </c>
      <c r="O771">
        <v>3760068.04</v>
      </c>
      <c r="P771">
        <f>IF(C771&gt;=200000,5,IF(C771&gt;=100000,4,IF(C771&gt;=50000,3,IF(C771&gt;=10000,2,1))))</f>
        <v>5</v>
      </c>
      <c r="Q771">
        <f>IF(B771="TRANSFER",5,IF(B771="CASH_OUT",4,IF(B771="DEBIT",2,1)))</f>
        <v>4</v>
      </c>
      <c r="R771">
        <f>(P771*0.5)+(Q771*0.3)+(N771*0.1)+(M771*0.1)</f>
        <v>3.8000000000000003</v>
      </c>
      <c r="S771" t="str">
        <f t="shared" ref="S771:S834" si="12">IF(R771&gt;=3,"HIGH",IF(R771&gt;=2,"MEDIUM","LOW"))</f>
        <v>HIGH</v>
      </c>
    </row>
    <row r="772" spans="1:19" x14ac:dyDescent="0.3">
      <c r="A772">
        <v>65</v>
      </c>
      <c r="B772" t="s">
        <v>15</v>
      </c>
      <c r="C772">
        <v>1282971.57</v>
      </c>
      <c r="D772" t="s">
        <v>1551</v>
      </c>
      <c r="E772">
        <v>1282971.57</v>
      </c>
      <c r="F772">
        <v>0</v>
      </c>
      <c r="G772" t="s">
        <v>1552</v>
      </c>
      <c r="H772">
        <v>0</v>
      </c>
      <c r="I772">
        <v>0</v>
      </c>
      <c r="J772">
        <v>1</v>
      </c>
      <c r="K772">
        <v>0</v>
      </c>
      <c r="L772">
        <v>17</v>
      </c>
      <c r="M772">
        <v>0</v>
      </c>
      <c r="N772">
        <v>1</v>
      </c>
      <c r="O772">
        <v>1282971.57</v>
      </c>
      <c r="P772">
        <f>IF(C772&gt;=200000,5,IF(C772&gt;=100000,4,IF(C772&gt;=50000,3,IF(C772&gt;=10000,2,1))))</f>
        <v>5</v>
      </c>
      <c r="Q772">
        <f>IF(B772="TRANSFER",5,IF(B772="CASH_OUT",4,IF(B772="DEBIT",2,1)))</f>
        <v>5</v>
      </c>
      <c r="R772">
        <f>(P772*0.5)+(Q772*0.3)+(N772*0.1)+(M772*0.1)</f>
        <v>4.0999999999999996</v>
      </c>
      <c r="S772" t="str">
        <f t="shared" si="12"/>
        <v>HIGH</v>
      </c>
    </row>
    <row r="773" spans="1:19" x14ac:dyDescent="0.3">
      <c r="A773">
        <v>65</v>
      </c>
      <c r="B773" t="s">
        <v>18</v>
      </c>
      <c r="C773">
        <v>1282971.57</v>
      </c>
      <c r="D773" t="s">
        <v>1553</v>
      </c>
      <c r="E773">
        <v>1282971.57</v>
      </c>
      <c r="F773">
        <v>0</v>
      </c>
      <c r="G773" t="s">
        <v>1554</v>
      </c>
      <c r="H773">
        <v>392604.6</v>
      </c>
      <c r="I773">
        <v>1675576.17</v>
      </c>
      <c r="J773">
        <v>1</v>
      </c>
      <c r="K773">
        <v>0</v>
      </c>
      <c r="L773">
        <v>17</v>
      </c>
      <c r="M773">
        <v>0</v>
      </c>
      <c r="N773">
        <v>1</v>
      </c>
      <c r="O773">
        <v>1282971.57</v>
      </c>
      <c r="P773">
        <f>IF(C773&gt;=200000,5,IF(C773&gt;=100000,4,IF(C773&gt;=50000,3,IF(C773&gt;=10000,2,1))))</f>
        <v>5</v>
      </c>
      <c r="Q773">
        <f>IF(B773="TRANSFER",5,IF(B773="CASH_OUT",4,IF(B773="DEBIT",2,1)))</f>
        <v>4</v>
      </c>
      <c r="R773">
        <f>(P773*0.5)+(Q773*0.3)+(N773*0.1)+(M773*0.1)</f>
        <v>3.8000000000000003</v>
      </c>
      <c r="S773" t="str">
        <f t="shared" si="12"/>
        <v>HIGH</v>
      </c>
    </row>
    <row r="774" spans="1:19" x14ac:dyDescent="0.3">
      <c r="A774">
        <v>65</v>
      </c>
      <c r="B774" t="s">
        <v>15</v>
      </c>
      <c r="C774">
        <v>881811.11</v>
      </c>
      <c r="D774" t="s">
        <v>1555</v>
      </c>
      <c r="E774">
        <v>881811.11</v>
      </c>
      <c r="F774">
        <v>0</v>
      </c>
      <c r="G774" t="s">
        <v>1556</v>
      </c>
      <c r="H774">
        <v>0</v>
      </c>
      <c r="I774">
        <v>0</v>
      </c>
      <c r="J774">
        <v>1</v>
      </c>
      <c r="K774">
        <v>0</v>
      </c>
      <c r="L774">
        <v>17</v>
      </c>
      <c r="M774">
        <v>0</v>
      </c>
      <c r="N774">
        <v>1</v>
      </c>
      <c r="O774">
        <v>881811.11</v>
      </c>
      <c r="P774">
        <f>IF(C774&gt;=200000,5,IF(C774&gt;=100000,4,IF(C774&gt;=50000,3,IF(C774&gt;=10000,2,1))))</f>
        <v>5</v>
      </c>
      <c r="Q774">
        <f>IF(B774="TRANSFER",5,IF(B774="CASH_OUT",4,IF(B774="DEBIT",2,1)))</f>
        <v>5</v>
      </c>
      <c r="R774">
        <f>(P774*0.5)+(Q774*0.3)+(N774*0.1)+(M774*0.1)</f>
        <v>4.0999999999999996</v>
      </c>
      <c r="S774" t="str">
        <f t="shared" si="12"/>
        <v>HIGH</v>
      </c>
    </row>
    <row r="775" spans="1:19" x14ac:dyDescent="0.3">
      <c r="A775">
        <v>65</v>
      </c>
      <c r="B775" t="s">
        <v>18</v>
      </c>
      <c r="C775">
        <v>881811.11</v>
      </c>
      <c r="D775" t="s">
        <v>1557</v>
      </c>
      <c r="E775">
        <v>881811.11</v>
      </c>
      <c r="F775">
        <v>0</v>
      </c>
      <c r="G775" t="s">
        <v>1558</v>
      </c>
      <c r="H775">
        <v>141736.75</v>
      </c>
      <c r="I775">
        <v>1023547.85</v>
      </c>
      <c r="J775">
        <v>1</v>
      </c>
      <c r="K775">
        <v>0</v>
      </c>
      <c r="L775">
        <v>17</v>
      </c>
      <c r="M775">
        <v>0</v>
      </c>
      <c r="N775">
        <v>1</v>
      </c>
      <c r="O775">
        <v>881811.11</v>
      </c>
      <c r="P775">
        <f>IF(C775&gt;=200000,5,IF(C775&gt;=100000,4,IF(C775&gt;=50000,3,IF(C775&gt;=10000,2,1))))</f>
        <v>5</v>
      </c>
      <c r="Q775">
        <f>IF(B775="TRANSFER",5,IF(B775="CASH_OUT",4,IF(B775="DEBIT",2,1)))</f>
        <v>4</v>
      </c>
      <c r="R775">
        <f>(P775*0.5)+(Q775*0.3)+(N775*0.1)+(M775*0.1)</f>
        <v>3.8000000000000003</v>
      </c>
      <c r="S775" t="str">
        <f t="shared" si="12"/>
        <v>HIGH</v>
      </c>
    </row>
    <row r="776" spans="1:19" x14ac:dyDescent="0.3">
      <c r="A776">
        <v>65</v>
      </c>
      <c r="B776" t="s">
        <v>15</v>
      </c>
      <c r="C776">
        <v>174923.28</v>
      </c>
      <c r="D776" t="s">
        <v>1559</v>
      </c>
      <c r="E776">
        <v>174923.28</v>
      </c>
      <c r="F776">
        <v>0</v>
      </c>
      <c r="G776" t="s">
        <v>1560</v>
      </c>
      <c r="H776">
        <v>0</v>
      </c>
      <c r="I776">
        <v>0</v>
      </c>
      <c r="J776">
        <v>1</v>
      </c>
      <c r="K776">
        <v>0</v>
      </c>
      <c r="L776">
        <v>17</v>
      </c>
      <c r="M776">
        <v>0</v>
      </c>
      <c r="N776">
        <v>1</v>
      </c>
      <c r="O776">
        <v>174923.28</v>
      </c>
      <c r="P776">
        <f>IF(C776&gt;=200000,5,IF(C776&gt;=100000,4,IF(C776&gt;=50000,3,IF(C776&gt;=10000,2,1))))</f>
        <v>4</v>
      </c>
      <c r="Q776">
        <f>IF(B776="TRANSFER",5,IF(B776="CASH_OUT",4,IF(B776="DEBIT",2,1)))</f>
        <v>5</v>
      </c>
      <c r="R776">
        <f>(P776*0.5)+(Q776*0.3)+(N776*0.1)+(M776*0.1)</f>
        <v>3.6</v>
      </c>
      <c r="S776" t="str">
        <f t="shared" si="12"/>
        <v>HIGH</v>
      </c>
    </row>
    <row r="777" spans="1:19" x14ac:dyDescent="0.3">
      <c r="A777">
        <v>65</v>
      </c>
      <c r="B777" t="s">
        <v>18</v>
      </c>
      <c r="C777">
        <v>174923.28</v>
      </c>
      <c r="D777" t="s">
        <v>1561</v>
      </c>
      <c r="E777">
        <v>174923.28</v>
      </c>
      <c r="F777">
        <v>0</v>
      </c>
      <c r="G777" t="s">
        <v>1562</v>
      </c>
      <c r="H777">
        <v>0</v>
      </c>
      <c r="I777">
        <v>174923.28</v>
      </c>
      <c r="J777">
        <v>1</v>
      </c>
      <c r="K777">
        <v>0</v>
      </c>
      <c r="L777">
        <v>17</v>
      </c>
      <c r="M777">
        <v>0</v>
      </c>
      <c r="N777">
        <v>1</v>
      </c>
      <c r="O777">
        <v>174923.28</v>
      </c>
      <c r="P777">
        <f>IF(C777&gt;=200000,5,IF(C777&gt;=100000,4,IF(C777&gt;=50000,3,IF(C777&gt;=10000,2,1))))</f>
        <v>4</v>
      </c>
      <c r="Q777">
        <f>IF(B777="TRANSFER",5,IF(B777="CASH_OUT",4,IF(B777="DEBIT",2,1)))</f>
        <v>4</v>
      </c>
      <c r="R777">
        <f>(P777*0.5)+(Q777*0.3)+(N777*0.1)+(M777*0.1)</f>
        <v>3.3000000000000003</v>
      </c>
      <c r="S777" t="str">
        <f t="shared" si="12"/>
        <v>HIGH</v>
      </c>
    </row>
    <row r="778" spans="1:19" x14ac:dyDescent="0.3">
      <c r="A778">
        <v>65</v>
      </c>
      <c r="B778" t="s">
        <v>15</v>
      </c>
      <c r="C778">
        <v>403975.39</v>
      </c>
      <c r="D778" t="s">
        <v>1563</v>
      </c>
      <c r="E778">
        <v>403975.39</v>
      </c>
      <c r="F778">
        <v>0</v>
      </c>
      <c r="G778" t="s">
        <v>1564</v>
      </c>
      <c r="H778">
        <v>0</v>
      </c>
      <c r="I778">
        <v>0</v>
      </c>
      <c r="J778">
        <v>1</v>
      </c>
      <c r="K778">
        <v>0</v>
      </c>
      <c r="L778">
        <v>17</v>
      </c>
      <c r="M778">
        <v>0</v>
      </c>
      <c r="N778">
        <v>1</v>
      </c>
      <c r="O778">
        <v>403975.39</v>
      </c>
      <c r="P778">
        <f>IF(C778&gt;=200000,5,IF(C778&gt;=100000,4,IF(C778&gt;=50000,3,IF(C778&gt;=10000,2,1))))</f>
        <v>5</v>
      </c>
      <c r="Q778">
        <f>IF(B778="TRANSFER",5,IF(B778="CASH_OUT",4,IF(B778="DEBIT",2,1)))</f>
        <v>5</v>
      </c>
      <c r="R778">
        <f>(P778*0.5)+(Q778*0.3)+(N778*0.1)+(M778*0.1)</f>
        <v>4.0999999999999996</v>
      </c>
      <c r="S778" t="str">
        <f t="shared" si="12"/>
        <v>HIGH</v>
      </c>
    </row>
    <row r="779" spans="1:19" x14ac:dyDescent="0.3">
      <c r="A779">
        <v>65</v>
      </c>
      <c r="B779" t="s">
        <v>18</v>
      </c>
      <c r="C779">
        <v>403975.39</v>
      </c>
      <c r="D779" t="s">
        <v>1565</v>
      </c>
      <c r="E779">
        <v>403975.39</v>
      </c>
      <c r="F779">
        <v>0</v>
      </c>
      <c r="G779" t="s">
        <v>1566</v>
      </c>
      <c r="H779">
        <v>0</v>
      </c>
      <c r="I779">
        <v>403975.39</v>
      </c>
      <c r="J779">
        <v>1</v>
      </c>
      <c r="K779">
        <v>0</v>
      </c>
      <c r="L779">
        <v>17</v>
      </c>
      <c r="M779">
        <v>0</v>
      </c>
      <c r="N779">
        <v>1</v>
      </c>
      <c r="O779">
        <v>403975.39</v>
      </c>
      <c r="P779">
        <f>IF(C779&gt;=200000,5,IF(C779&gt;=100000,4,IF(C779&gt;=50000,3,IF(C779&gt;=10000,2,1))))</f>
        <v>5</v>
      </c>
      <c r="Q779">
        <f>IF(B779="TRANSFER",5,IF(B779="CASH_OUT",4,IF(B779="DEBIT",2,1)))</f>
        <v>4</v>
      </c>
      <c r="R779">
        <f>(P779*0.5)+(Q779*0.3)+(N779*0.1)+(M779*0.1)</f>
        <v>3.8000000000000003</v>
      </c>
      <c r="S779" t="str">
        <f t="shared" si="12"/>
        <v>HIGH</v>
      </c>
    </row>
    <row r="780" spans="1:19" x14ac:dyDescent="0.3">
      <c r="A780">
        <v>65</v>
      </c>
      <c r="B780" t="s">
        <v>15</v>
      </c>
      <c r="C780">
        <v>126690.14</v>
      </c>
      <c r="D780" t="s">
        <v>1567</v>
      </c>
      <c r="E780">
        <v>126690.14</v>
      </c>
      <c r="F780">
        <v>0</v>
      </c>
      <c r="G780" t="s">
        <v>1568</v>
      </c>
      <c r="H780">
        <v>0</v>
      </c>
      <c r="I780">
        <v>0</v>
      </c>
      <c r="J780">
        <v>1</v>
      </c>
      <c r="K780">
        <v>0</v>
      </c>
      <c r="L780">
        <v>17</v>
      </c>
      <c r="M780">
        <v>0</v>
      </c>
      <c r="N780">
        <v>1</v>
      </c>
      <c r="O780">
        <v>126690.14</v>
      </c>
      <c r="P780">
        <f>IF(C780&gt;=200000,5,IF(C780&gt;=100000,4,IF(C780&gt;=50000,3,IF(C780&gt;=10000,2,1))))</f>
        <v>4</v>
      </c>
      <c r="Q780">
        <f>IF(B780="TRANSFER",5,IF(B780="CASH_OUT",4,IF(B780="DEBIT",2,1)))</f>
        <v>5</v>
      </c>
      <c r="R780">
        <f>(P780*0.5)+(Q780*0.3)+(N780*0.1)+(M780*0.1)</f>
        <v>3.6</v>
      </c>
      <c r="S780" t="str">
        <f t="shared" si="12"/>
        <v>HIGH</v>
      </c>
    </row>
    <row r="781" spans="1:19" x14ac:dyDescent="0.3">
      <c r="A781">
        <v>65</v>
      </c>
      <c r="B781" t="s">
        <v>18</v>
      </c>
      <c r="C781">
        <v>126690.14</v>
      </c>
      <c r="D781" t="s">
        <v>1569</v>
      </c>
      <c r="E781">
        <v>126690.14</v>
      </c>
      <c r="F781">
        <v>0</v>
      </c>
      <c r="G781" t="s">
        <v>1570</v>
      </c>
      <c r="H781">
        <v>353834.29</v>
      </c>
      <c r="I781">
        <v>480524.43</v>
      </c>
      <c r="J781">
        <v>1</v>
      </c>
      <c r="K781">
        <v>0</v>
      </c>
      <c r="L781">
        <v>17</v>
      </c>
      <c r="M781">
        <v>0</v>
      </c>
      <c r="N781">
        <v>1</v>
      </c>
      <c r="O781">
        <v>126690.14</v>
      </c>
      <c r="P781">
        <f>IF(C781&gt;=200000,5,IF(C781&gt;=100000,4,IF(C781&gt;=50000,3,IF(C781&gt;=10000,2,1))))</f>
        <v>4</v>
      </c>
      <c r="Q781">
        <f>IF(B781="TRANSFER",5,IF(B781="CASH_OUT",4,IF(B781="DEBIT",2,1)))</f>
        <v>4</v>
      </c>
      <c r="R781">
        <f>(P781*0.5)+(Q781*0.3)+(N781*0.1)+(M781*0.1)</f>
        <v>3.3000000000000003</v>
      </c>
      <c r="S781" t="str">
        <f t="shared" si="12"/>
        <v>HIGH</v>
      </c>
    </row>
    <row r="782" spans="1:19" x14ac:dyDescent="0.3">
      <c r="A782">
        <v>65</v>
      </c>
      <c r="B782" t="s">
        <v>15</v>
      </c>
      <c r="C782">
        <v>215.83</v>
      </c>
      <c r="D782" t="s">
        <v>1571</v>
      </c>
      <c r="E782">
        <v>215.83</v>
      </c>
      <c r="F782">
        <v>0</v>
      </c>
      <c r="G782" t="s">
        <v>1572</v>
      </c>
      <c r="H782">
        <v>0</v>
      </c>
      <c r="I782">
        <v>0</v>
      </c>
      <c r="J782">
        <v>1</v>
      </c>
      <c r="K782">
        <v>0</v>
      </c>
      <c r="L782">
        <v>17</v>
      </c>
      <c r="M782">
        <v>0</v>
      </c>
      <c r="N782">
        <v>1</v>
      </c>
      <c r="O782">
        <v>215.83</v>
      </c>
      <c r="P782">
        <f>IF(C782&gt;=200000,5,IF(C782&gt;=100000,4,IF(C782&gt;=50000,3,IF(C782&gt;=10000,2,1))))</f>
        <v>1</v>
      </c>
      <c r="Q782">
        <f>IF(B782="TRANSFER",5,IF(B782="CASH_OUT",4,IF(B782="DEBIT",2,1)))</f>
        <v>5</v>
      </c>
      <c r="R782">
        <f>(P782*0.5)+(Q782*0.3)+(N782*0.1)+(M782*0.1)</f>
        <v>2.1</v>
      </c>
      <c r="S782" t="str">
        <f t="shared" si="12"/>
        <v>MEDIUM</v>
      </c>
    </row>
    <row r="783" spans="1:19" x14ac:dyDescent="0.3">
      <c r="A783">
        <v>65</v>
      </c>
      <c r="B783" t="s">
        <v>18</v>
      </c>
      <c r="C783">
        <v>215.83</v>
      </c>
      <c r="D783" t="s">
        <v>1573</v>
      </c>
      <c r="E783">
        <v>215.83</v>
      </c>
      <c r="F783">
        <v>0</v>
      </c>
      <c r="G783" t="s">
        <v>1574</v>
      </c>
      <c r="H783">
        <v>3563442.24</v>
      </c>
      <c r="I783">
        <v>3563658.07</v>
      </c>
      <c r="J783">
        <v>1</v>
      </c>
      <c r="K783">
        <v>0</v>
      </c>
      <c r="L783">
        <v>17</v>
      </c>
      <c r="M783">
        <v>0</v>
      </c>
      <c r="N783">
        <v>1</v>
      </c>
      <c r="O783">
        <v>215.83</v>
      </c>
      <c r="P783">
        <f>IF(C783&gt;=200000,5,IF(C783&gt;=100000,4,IF(C783&gt;=50000,3,IF(C783&gt;=10000,2,1))))</f>
        <v>1</v>
      </c>
      <c r="Q783">
        <f>IF(B783="TRANSFER",5,IF(B783="CASH_OUT",4,IF(B783="DEBIT",2,1)))</f>
        <v>4</v>
      </c>
      <c r="R783">
        <f>(P783*0.5)+(Q783*0.3)+(N783*0.1)+(M783*0.1)</f>
        <v>1.8</v>
      </c>
      <c r="S783" t="str">
        <f t="shared" si="12"/>
        <v>LOW</v>
      </c>
    </row>
    <row r="784" spans="1:19" x14ac:dyDescent="0.3">
      <c r="A784">
        <v>66</v>
      </c>
      <c r="B784" t="s">
        <v>15</v>
      </c>
      <c r="C784">
        <v>548269.98</v>
      </c>
      <c r="D784" t="s">
        <v>1575</v>
      </c>
      <c r="E784">
        <v>548269.98</v>
      </c>
      <c r="F784">
        <v>0</v>
      </c>
      <c r="G784" t="s">
        <v>1576</v>
      </c>
      <c r="H784">
        <v>0</v>
      </c>
      <c r="I784">
        <v>0</v>
      </c>
      <c r="J784">
        <v>1</v>
      </c>
      <c r="K784">
        <v>0</v>
      </c>
      <c r="L784">
        <v>18</v>
      </c>
      <c r="M784">
        <v>0</v>
      </c>
      <c r="N784">
        <v>1</v>
      </c>
      <c r="O784">
        <v>548269.98</v>
      </c>
      <c r="P784">
        <f>IF(C784&gt;=200000,5,IF(C784&gt;=100000,4,IF(C784&gt;=50000,3,IF(C784&gt;=10000,2,1))))</f>
        <v>5</v>
      </c>
      <c r="Q784">
        <f>IF(B784="TRANSFER",5,IF(B784="CASH_OUT",4,IF(B784="DEBIT",2,1)))</f>
        <v>5</v>
      </c>
      <c r="R784">
        <f>(P784*0.5)+(Q784*0.3)+(N784*0.1)+(M784*0.1)</f>
        <v>4.0999999999999996</v>
      </c>
      <c r="S784" t="str">
        <f t="shared" si="12"/>
        <v>HIGH</v>
      </c>
    </row>
    <row r="785" spans="1:19" x14ac:dyDescent="0.3">
      <c r="A785">
        <v>66</v>
      </c>
      <c r="B785" t="s">
        <v>18</v>
      </c>
      <c r="C785">
        <v>548269.98</v>
      </c>
      <c r="D785" t="s">
        <v>1577</v>
      </c>
      <c r="E785">
        <v>548269.98</v>
      </c>
      <c r="F785">
        <v>0</v>
      </c>
      <c r="G785" t="s">
        <v>1578</v>
      </c>
      <c r="H785">
        <v>0</v>
      </c>
      <c r="I785">
        <v>548269.98</v>
      </c>
      <c r="J785">
        <v>1</v>
      </c>
      <c r="K785">
        <v>0</v>
      </c>
      <c r="L785">
        <v>18</v>
      </c>
      <c r="M785">
        <v>0</v>
      </c>
      <c r="N785">
        <v>1</v>
      </c>
      <c r="O785">
        <v>548269.98</v>
      </c>
      <c r="P785">
        <f>IF(C785&gt;=200000,5,IF(C785&gt;=100000,4,IF(C785&gt;=50000,3,IF(C785&gt;=10000,2,1))))</f>
        <v>5</v>
      </c>
      <c r="Q785">
        <f>IF(B785="TRANSFER",5,IF(B785="CASH_OUT",4,IF(B785="DEBIT",2,1)))</f>
        <v>4</v>
      </c>
      <c r="R785">
        <f>(P785*0.5)+(Q785*0.3)+(N785*0.1)+(M785*0.1)</f>
        <v>3.8000000000000003</v>
      </c>
      <c r="S785" t="str">
        <f t="shared" si="12"/>
        <v>HIGH</v>
      </c>
    </row>
    <row r="786" spans="1:19" x14ac:dyDescent="0.3">
      <c r="A786">
        <v>66</v>
      </c>
      <c r="B786" t="s">
        <v>15</v>
      </c>
      <c r="C786">
        <v>150405.20000000001</v>
      </c>
      <c r="D786" t="s">
        <v>1579</v>
      </c>
      <c r="E786">
        <v>150405.20000000001</v>
      </c>
      <c r="F786">
        <v>0</v>
      </c>
      <c r="G786" t="s">
        <v>1580</v>
      </c>
      <c r="H786">
        <v>0</v>
      </c>
      <c r="I786">
        <v>0</v>
      </c>
      <c r="J786">
        <v>1</v>
      </c>
      <c r="K786">
        <v>0</v>
      </c>
      <c r="L786">
        <v>18</v>
      </c>
      <c r="M786">
        <v>0</v>
      </c>
      <c r="N786">
        <v>1</v>
      </c>
      <c r="O786">
        <v>150405.20000000001</v>
      </c>
      <c r="P786">
        <f>IF(C786&gt;=200000,5,IF(C786&gt;=100000,4,IF(C786&gt;=50000,3,IF(C786&gt;=10000,2,1))))</f>
        <v>4</v>
      </c>
      <c r="Q786">
        <f>IF(B786="TRANSFER",5,IF(B786="CASH_OUT",4,IF(B786="DEBIT",2,1)))</f>
        <v>5</v>
      </c>
      <c r="R786">
        <f>(P786*0.5)+(Q786*0.3)+(N786*0.1)+(M786*0.1)</f>
        <v>3.6</v>
      </c>
      <c r="S786" t="str">
        <f t="shared" si="12"/>
        <v>HIGH</v>
      </c>
    </row>
    <row r="787" spans="1:19" x14ac:dyDescent="0.3">
      <c r="A787">
        <v>66</v>
      </c>
      <c r="B787" t="s">
        <v>18</v>
      </c>
      <c r="C787">
        <v>150405.20000000001</v>
      </c>
      <c r="D787" t="s">
        <v>1581</v>
      </c>
      <c r="E787">
        <v>150405.20000000001</v>
      </c>
      <c r="F787">
        <v>0</v>
      </c>
      <c r="G787" t="s">
        <v>1582</v>
      </c>
      <c r="H787">
        <v>170707.62</v>
      </c>
      <c r="I787">
        <v>321112.82</v>
      </c>
      <c r="J787">
        <v>1</v>
      </c>
      <c r="K787">
        <v>0</v>
      </c>
      <c r="L787">
        <v>18</v>
      </c>
      <c r="M787">
        <v>0</v>
      </c>
      <c r="N787">
        <v>1</v>
      </c>
      <c r="O787">
        <v>150405.20000000001</v>
      </c>
      <c r="P787">
        <f>IF(C787&gt;=200000,5,IF(C787&gt;=100000,4,IF(C787&gt;=50000,3,IF(C787&gt;=10000,2,1))))</f>
        <v>4</v>
      </c>
      <c r="Q787">
        <f>IF(B787="TRANSFER",5,IF(B787="CASH_OUT",4,IF(B787="DEBIT",2,1)))</f>
        <v>4</v>
      </c>
      <c r="R787">
        <f>(P787*0.5)+(Q787*0.3)+(N787*0.1)+(M787*0.1)</f>
        <v>3.3000000000000003</v>
      </c>
      <c r="S787" t="str">
        <f t="shared" si="12"/>
        <v>HIGH</v>
      </c>
    </row>
    <row r="788" spans="1:19" x14ac:dyDescent="0.3">
      <c r="A788">
        <v>66</v>
      </c>
      <c r="B788" t="s">
        <v>15</v>
      </c>
      <c r="C788">
        <v>813133.35</v>
      </c>
      <c r="D788" t="s">
        <v>1583</v>
      </c>
      <c r="E788">
        <v>813133.35</v>
      </c>
      <c r="F788">
        <v>0</v>
      </c>
      <c r="G788" t="s">
        <v>1584</v>
      </c>
      <c r="H788">
        <v>0</v>
      </c>
      <c r="I788">
        <v>0</v>
      </c>
      <c r="J788">
        <v>1</v>
      </c>
      <c r="K788">
        <v>0</v>
      </c>
      <c r="L788">
        <v>18</v>
      </c>
      <c r="M788">
        <v>0</v>
      </c>
      <c r="N788">
        <v>1</v>
      </c>
      <c r="O788">
        <v>813133.35</v>
      </c>
      <c r="P788">
        <f>IF(C788&gt;=200000,5,IF(C788&gt;=100000,4,IF(C788&gt;=50000,3,IF(C788&gt;=10000,2,1))))</f>
        <v>5</v>
      </c>
      <c r="Q788">
        <f>IF(B788="TRANSFER",5,IF(B788="CASH_OUT",4,IF(B788="DEBIT",2,1)))</f>
        <v>5</v>
      </c>
      <c r="R788">
        <f>(P788*0.5)+(Q788*0.3)+(N788*0.1)+(M788*0.1)</f>
        <v>4.0999999999999996</v>
      </c>
      <c r="S788" t="str">
        <f t="shared" si="12"/>
        <v>HIGH</v>
      </c>
    </row>
    <row r="789" spans="1:19" x14ac:dyDescent="0.3">
      <c r="A789">
        <v>66</v>
      </c>
      <c r="B789" t="s">
        <v>18</v>
      </c>
      <c r="C789">
        <v>813133.35</v>
      </c>
      <c r="D789" t="s">
        <v>1585</v>
      </c>
      <c r="E789">
        <v>813133.35</v>
      </c>
      <c r="F789">
        <v>0</v>
      </c>
      <c r="G789" t="s">
        <v>1586</v>
      </c>
      <c r="H789">
        <v>0</v>
      </c>
      <c r="I789">
        <v>813133.35</v>
      </c>
      <c r="J789">
        <v>1</v>
      </c>
      <c r="K789">
        <v>0</v>
      </c>
      <c r="L789">
        <v>18</v>
      </c>
      <c r="M789">
        <v>0</v>
      </c>
      <c r="N789">
        <v>1</v>
      </c>
      <c r="O789">
        <v>813133.35</v>
      </c>
      <c r="P789">
        <f>IF(C789&gt;=200000,5,IF(C789&gt;=100000,4,IF(C789&gt;=50000,3,IF(C789&gt;=10000,2,1))))</f>
        <v>5</v>
      </c>
      <c r="Q789">
        <f>IF(B789="TRANSFER",5,IF(B789="CASH_OUT",4,IF(B789="DEBIT",2,1)))</f>
        <v>4</v>
      </c>
      <c r="R789">
        <f>(P789*0.5)+(Q789*0.3)+(N789*0.1)+(M789*0.1)</f>
        <v>3.8000000000000003</v>
      </c>
      <c r="S789" t="str">
        <f t="shared" si="12"/>
        <v>HIGH</v>
      </c>
    </row>
    <row r="790" spans="1:19" x14ac:dyDescent="0.3">
      <c r="A790">
        <v>66</v>
      </c>
      <c r="B790" t="s">
        <v>15</v>
      </c>
      <c r="C790">
        <v>2096634.43</v>
      </c>
      <c r="D790" t="s">
        <v>1587</v>
      </c>
      <c r="E790">
        <v>2096634.43</v>
      </c>
      <c r="F790">
        <v>0</v>
      </c>
      <c r="G790" t="s">
        <v>1588</v>
      </c>
      <c r="H790">
        <v>0</v>
      </c>
      <c r="I790">
        <v>0</v>
      </c>
      <c r="J790">
        <v>1</v>
      </c>
      <c r="K790">
        <v>0</v>
      </c>
      <c r="L790">
        <v>18</v>
      </c>
      <c r="M790">
        <v>0</v>
      </c>
      <c r="N790">
        <v>1</v>
      </c>
      <c r="O790">
        <v>2096634.43</v>
      </c>
      <c r="P790">
        <f>IF(C790&gt;=200000,5,IF(C790&gt;=100000,4,IF(C790&gt;=50000,3,IF(C790&gt;=10000,2,1))))</f>
        <v>5</v>
      </c>
      <c r="Q790">
        <f>IF(B790="TRANSFER",5,IF(B790="CASH_OUT",4,IF(B790="DEBIT",2,1)))</f>
        <v>5</v>
      </c>
      <c r="R790">
        <f>(P790*0.5)+(Q790*0.3)+(N790*0.1)+(M790*0.1)</f>
        <v>4.0999999999999996</v>
      </c>
      <c r="S790" t="str">
        <f t="shared" si="12"/>
        <v>HIGH</v>
      </c>
    </row>
    <row r="791" spans="1:19" x14ac:dyDescent="0.3">
      <c r="A791">
        <v>66</v>
      </c>
      <c r="B791" t="s">
        <v>18</v>
      </c>
      <c r="C791">
        <v>2096634.43</v>
      </c>
      <c r="D791" t="s">
        <v>1589</v>
      </c>
      <c r="E791">
        <v>2096634.43</v>
      </c>
      <c r="F791">
        <v>0</v>
      </c>
      <c r="G791" t="s">
        <v>1590</v>
      </c>
      <c r="H791">
        <v>183429.98</v>
      </c>
      <c r="I791">
        <v>2280064.41</v>
      </c>
      <c r="J791">
        <v>1</v>
      </c>
      <c r="K791">
        <v>0</v>
      </c>
      <c r="L791">
        <v>18</v>
      </c>
      <c r="M791">
        <v>0</v>
      </c>
      <c r="N791">
        <v>1</v>
      </c>
      <c r="O791">
        <v>2096634.43</v>
      </c>
      <c r="P791">
        <f>IF(C791&gt;=200000,5,IF(C791&gt;=100000,4,IF(C791&gt;=50000,3,IF(C791&gt;=10000,2,1))))</f>
        <v>5</v>
      </c>
      <c r="Q791">
        <f>IF(B791="TRANSFER",5,IF(B791="CASH_OUT",4,IF(B791="DEBIT",2,1)))</f>
        <v>4</v>
      </c>
      <c r="R791">
        <f>(P791*0.5)+(Q791*0.3)+(N791*0.1)+(M791*0.1)</f>
        <v>3.8000000000000003</v>
      </c>
      <c r="S791" t="str">
        <f t="shared" si="12"/>
        <v>HIGH</v>
      </c>
    </row>
    <row r="792" spans="1:19" x14ac:dyDescent="0.3">
      <c r="A792">
        <v>66</v>
      </c>
      <c r="B792" t="s">
        <v>15</v>
      </c>
      <c r="C792">
        <v>272791.44</v>
      </c>
      <c r="D792" t="s">
        <v>1591</v>
      </c>
      <c r="E792">
        <v>272791.44</v>
      </c>
      <c r="F792">
        <v>0</v>
      </c>
      <c r="G792" t="s">
        <v>1592</v>
      </c>
      <c r="H792">
        <v>0</v>
      </c>
      <c r="I792">
        <v>0</v>
      </c>
      <c r="J792">
        <v>1</v>
      </c>
      <c r="K792">
        <v>0</v>
      </c>
      <c r="L792">
        <v>18</v>
      </c>
      <c r="M792">
        <v>0</v>
      </c>
      <c r="N792">
        <v>1</v>
      </c>
      <c r="O792">
        <v>272791.44</v>
      </c>
      <c r="P792">
        <f>IF(C792&gt;=200000,5,IF(C792&gt;=100000,4,IF(C792&gt;=50000,3,IF(C792&gt;=10000,2,1))))</f>
        <v>5</v>
      </c>
      <c r="Q792">
        <f>IF(B792="TRANSFER",5,IF(B792="CASH_OUT",4,IF(B792="DEBIT",2,1)))</f>
        <v>5</v>
      </c>
      <c r="R792">
        <f>(P792*0.5)+(Q792*0.3)+(N792*0.1)+(M792*0.1)</f>
        <v>4.0999999999999996</v>
      </c>
      <c r="S792" t="str">
        <f t="shared" si="12"/>
        <v>HIGH</v>
      </c>
    </row>
    <row r="793" spans="1:19" x14ac:dyDescent="0.3">
      <c r="A793">
        <v>66</v>
      </c>
      <c r="B793" t="s">
        <v>18</v>
      </c>
      <c r="C793">
        <v>272791.44</v>
      </c>
      <c r="D793" t="s">
        <v>1593</v>
      </c>
      <c r="E793">
        <v>272791.44</v>
      </c>
      <c r="F793">
        <v>0</v>
      </c>
      <c r="G793" t="s">
        <v>1594</v>
      </c>
      <c r="H793">
        <v>715267.02</v>
      </c>
      <c r="I793">
        <v>988058.46</v>
      </c>
      <c r="J793">
        <v>1</v>
      </c>
      <c r="K793">
        <v>0</v>
      </c>
      <c r="L793">
        <v>18</v>
      </c>
      <c r="M793">
        <v>0</v>
      </c>
      <c r="N793">
        <v>1</v>
      </c>
      <c r="O793">
        <v>272791.44</v>
      </c>
      <c r="P793">
        <f>IF(C793&gt;=200000,5,IF(C793&gt;=100000,4,IF(C793&gt;=50000,3,IF(C793&gt;=10000,2,1))))</f>
        <v>5</v>
      </c>
      <c r="Q793">
        <f>IF(B793="TRANSFER",5,IF(B793="CASH_OUT",4,IF(B793="DEBIT",2,1)))</f>
        <v>4</v>
      </c>
      <c r="R793">
        <f>(P793*0.5)+(Q793*0.3)+(N793*0.1)+(M793*0.1)</f>
        <v>3.8000000000000003</v>
      </c>
      <c r="S793" t="str">
        <f t="shared" si="12"/>
        <v>HIGH</v>
      </c>
    </row>
    <row r="794" spans="1:19" x14ac:dyDescent="0.3">
      <c r="A794">
        <v>66</v>
      </c>
      <c r="B794" t="s">
        <v>15</v>
      </c>
      <c r="C794">
        <v>7169129.9400000004</v>
      </c>
      <c r="D794" t="s">
        <v>1595</v>
      </c>
      <c r="E794">
        <v>7169129.9400000004</v>
      </c>
      <c r="F794">
        <v>0</v>
      </c>
      <c r="G794" t="s">
        <v>1596</v>
      </c>
      <c r="H794">
        <v>0</v>
      </c>
      <c r="I794">
        <v>0</v>
      </c>
      <c r="J794">
        <v>1</v>
      </c>
      <c r="K794">
        <v>0</v>
      </c>
      <c r="L794">
        <v>18</v>
      </c>
      <c r="M794">
        <v>0</v>
      </c>
      <c r="N794">
        <v>1</v>
      </c>
      <c r="O794">
        <v>7169129.9400000004</v>
      </c>
      <c r="P794">
        <f>IF(C794&gt;=200000,5,IF(C794&gt;=100000,4,IF(C794&gt;=50000,3,IF(C794&gt;=10000,2,1))))</f>
        <v>5</v>
      </c>
      <c r="Q794">
        <f>IF(B794="TRANSFER",5,IF(B794="CASH_OUT",4,IF(B794="DEBIT",2,1)))</f>
        <v>5</v>
      </c>
      <c r="R794">
        <f>(P794*0.5)+(Q794*0.3)+(N794*0.1)+(M794*0.1)</f>
        <v>4.0999999999999996</v>
      </c>
      <c r="S794" t="str">
        <f t="shared" si="12"/>
        <v>HIGH</v>
      </c>
    </row>
    <row r="795" spans="1:19" x14ac:dyDescent="0.3">
      <c r="A795">
        <v>66</v>
      </c>
      <c r="B795" t="s">
        <v>18</v>
      </c>
      <c r="C795">
        <v>7169129.9400000004</v>
      </c>
      <c r="D795" t="s">
        <v>1597</v>
      </c>
      <c r="E795">
        <v>7169129.9400000004</v>
      </c>
      <c r="F795">
        <v>0</v>
      </c>
      <c r="G795" t="s">
        <v>1598</v>
      </c>
      <c r="H795">
        <v>0</v>
      </c>
      <c r="I795">
        <v>7169129.9400000004</v>
      </c>
      <c r="J795">
        <v>1</v>
      </c>
      <c r="K795">
        <v>0</v>
      </c>
      <c r="L795">
        <v>18</v>
      </c>
      <c r="M795">
        <v>0</v>
      </c>
      <c r="N795">
        <v>1</v>
      </c>
      <c r="O795">
        <v>7169129.9400000004</v>
      </c>
      <c r="P795">
        <f>IF(C795&gt;=200000,5,IF(C795&gt;=100000,4,IF(C795&gt;=50000,3,IF(C795&gt;=10000,2,1))))</f>
        <v>5</v>
      </c>
      <c r="Q795">
        <f>IF(B795="TRANSFER",5,IF(B795="CASH_OUT",4,IF(B795="DEBIT",2,1)))</f>
        <v>4</v>
      </c>
      <c r="R795">
        <f>(P795*0.5)+(Q795*0.3)+(N795*0.1)+(M795*0.1)</f>
        <v>3.8000000000000003</v>
      </c>
      <c r="S795" t="str">
        <f t="shared" si="12"/>
        <v>HIGH</v>
      </c>
    </row>
    <row r="796" spans="1:19" x14ac:dyDescent="0.3">
      <c r="A796">
        <v>66</v>
      </c>
      <c r="B796" t="s">
        <v>15</v>
      </c>
      <c r="C796">
        <v>107188.41</v>
      </c>
      <c r="D796" t="s">
        <v>1599</v>
      </c>
      <c r="E796">
        <v>107188.41</v>
      </c>
      <c r="F796">
        <v>0</v>
      </c>
      <c r="G796" t="s">
        <v>1600</v>
      </c>
      <c r="H796">
        <v>0</v>
      </c>
      <c r="I796">
        <v>0</v>
      </c>
      <c r="J796">
        <v>1</v>
      </c>
      <c r="K796">
        <v>0</v>
      </c>
      <c r="L796">
        <v>18</v>
      </c>
      <c r="M796">
        <v>0</v>
      </c>
      <c r="N796">
        <v>1</v>
      </c>
      <c r="O796">
        <v>107188.41</v>
      </c>
      <c r="P796">
        <f>IF(C796&gt;=200000,5,IF(C796&gt;=100000,4,IF(C796&gt;=50000,3,IF(C796&gt;=10000,2,1))))</f>
        <v>4</v>
      </c>
      <c r="Q796">
        <f>IF(B796="TRANSFER",5,IF(B796="CASH_OUT",4,IF(B796="DEBIT",2,1)))</f>
        <v>5</v>
      </c>
      <c r="R796">
        <f>(P796*0.5)+(Q796*0.3)+(N796*0.1)+(M796*0.1)</f>
        <v>3.6</v>
      </c>
      <c r="S796" t="str">
        <f t="shared" si="12"/>
        <v>HIGH</v>
      </c>
    </row>
    <row r="797" spans="1:19" x14ac:dyDescent="0.3">
      <c r="A797">
        <v>66</v>
      </c>
      <c r="B797" t="s">
        <v>18</v>
      </c>
      <c r="C797">
        <v>107188.41</v>
      </c>
      <c r="D797" t="s">
        <v>1601</v>
      </c>
      <c r="E797">
        <v>107188.41</v>
      </c>
      <c r="F797">
        <v>0</v>
      </c>
      <c r="G797" t="s">
        <v>1602</v>
      </c>
      <c r="H797">
        <v>696135.43</v>
      </c>
      <c r="I797">
        <v>803323.83</v>
      </c>
      <c r="J797">
        <v>1</v>
      </c>
      <c r="K797">
        <v>0</v>
      </c>
      <c r="L797">
        <v>18</v>
      </c>
      <c r="M797">
        <v>0</v>
      </c>
      <c r="N797">
        <v>1</v>
      </c>
      <c r="O797">
        <v>107188.41</v>
      </c>
      <c r="P797">
        <f>IF(C797&gt;=200000,5,IF(C797&gt;=100000,4,IF(C797&gt;=50000,3,IF(C797&gt;=10000,2,1))))</f>
        <v>4</v>
      </c>
      <c r="Q797">
        <f>IF(B797="TRANSFER",5,IF(B797="CASH_OUT",4,IF(B797="DEBIT",2,1)))</f>
        <v>4</v>
      </c>
      <c r="R797">
        <f>(P797*0.5)+(Q797*0.3)+(N797*0.1)+(M797*0.1)</f>
        <v>3.3000000000000003</v>
      </c>
      <c r="S797" t="str">
        <f t="shared" si="12"/>
        <v>HIGH</v>
      </c>
    </row>
    <row r="798" spans="1:19" x14ac:dyDescent="0.3">
      <c r="A798">
        <v>66</v>
      </c>
      <c r="B798" t="s">
        <v>15</v>
      </c>
      <c r="C798">
        <v>3444943.59</v>
      </c>
      <c r="D798" t="s">
        <v>1603</v>
      </c>
      <c r="E798">
        <v>3444943.59</v>
      </c>
      <c r="F798">
        <v>0</v>
      </c>
      <c r="G798" t="s">
        <v>1604</v>
      </c>
      <c r="H798">
        <v>0</v>
      </c>
      <c r="I798">
        <v>0</v>
      </c>
      <c r="J798">
        <v>1</v>
      </c>
      <c r="K798">
        <v>0</v>
      </c>
      <c r="L798">
        <v>18</v>
      </c>
      <c r="M798">
        <v>0</v>
      </c>
      <c r="N798">
        <v>1</v>
      </c>
      <c r="O798">
        <v>3444943.59</v>
      </c>
      <c r="P798">
        <f>IF(C798&gt;=200000,5,IF(C798&gt;=100000,4,IF(C798&gt;=50000,3,IF(C798&gt;=10000,2,1))))</f>
        <v>5</v>
      </c>
      <c r="Q798">
        <f>IF(B798="TRANSFER",5,IF(B798="CASH_OUT",4,IF(B798="DEBIT",2,1)))</f>
        <v>5</v>
      </c>
      <c r="R798">
        <f>(P798*0.5)+(Q798*0.3)+(N798*0.1)+(M798*0.1)</f>
        <v>4.0999999999999996</v>
      </c>
      <c r="S798" t="str">
        <f t="shared" si="12"/>
        <v>HIGH</v>
      </c>
    </row>
    <row r="799" spans="1:19" x14ac:dyDescent="0.3">
      <c r="A799">
        <v>66</v>
      </c>
      <c r="B799" t="s">
        <v>18</v>
      </c>
      <c r="C799">
        <v>3444943.59</v>
      </c>
      <c r="D799" t="s">
        <v>1605</v>
      </c>
      <c r="E799">
        <v>3444943.59</v>
      </c>
      <c r="F799">
        <v>0</v>
      </c>
      <c r="G799" t="s">
        <v>1606</v>
      </c>
      <c r="H799">
        <v>217174.65</v>
      </c>
      <c r="I799">
        <v>3662118.24</v>
      </c>
      <c r="J799">
        <v>1</v>
      </c>
      <c r="K799">
        <v>0</v>
      </c>
      <c r="L799">
        <v>18</v>
      </c>
      <c r="M799">
        <v>0</v>
      </c>
      <c r="N799">
        <v>1</v>
      </c>
      <c r="O799">
        <v>3444943.59</v>
      </c>
      <c r="P799">
        <f>IF(C799&gt;=200000,5,IF(C799&gt;=100000,4,IF(C799&gt;=50000,3,IF(C799&gt;=10000,2,1))))</f>
        <v>5</v>
      </c>
      <c r="Q799">
        <f>IF(B799="TRANSFER",5,IF(B799="CASH_OUT",4,IF(B799="DEBIT",2,1)))</f>
        <v>4</v>
      </c>
      <c r="R799">
        <f>(P799*0.5)+(Q799*0.3)+(N799*0.1)+(M799*0.1)</f>
        <v>3.8000000000000003</v>
      </c>
      <c r="S799" t="str">
        <f t="shared" si="12"/>
        <v>HIGH</v>
      </c>
    </row>
    <row r="800" spans="1:19" x14ac:dyDescent="0.3">
      <c r="A800">
        <v>66</v>
      </c>
      <c r="B800" t="s">
        <v>15</v>
      </c>
      <c r="C800">
        <v>126715.84</v>
      </c>
      <c r="D800" t="s">
        <v>1607</v>
      </c>
      <c r="E800">
        <v>126715.84</v>
      </c>
      <c r="F800">
        <v>0</v>
      </c>
      <c r="G800" t="s">
        <v>1608</v>
      </c>
      <c r="H800">
        <v>0</v>
      </c>
      <c r="I800">
        <v>0</v>
      </c>
      <c r="J800">
        <v>1</v>
      </c>
      <c r="K800">
        <v>0</v>
      </c>
      <c r="L800">
        <v>18</v>
      </c>
      <c r="M800">
        <v>0</v>
      </c>
      <c r="N800">
        <v>1</v>
      </c>
      <c r="O800">
        <v>126715.84</v>
      </c>
      <c r="P800">
        <f>IF(C800&gt;=200000,5,IF(C800&gt;=100000,4,IF(C800&gt;=50000,3,IF(C800&gt;=10000,2,1))))</f>
        <v>4</v>
      </c>
      <c r="Q800">
        <f>IF(B800="TRANSFER",5,IF(B800="CASH_OUT",4,IF(B800="DEBIT",2,1)))</f>
        <v>5</v>
      </c>
      <c r="R800">
        <f>(P800*0.5)+(Q800*0.3)+(N800*0.1)+(M800*0.1)</f>
        <v>3.6</v>
      </c>
      <c r="S800" t="str">
        <f t="shared" si="12"/>
        <v>HIGH</v>
      </c>
    </row>
    <row r="801" spans="1:19" x14ac:dyDescent="0.3">
      <c r="A801">
        <v>66</v>
      </c>
      <c r="B801" t="s">
        <v>18</v>
      </c>
      <c r="C801">
        <v>126715.84</v>
      </c>
      <c r="D801" t="s">
        <v>1609</v>
      </c>
      <c r="E801">
        <v>126715.84</v>
      </c>
      <c r="F801">
        <v>0</v>
      </c>
      <c r="G801" t="s">
        <v>1610</v>
      </c>
      <c r="H801">
        <v>273157.93</v>
      </c>
      <c r="I801">
        <v>399873.77</v>
      </c>
      <c r="J801">
        <v>1</v>
      </c>
      <c r="K801">
        <v>0</v>
      </c>
      <c r="L801">
        <v>18</v>
      </c>
      <c r="M801">
        <v>0</v>
      </c>
      <c r="N801">
        <v>1</v>
      </c>
      <c r="O801">
        <v>126715.84</v>
      </c>
      <c r="P801">
        <f>IF(C801&gt;=200000,5,IF(C801&gt;=100000,4,IF(C801&gt;=50000,3,IF(C801&gt;=10000,2,1))))</f>
        <v>4</v>
      </c>
      <c r="Q801">
        <f>IF(B801="TRANSFER",5,IF(B801="CASH_OUT",4,IF(B801="DEBIT",2,1)))</f>
        <v>4</v>
      </c>
      <c r="R801">
        <f>(P801*0.5)+(Q801*0.3)+(N801*0.1)+(M801*0.1)</f>
        <v>3.3000000000000003</v>
      </c>
      <c r="S801" t="str">
        <f t="shared" si="12"/>
        <v>HIGH</v>
      </c>
    </row>
    <row r="802" spans="1:19" x14ac:dyDescent="0.3">
      <c r="A802">
        <v>66</v>
      </c>
      <c r="B802" t="s">
        <v>15</v>
      </c>
      <c r="C802">
        <v>4631432.03</v>
      </c>
      <c r="D802" t="s">
        <v>1611</v>
      </c>
      <c r="E802">
        <v>4631432.03</v>
      </c>
      <c r="F802">
        <v>0</v>
      </c>
      <c r="G802" t="s">
        <v>1612</v>
      </c>
      <c r="H802">
        <v>0</v>
      </c>
      <c r="I802">
        <v>0</v>
      </c>
      <c r="J802">
        <v>1</v>
      </c>
      <c r="K802">
        <v>0</v>
      </c>
      <c r="L802">
        <v>18</v>
      </c>
      <c r="M802">
        <v>0</v>
      </c>
      <c r="N802">
        <v>1</v>
      </c>
      <c r="O802">
        <v>4631432.03</v>
      </c>
      <c r="P802">
        <f>IF(C802&gt;=200000,5,IF(C802&gt;=100000,4,IF(C802&gt;=50000,3,IF(C802&gt;=10000,2,1))))</f>
        <v>5</v>
      </c>
      <c r="Q802">
        <f>IF(B802="TRANSFER",5,IF(B802="CASH_OUT",4,IF(B802="DEBIT",2,1)))</f>
        <v>5</v>
      </c>
      <c r="R802">
        <f>(P802*0.5)+(Q802*0.3)+(N802*0.1)+(M802*0.1)</f>
        <v>4.0999999999999996</v>
      </c>
      <c r="S802" t="str">
        <f t="shared" si="12"/>
        <v>HIGH</v>
      </c>
    </row>
    <row r="803" spans="1:19" x14ac:dyDescent="0.3">
      <c r="A803">
        <v>66</v>
      </c>
      <c r="B803" t="s">
        <v>18</v>
      </c>
      <c r="C803">
        <v>4631432.03</v>
      </c>
      <c r="D803" t="s">
        <v>1613</v>
      </c>
      <c r="E803">
        <v>4631432.03</v>
      </c>
      <c r="F803">
        <v>0</v>
      </c>
      <c r="G803" t="s">
        <v>1614</v>
      </c>
      <c r="H803">
        <v>122727.22</v>
      </c>
      <c r="I803">
        <v>4754159.25</v>
      </c>
      <c r="J803">
        <v>1</v>
      </c>
      <c r="K803">
        <v>0</v>
      </c>
      <c r="L803">
        <v>18</v>
      </c>
      <c r="M803">
        <v>0</v>
      </c>
      <c r="N803">
        <v>1</v>
      </c>
      <c r="O803">
        <v>4631432.03</v>
      </c>
      <c r="P803">
        <f>IF(C803&gt;=200000,5,IF(C803&gt;=100000,4,IF(C803&gt;=50000,3,IF(C803&gt;=10000,2,1))))</f>
        <v>5</v>
      </c>
      <c r="Q803">
        <f>IF(B803="TRANSFER",5,IF(B803="CASH_OUT",4,IF(B803="DEBIT",2,1)))</f>
        <v>4</v>
      </c>
      <c r="R803">
        <f>(P803*0.5)+(Q803*0.3)+(N803*0.1)+(M803*0.1)</f>
        <v>3.8000000000000003</v>
      </c>
      <c r="S803" t="str">
        <f t="shared" si="12"/>
        <v>HIGH</v>
      </c>
    </row>
    <row r="804" spans="1:19" x14ac:dyDescent="0.3">
      <c r="A804">
        <v>66</v>
      </c>
      <c r="B804" t="s">
        <v>15</v>
      </c>
      <c r="C804">
        <v>2322909.69</v>
      </c>
      <c r="D804" t="s">
        <v>1615</v>
      </c>
      <c r="E804">
        <v>2322909.69</v>
      </c>
      <c r="F804">
        <v>0</v>
      </c>
      <c r="G804" t="s">
        <v>1616</v>
      </c>
      <c r="H804">
        <v>0</v>
      </c>
      <c r="I804">
        <v>0</v>
      </c>
      <c r="J804">
        <v>1</v>
      </c>
      <c r="K804">
        <v>0</v>
      </c>
      <c r="L804">
        <v>18</v>
      </c>
      <c r="M804">
        <v>0</v>
      </c>
      <c r="N804">
        <v>1</v>
      </c>
      <c r="O804">
        <v>2322909.69</v>
      </c>
      <c r="P804">
        <f>IF(C804&gt;=200000,5,IF(C804&gt;=100000,4,IF(C804&gt;=50000,3,IF(C804&gt;=10000,2,1))))</f>
        <v>5</v>
      </c>
      <c r="Q804">
        <f>IF(B804="TRANSFER",5,IF(B804="CASH_OUT",4,IF(B804="DEBIT",2,1)))</f>
        <v>5</v>
      </c>
      <c r="R804">
        <f>(P804*0.5)+(Q804*0.3)+(N804*0.1)+(M804*0.1)</f>
        <v>4.0999999999999996</v>
      </c>
      <c r="S804" t="str">
        <f t="shared" si="12"/>
        <v>HIGH</v>
      </c>
    </row>
    <row r="805" spans="1:19" x14ac:dyDescent="0.3">
      <c r="A805">
        <v>66</v>
      </c>
      <c r="B805" t="s">
        <v>18</v>
      </c>
      <c r="C805">
        <v>2322909.69</v>
      </c>
      <c r="D805" t="s">
        <v>1617</v>
      </c>
      <c r="E805">
        <v>2322909.69</v>
      </c>
      <c r="F805">
        <v>0</v>
      </c>
      <c r="G805" t="s">
        <v>1618</v>
      </c>
      <c r="H805">
        <v>875613.05</v>
      </c>
      <c r="I805">
        <v>3198522.74</v>
      </c>
      <c r="J805">
        <v>1</v>
      </c>
      <c r="K805">
        <v>0</v>
      </c>
      <c r="L805">
        <v>18</v>
      </c>
      <c r="M805">
        <v>0</v>
      </c>
      <c r="N805">
        <v>1</v>
      </c>
      <c r="O805">
        <v>2322909.69</v>
      </c>
      <c r="P805">
        <f>IF(C805&gt;=200000,5,IF(C805&gt;=100000,4,IF(C805&gt;=50000,3,IF(C805&gt;=10000,2,1))))</f>
        <v>5</v>
      </c>
      <c r="Q805">
        <f>IF(B805="TRANSFER",5,IF(B805="CASH_OUT",4,IF(B805="DEBIT",2,1)))</f>
        <v>4</v>
      </c>
      <c r="R805">
        <f>(P805*0.5)+(Q805*0.3)+(N805*0.1)+(M805*0.1)</f>
        <v>3.8000000000000003</v>
      </c>
      <c r="S805" t="str">
        <f t="shared" si="12"/>
        <v>HIGH</v>
      </c>
    </row>
    <row r="806" spans="1:19" x14ac:dyDescent="0.3">
      <c r="A806">
        <v>66</v>
      </c>
      <c r="B806" t="s">
        <v>15</v>
      </c>
      <c r="C806">
        <v>79441.66</v>
      </c>
      <c r="D806" t="s">
        <v>1619</v>
      </c>
      <c r="E806">
        <v>79441.66</v>
      </c>
      <c r="F806">
        <v>0</v>
      </c>
      <c r="G806" t="s">
        <v>1620</v>
      </c>
      <c r="H806">
        <v>0</v>
      </c>
      <c r="I806">
        <v>0</v>
      </c>
      <c r="J806">
        <v>1</v>
      </c>
      <c r="K806">
        <v>0</v>
      </c>
      <c r="L806">
        <v>18</v>
      </c>
      <c r="M806">
        <v>0</v>
      </c>
      <c r="N806">
        <v>1</v>
      </c>
      <c r="O806">
        <v>79441.66</v>
      </c>
      <c r="P806">
        <f>IF(C806&gt;=200000,5,IF(C806&gt;=100000,4,IF(C806&gt;=50000,3,IF(C806&gt;=10000,2,1))))</f>
        <v>3</v>
      </c>
      <c r="Q806">
        <f>IF(B806="TRANSFER",5,IF(B806="CASH_OUT",4,IF(B806="DEBIT",2,1)))</f>
        <v>5</v>
      </c>
      <c r="R806">
        <f>(P806*0.5)+(Q806*0.3)+(N806*0.1)+(M806*0.1)</f>
        <v>3.1</v>
      </c>
      <c r="S806" t="str">
        <f t="shared" si="12"/>
        <v>HIGH</v>
      </c>
    </row>
    <row r="807" spans="1:19" x14ac:dyDescent="0.3">
      <c r="A807">
        <v>66</v>
      </c>
      <c r="B807" t="s">
        <v>18</v>
      </c>
      <c r="C807">
        <v>79441.66</v>
      </c>
      <c r="D807" t="s">
        <v>1621</v>
      </c>
      <c r="E807">
        <v>79441.66</v>
      </c>
      <c r="F807">
        <v>0</v>
      </c>
      <c r="G807" t="s">
        <v>1622</v>
      </c>
      <c r="H807">
        <v>2051790.44</v>
      </c>
      <c r="I807">
        <v>2131232.1</v>
      </c>
      <c r="J807">
        <v>1</v>
      </c>
      <c r="K807">
        <v>0</v>
      </c>
      <c r="L807">
        <v>18</v>
      </c>
      <c r="M807">
        <v>0</v>
      </c>
      <c r="N807">
        <v>1</v>
      </c>
      <c r="O807">
        <v>79441.66</v>
      </c>
      <c r="P807">
        <f>IF(C807&gt;=200000,5,IF(C807&gt;=100000,4,IF(C807&gt;=50000,3,IF(C807&gt;=10000,2,1))))</f>
        <v>3</v>
      </c>
      <c r="Q807">
        <f>IF(B807="TRANSFER",5,IF(B807="CASH_OUT",4,IF(B807="DEBIT",2,1)))</f>
        <v>4</v>
      </c>
      <c r="R807">
        <f>(P807*0.5)+(Q807*0.3)+(N807*0.1)+(M807*0.1)</f>
        <v>2.8000000000000003</v>
      </c>
      <c r="S807" t="str">
        <f t="shared" si="12"/>
        <v>MEDIUM</v>
      </c>
    </row>
    <row r="808" spans="1:19" x14ac:dyDescent="0.3">
      <c r="A808">
        <v>67</v>
      </c>
      <c r="B808" t="s">
        <v>15</v>
      </c>
      <c r="C808">
        <v>1028326.5</v>
      </c>
      <c r="D808" t="s">
        <v>1623</v>
      </c>
      <c r="E808">
        <v>1028326.5</v>
      </c>
      <c r="F808">
        <v>0</v>
      </c>
      <c r="G808" t="s">
        <v>1624</v>
      </c>
      <c r="H808">
        <v>0</v>
      </c>
      <c r="I808">
        <v>0</v>
      </c>
      <c r="J808">
        <v>1</v>
      </c>
      <c r="K808">
        <v>0</v>
      </c>
      <c r="L808">
        <v>19</v>
      </c>
      <c r="M808">
        <v>0</v>
      </c>
      <c r="N808">
        <v>1</v>
      </c>
      <c r="O808">
        <v>1028326.5</v>
      </c>
      <c r="P808">
        <f>IF(C808&gt;=200000,5,IF(C808&gt;=100000,4,IF(C808&gt;=50000,3,IF(C808&gt;=10000,2,1))))</f>
        <v>5</v>
      </c>
      <c r="Q808">
        <f>IF(B808="TRANSFER",5,IF(B808="CASH_OUT",4,IF(B808="DEBIT",2,1)))</f>
        <v>5</v>
      </c>
      <c r="R808">
        <f>(P808*0.5)+(Q808*0.3)+(N808*0.1)+(M808*0.1)</f>
        <v>4.0999999999999996</v>
      </c>
      <c r="S808" t="str">
        <f t="shared" si="12"/>
        <v>HIGH</v>
      </c>
    </row>
    <row r="809" spans="1:19" x14ac:dyDescent="0.3">
      <c r="A809">
        <v>67</v>
      </c>
      <c r="B809" t="s">
        <v>18</v>
      </c>
      <c r="C809">
        <v>1028326.5</v>
      </c>
      <c r="D809" t="s">
        <v>1625</v>
      </c>
      <c r="E809">
        <v>1028326.5</v>
      </c>
      <c r="F809">
        <v>0</v>
      </c>
      <c r="G809" t="s">
        <v>1626</v>
      </c>
      <c r="H809">
        <v>0</v>
      </c>
      <c r="I809">
        <v>1028326.5</v>
      </c>
      <c r="J809">
        <v>1</v>
      </c>
      <c r="K809">
        <v>0</v>
      </c>
      <c r="L809">
        <v>19</v>
      </c>
      <c r="M809">
        <v>0</v>
      </c>
      <c r="N809">
        <v>1</v>
      </c>
      <c r="O809">
        <v>1028326.5</v>
      </c>
      <c r="P809">
        <f>IF(C809&gt;=200000,5,IF(C809&gt;=100000,4,IF(C809&gt;=50000,3,IF(C809&gt;=10000,2,1))))</f>
        <v>5</v>
      </c>
      <c r="Q809">
        <f>IF(B809="TRANSFER",5,IF(B809="CASH_OUT",4,IF(B809="DEBIT",2,1)))</f>
        <v>4</v>
      </c>
      <c r="R809">
        <f>(P809*0.5)+(Q809*0.3)+(N809*0.1)+(M809*0.1)</f>
        <v>3.8000000000000003</v>
      </c>
      <c r="S809" t="str">
        <f t="shared" si="12"/>
        <v>HIGH</v>
      </c>
    </row>
    <row r="810" spans="1:19" x14ac:dyDescent="0.3">
      <c r="A810">
        <v>67</v>
      </c>
      <c r="B810" t="s">
        <v>15</v>
      </c>
      <c r="C810">
        <v>42513.08</v>
      </c>
      <c r="D810" t="s">
        <v>1627</v>
      </c>
      <c r="E810">
        <v>42513.08</v>
      </c>
      <c r="F810">
        <v>0</v>
      </c>
      <c r="G810" t="s">
        <v>1628</v>
      </c>
      <c r="H810">
        <v>0</v>
      </c>
      <c r="I810">
        <v>0</v>
      </c>
      <c r="J810">
        <v>1</v>
      </c>
      <c r="K810">
        <v>0</v>
      </c>
      <c r="L810">
        <v>19</v>
      </c>
      <c r="M810">
        <v>0</v>
      </c>
      <c r="N810">
        <v>1</v>
      </c>
      <c r="O810">
        <v>42513.08</v>
      </c>
      <c r="P810">
        <f>IF(C810&gt;=200000,5,IF(C810&gt;=100000,4,IF(C810&gt;=50000,3,IF(C810&gt;=10000,2,1))))</f>
        <v>2</v>
      </c>
      <c r="Q810">
        <f>IF(B810="TRANSFER",5,IF(B810="CASH_OUT",4,IF(B810="DEBIT",2,1)))</f>
        <v>5</v>
      </c>
      <c r="R810">
        <f>(P810*0.5)+(Q810*0.3)+(N810*0.1)+(M810*0.1)</f>
        <v>2.6</v>
      </c>
      <c r="S810" t="str">
        <f t="shared" si="12"/>
        <v>MEDIUM</v>
      </c>
    </row>
    <row r="811" spans="1:19" x14ac:dyDescent="0.3">
      <c r="A811">
        <v>67</v>
      </c>
      <c r="B811" t="s">
        <v>18</v>
      </c>
      <c r="C811">
        <v>42513.08</v>
      </c>
      <c r="D811" t="s">
        <v>1629</v>
      </c>
      <c r="E811">
        <v>42513.08</v>
      </c>
      <c r="F811">
        <v>0</v>
      </c>
      <c r="G811" t="s">
        <v>1630</v>
      </c>
      <c r="H811">
        <v>0</v>
      </c>
      <c r="I811">
        <v>42513.08</v>
      </c>
      <c r="J811">
        <v>1</v>
      </c>
      <c r="K811">
        <v>0</v>
      </c>
      <c r="L811">
        <v>19</v>
      </c>
      <c r="M811">
        <v>0</v>
      </c>
      <c r="N811">
        <v>1</v>
      </c>
      <c r="O811">
        <v>42513.08</v>
      </c>
      <c r="P811">
        <f>IF(C811&gt;=200000,5,IF(C811&gt;=100000,4,IF(C811&gt;=50000,3,IF(C811&gt;=10000,2,1))))</f>
        <v>2</v>
      </c>
      <c r="Q811">
        <f>IF(B811="TRANSFER",5,IF(B811="CASH_OUT",4,IF(B811="DEBIT",2,1)))</f>
        <v>4</v>
      </c>
      <c r="R811">
        <f>(P811*0.5)+(Q811*0.3)+(N811*0.1)+(M811*0.1)</f>
        <v>2.3000000000000003</v>
      </c>
      <c r="S811" t="str">
        <f t="shared" si="12"/>
        <v>MEDIUM</v>
      </c>
    </row>
    <row r="812" spans="1:19" x14ac:dyDescent="0.3">
      <c r="A812">
        <v>67</v>
      </c>
      <c r="B812" t="s">
        <v>15</v>
      </c>
      <c r="C812">
        <v>106460.7</v>
      </c>
      <c r="D812" t="s">
        <v>1631</v>
      </c>
      <c r="E812">
        <v>106460.7</v>
      </c>
      <c r="F812">
        <v>0</v>
      </c>
      <c r="G812" t="s">
        <v>1632</v>
      </c>
      <c r="H812">
        <v>0</v>
      </c>
      <c r="I812">
        <v>0</v>
      </c>
      <c r="J812">
        <v>1</v>
      </c>
      <c r="K812">
        <v>0</v>
      </c>
      <c r="L812">
        <v>19</v>
      </c>
      <c r="M812">
        <v>0</v>
      </c>
      <c r="N812">
        <v>1</v>
      </c>
      <c r="O812">
        <v>106460.7</v>
      </c>
      <c r="P812">
        <f>IF(C812&gt;=200000,5,IF(C812&gt;=100000,4,IF(C812&gt;=50000,3,IF(C812&gt;=10000,2,1))))</f>
        <v>4</v>
      </c>
      <c r="Q812">
        <f>IF(B812="TRANSFER",5,IF(B812="CASH_OUT",4,IF(B812="DEBIT",2,1)))</f>
        <v>5</v>
      </c>
      <c r="R812">
        <f>(P812*0.5)+(Q812*0.3)+(N812*0.1)+(M812*0.1)</f>
        <v>3.6</v>
      </c>
      <c r="S812" t="str">
        <f t="shared" si="12"/>
        <v>HIGH</v>
      </c>
    </row>
    <row r="813" spans="1:19" x14ac:dyDescent="0.3">
      <c r="A813">
        <v>67</v>
      </c>
      <c r="B813" t="s">
        <v>18</v>
      </c>
      <c r="C813">
        <v>106460.7</v>
      </c>
      <c r="D813" t="s">
        <v>1633</v>
      </c>
      <c r="E813">
        <v>106460.7</v>
      </c>
      <c r="F813">
        <v>0</v>
      </c>
      <c r="G813" t="s">
        <v>1634</v>
      </c>
      <c r="H813">
        <v>1414263.15</v>
      </c>
      <c r="I813">
        <v>1520723.84</v>
      </c>
      <c r="J813">
        <v>1</v>
      </c>
      <c r="K813">
        <v>0</v>
      </c>
      <c r="L813">
        <v>19</v>
      </c>
      <c r="M813">
        <v>0</v>
      </c>
      <c r="N813">
        <v>1</v>
      </c>
      <c r="O813">
        <v>106460.7</v>
      </c>
      <c r="P813">
        <f>IF(C813&gt;=200000,5,IF(C813&gt;=100000,4,IF(C813&gt;=50000,3,IF(C813&gt;=10000,2,1))))</f>
        <v>4</v>
      </c>
      <c r="Q813">
        <f>IF(B813="TRANSFER",5,IF(B813="CASH_OUT",4,IF(B813="DEBIT",2,1)))</f>
        <v>4</v>
      </c>
      <c r="R813">
        <f>(P813*0.5)+(Q813*0.3)+(N813*0.1)+(M813*0.1)</f>
        <v>3.3000000000000003</v>
      </c>
      <c r="S813" t="str">
        <f t="shared" si="12"/>
        <v>HIGH</v>
      </c>
    </row>
    <row r="814" spans="1:19" x14ac:dyDescent="0.3">
      <c r="A814">
        <v>68</v>
      </c>
      <c r="B814" t="s">
        <v>15</v>
      </c>
      <c r="C814">
        <v>915266.65</v>
      </c>
      <c r="D814" t="s">
        <v>1635</v>
      </c>
      <c r="E814">
        <v>915266.65</v>
      </c>
      <c r="F814">
        <v>0</v>
      </c>
      <c r="G814" t="s">
        <v>1636</v>
      </c>
      <c r="H814">
        <v>0</v>
      </c>
      <c r="I814">
        <v>0</v>
      </c>
      <c r="J814">
        <v>1</v>
      </c>
      <c r="K814">
        <v>0</v>
      </c>
      <c r="L814">
        <v>20</v>
      </c>
      <c r="M814">
        <v>0</v>
      </c>
      <c r="N814">
        <v>1</v>
      </c>
      <c r="O814">
        <v>915266.65</v>
      </c>
      <c r="P814">
        <f>IF(C814&gt;=200000,5,IF(C814&gt;=100000,4,IF(C814&gt;=50000,3,IF(C814&gt;=10000,2,1))))</f>
        <v>5</v>
      </c>
      <c r="Q814">
        <f>IF(B814="TRANSFER",5,IF(B814="CASH_OUT",4,IF(B814="DEBIT",2,1)))</f>
        <v>5</v>
      </c>
      <c r="R814">
        <f>(P814*0.5)+(Q814*0.3)+(N814*0.1)+(M814*0.1)</f>
        <v>4.0999999999999996</v>
      </c>
      <c r="S814" t="str">
        <f t="shared" si="12"/>
        <v>HIGH</v>
      </c>
    </row>
    <row r="815" spans="1:19" x14ac:dyDescent="0.3">
      <c r="A815">
        <v>68</v>
      </c>
      <c r="B815" t="s">
        <v>18</v>
      </c>
      <c r="C815">
        <v>915266.65</v>
      </c>
      <c r="D815" t="s">
        <v>1637</v>
      </c>
      <c r="E815">
        <v>915266.65</v>
      </c>
      <c r="F815">
        <v>0</v>
      </c>
      <c r="G815" t="s">
        <v>1638</v>
      </c>
      <c r="H815">
        <v>2415414.35</v>
      </c>
      <c r="I815">
        <v>3330681</v>
      </c>
      <c r="J815">
        <v>1</v>
      </c>
      <c r="K815">
        <v>0</v>
      </c>
      <c r="L815">
        <v>20</v>
      </c>
      <c r="M815">
        <v>0</v>
      </c>
      <c r="N815">
        <v>1</v>
      </c>
      <c r="O815">
        <v>915266.65</v>
      </c>
      <c r="P815">
        <f>IF(C815&gt;=200000,5,IF(C815&gt;=100000,4,IF(C815&gt;=50000,3,IF(C815&gt;=10000,2,1))))</f>
        <v>5</v>
      </c>
      <c r="Q815">
        <f>IF(B815="TRANSFER",5,IF(B815="CASH_OUT",4,IF(B815="DEBIT",2,1)))</f>
        <v>4</v>
      </c>
      <c r="R815">
        <f>(P815*0.5)+(Q815*0.3)+(N815*0.1)+(M815*0.1)</f>
        <v>3.8000000000000003</v>
      </c>
      <c r="S815" t="str">
        <f t="shared" si="12"/>
        <v>HIGH</v>
      </c>
    </row>
    <row r="816" spans="1:19" x14ac:dyDescent="0.3">
      <c r="A816">
        <v>68</v>
      </c>
      <c r="B816" t="s">
        <v>15</v>
      </c>
      <c r="C816">
        <v>5800988.1200000001</v>
      </c>
      <c r="D816" t="s">
        <v>1639</v>
      </c>
      <c r="E816">
        <v>5800988.1200000001</v>
      </c>
      <c r="F816">
        <v>0</v>
      </c>
      <c r="G816" t="s">
        <v>1640</v>
      </c>
      <c r="H816">
        <v>0</v>
      </c>
      <c r="I816">
        <v>0</v>
      </c>
      <c r="J816">
        <v>1</v>
      </c>
      <c r="K816">
        <v>0</v>
      </c>
      <c r="L816">
        <v>20</v>
      </c>
      <c r="M816">
        <v>0</v>
      </c>
      <c r="N816">
        <v>1</v>
      </c>
      <c r="O816">
        <v>5800988.1200000001</v>
      </c>
      <c r="P816">
        <f>IF(C816&gt;=200000,5,IF(C816&gt;=100000,4,IF(C816&gt;=50000,3,IF(C816&gt;=10000,2,1))))</f>
        <v>5</v>
      </c>
      <c r="Q816">
        <f>IF(B816="TRANSFER",5,IF(B816="CASH_OUT",4,IF(B816="DEBIT",2,1)))</f>
        <v>5</v>
      </c>
      <c r="R816">
        <f>(P816*0.5)+(Q816*0.3)+(N816*0.1)+(M816*0.1)</f>
        <v>4.0999999999999996</v>
      </c>
      <c r="S816" t="str">
        <f t="shared" si="12"/>
        <v>HIGH</v>
      </c>
    </row>
    <row r="817" spans="1:19" x14ac:dyDescent="0.3">
      <c r="A817">
        <v>68</v>
      </c>
      <c r="B817" t="s">
        <v>18</v>
      </c>
      <c r="C817">
        <v>5800988.1200000001</v>
      </c>
      <c r="D817" t="s">
        <v>1641</v>
      </c>
      <c r="E817">
        <v>5800988.1200000001</v>
      </c>
      <c r="F817">
        <v>0</v>
      </c>
      <c r="G817" t="s">
        <v>1642</v>
      </c>
      <c r="H817">
        <v>0</v>
      </c>
      <c r="I817">
        <v>5800988.1200000001</v>
      </c>
      <c r="J817">
        <v>1</v>
      </c>
      <c r="K817">
        <v>0</v>
      </c>
      <c r="L817">
        <v>20</v>
      </c>
      <c r="M817">
        <v>0</v>
      </c>
      <c r="N817">
        <v>1</v>
      </c>
      <c r="O817">
        <v>5800988.1200000001</v>
      </c>
      <c r="P817">
        <f>IF(C817&gt;=200000,5,IF(C817&gt;=100000,4,IF(C817&gt;=50000,3,IF(C817&gt;=10000,2,1))))</f>
        <v>5</v>
      </c>
      <c r="Q817">
        <f>IF(B817="TRANSFER",5,IF(B817="CASH_OUT",4,IF(B817="DEBIT",2,1)))</f>
        <v>4</v>
      </c>
      <c r="R817">
        <f>(P817*0.5)+(Q817*0.3)+(N817*0.1)+(M817*0.1)</f>
        <v>3.8000000000000003</v>
      </c>
      <c r="S817" t="str">
        <f t="shared" si="12"/>
        <v>HIGH</v>
      </c>
    </row>
    <row r="818" spans="1:19" x14ac:dyDescent="0.3">
      <c r="A818">
        <v>68</v>
      </c>
      <c r="B818" t="s">
        <v>15</v>
      </c>
      <c r="C818">
        <v>1858515.57</v>
      </c>
      <c r="D818" t="s">
        <v>1643</v>
      </c>
      <c r="E818">
        <v>1858515.57</v>
      </c>
      <c r="F818">
        <v>0</v>
      </c>
      <c r="G818" t="s">
        <v>1644</v>
      </c>
      <c r="H818">
        <v>0</v>
      </c>
      <c r="I818">
        <v>0</v>
      </c>
      <c r="J818">
        <v>1</v>
      </c>
      <c r="K818">
        <v>0</v>
      </c>
      <c r="L818">
        <v>20</v>
      </c>
      <c r="M818">
        <v>0</v>
      </c>
      <c r="N818">
        <v>1</v>
      </c>
      <c r="O818">
        <v>1858515.57</v>
      </c>
      <c r="P818">
        <f>IF(C818&gt;=200000,5,IF(C818&gt;=100000,4,IF(C818&gt;=50000,3,IF(C818&gt;=10000,2,1))))</f>
        <v>5</v>
      </c>
      <c r="Q818">
        <f>IF(B818="TRANSFER",5,IF(B818="CASH_OUT",4,IF(B818="DEBIT",2,1)))</f>
        <v>5</v>
      </c>
      <c r="R818">
        <f>(P818*0.5)+(Q818*0.3)+(N818*0.1)+(M818*0.1)</f>
        <v>4.0999999999999996</v>
      </c>
      <c r="S818" t="str">
        <f t="shared" si="12"/>
        <v>HIGH</v>
      </c>
    </row>
    <row r="819" spans="1:19" x14ac:dyDescent="0.3">
      <c r="A819">
        <v>68</v>
      </c>
      <c r="B819" t="s">
        <v>18</v>
      </c>
      <c r="C819">
        <v>1858515.57</v>
      </c>
      <c r="D819" t="s">
        <v>1645</v>
      </c>
      <c r="E819">
        <v>1858515.57</v>
      </c>
      <c r="F819">
        <v>0</v>
      </c>
      <c r="G819" t="s">
        <v>1646</v>
      </c>
      <c r="H819">
        <v>887595.71</v>
      </c>
      <c r="I819">
        <v>2746111.29</v>
      </c>
      <c r="J819">
        <v>1</v>
      </c>
      <c r="K819">
        <v>0</v>
      </c>
      <c r="L819">
        <v>20</v>
      </c>
      <c r="M819">
        <v>0</v>
      </c>
      <c r="N819">
        <v>1</v>
      </c>
      <c r="O819">
        <v>1858515.57</v>
      </c>
      <c r="P819">
        <f>IF(C819&gt;=200000,5,IF(C819&gt;=100000,4,IF(C819&gt;=50000,3,IF(C819&gt;=10000,2,1))))</f>
        <v>5</v>
      </c>
      <c r="Q819">
        <f>IF(B819="TRANSFER",5,IF(B819="CASH_OUT",4,IF(B819="DEBIT",2,1)))</f>
        <v>4</v>
      </c>
      <c r="R819">
        <f>(P819*0.5)+(Q819*0.3)+(N819*0.1)+(M819*0.1)</f>
        <v>3.8000000000000003</v>
      </c>
      <c r="S819" t="str">
        <f t="shared" si="12"/>
        <v>HIGH</v>
      </c>
    </row>
    <row r="820" spans="1:19" x14ac:dyDescent="0.3">
      <c r="A820">
        <v>68</v>
      </c>
      <c r="B820" t="s">
        <v>15</v>
      </c>
      <c r="C820">
        <v>3512572.72</v>
      </c>
      <c r="D820" t="s">
        <v>1647</v>
      </c>
      <c r="E820">
        <v>3512572.72</v>
      </c>
      <c r="F820">
        <v>0</v>
      </c>
      <c r="G820" t="s">
        <v>1648</v>
      </c>
      <c r="H820">
        <v>0</v>
      </c>
      <c r="I820">
        <v>0</v>
      </c>
      <c r="J820">
        <v>1</v>
      </c>
      <c r="K820">
        <v>0</v>
      </c>
      <c r="L820">
        <v>20</v>
      </c>
      <c r="M820">
        <v>0</v>
      </c>
      <c r="N820">
        <v>1</v>
      </c>
      <c r="O820">
        <v>3512572.72</v>
      </c>
      <c r="P820">
        <f>IF(C820&gt;=200000,5,IF(C820&gt;=100000,4,IF(C820&gt;=50000,3,IF(C820&gt;=10000,2,1))))</f>
        <v>5</v>
      </c>
      <c r="Q820">
        <f>IF(B820="TRANSFER",5,IF(B820="CASH_OUT",4,IF(B820="DEBIT",2,1)))</f>
        <v>5</v>
      </c>
      <c r="R820">
        <f>(P820*0.5)+(Q820*0.3)+(N820*0.1)+(M820*0.1)</f>
        <v>4.0999999999999996</v>
      </c>
      <c r="S820" t="str">
        <f t="shared" si="12"/>
        <v>HIGH</v>
      </c>
    </row>
    <row r="821" spans="1:19" x14ac:dyDescent="0.3">
      <c r="A821">
        <v>68</v>
      </c>
      <c r="B821" t="s">
        <v>18</v>
      </c>
      <c r="C821">
        <v>3512572.72</v>
      </c>
      <c r="D821" t="s">
        <v>1649</v>
      </c>
      <c r="E821">
        <v>3512572.72</v>
      </c>
      <c r="F821">
        <v>0</v>
      </c>
      <c r="G821" t="s">
        <v>1650</v>
      </c>
      <c r="H821">
        <v>111846.62</v>
      </c>
      <c r="I821">
        <v>3624419.34</v>
      </c>
      <c r="J821">
        <v>1</v>
      </c>
      <c r="K821">
        <v>0</v>
      </c>
      <c r="L821">
        <v>20</v>
      </c>
      <c r="M821">
        <v>0</v>
      </c>
      <c r="N821">
        <v>1</v>
      </c>
      <c r="O821">
        <v>3512572.72</v>
      </c>
      <c r="P821">
        <f>IF(C821&gt;=200000,5,IF(C821&gt;=100000,4,IF(C821&gt;=50000,3,IF(C821&gt;=10000,2,1))))</f>
        <v>5</v>
      </c>
      <c r="Q821">
        <f>IF(B821="TRANSFER",5,IF(B821="CASH_OUT",4,IF(B821="DEBIT",2,1)))</f>
        <v>4</v>
      </c>
      <c r="R821">
        <f>(P821*0.5)+(Q821*0.3)+(N821*0.1)+(M821*0.1)</f>
        <v>3.8000000000000003</v>
      </c>
      <c r="S821" t="str">
        <f t="shared" si="12"/>
        <v>HIGH</v>
      </c>
    </row>
    <row r="822" spans="1:19" x14ac:dyDescent="0.3">
      <c r="A822">
        <v>68</v>
      </c>
      <c r="B822" t="s">
        <v>15</v>
      </c>
      <c r="C822">
        <v>374178.28</v>
      </c>
      <c r="D822" t="s">
        <v>1651</v>
      </c>
      <c r="E822">
        <v>374178.28</v>
      </c>
      <c r="F822">
        <v>0</v>
      </c>
      <c r="G822" t="s">
        <v>1652</v>
      </c>
      <c r="H822">
        <v>0</v>
      </c>
      <c r="I822">
        <v>0</v>
      </c>
      <c r="J822">
        <v>1</v>
      </c>
      <c r="K822">
        <v>0</v>
      </c>
      <c r="L822">
        <v>20</v>
      </c>
      <c r="M822">
        <v>0</v>
      </c>
      <c r="N822">
        <v>1</v>
      </c>
      <c r="O822">
        <v>374178.28</v>
      </c>
      <c r="P822">
        <f>IF(C822&gt;=200000,5,IF(C822&gt;=100000,4,IF(C822&gt;=50000,3,IF(C822&gt;=10000,2,1))))</f>
        <v>5</v>
      </c>
      <c r="Q822">
        <f>IF(B822="TRANSFER",5,IF(B822="CASH_OUT",4,IF(B822="DEBIT",2,1)))</f>
        <v>5</v>
      </c>
      <c r="R822">
        <f>(P822*0.5)+(Q822*0.3)+(N822*0.1)+(M822*0.1)</f>
        <v>4.0999999999999996</v>
      </c>
      <c r="S822" t="str">
        <f t="shared" si="12"/>
        <v>HIGH</v>
      </c>
    </row>
    <row r="823" spans="1:19" x14ac:dyDescent="0.3">
      <c r="A823">
        <v>68</v>
      </c>
      <c r="B823" t="s">
        <v>18</v>
      </c>
      <c r="C823">
        <v>374178.28</v>
      </c>
      <c r="D823" t="s">
        <v>1653</v>
      </c>
      <c r="E823">
        <v>374178.28</v>
      </c>
      <c r="F823">
        <v>0</v>
      </c>
      <c r="G823" t="s">
        <v>1654</v>
      </c>
      <c r="H823">
        <v>616364.56999999995</v>
      </c>
      <c r="I823">
        <v>990542.85</v>
      </c>
      <c r="J823">
        <v>1</v>
      </c>
      <c r="K823">
        <v>0</v>
      </c>
      <c r="L823">
        <v>20</v>
      </c>
      <c r="M823">
        <v>0</v>
      </c>
      <c r="N823">
        <v>1</v>
      </c>
      <c r="O823">
        <v>374178.28</v>
      </c>
      <c r="P823">
        <f>IF(C823&gt;=200000,5,IF(C823&gt;=100000,4,IF(C823&gt;=50000,3,IF(C823&gt;=10000,2,1))))</f>
        <v>5</v>
      </c>
      <c r="Q823">
        <f>IF(B823="TRANSFER",5,IF(B823="CASH_OUT",4,IF(B823="DEBIT",2,1)))</f>
        <v>4</v>
      </c>
      <c r="R823">
        <f>(P823*0.5)+(Q823*0.3)+(N823*0.1)+(M823*0.1)</f>
        <v>3.8000000000000003</v>
      </c>
      <c r="S823" t="str">
        <f t="shared" si="12"/>
        <v>HIGH</v>
      </c>
    </row>
    <row r="824" spans="1:19" x14ac:dyDescent="0.3">
      <c r="A824">
        <v>68</v>
      </c>
      <c r="B824" t="s">
        <v>15</v>
      </c>
      <c r="C824">
        <v>2026529.56</v>
      </c>
      <c r="D824" t="s">
        <v>1655</v>
      </c>
      <c r="E824">
        <v>2026529.56</v>
      </c>
      <c r="F824">
        <v>0</v>
      </c>
      <c r="G824" t="s">
        <v>1656</v>
      </c>
      <c r="H824">
        <v>0</v>
      </c>
      <c r="I824">
        <v>0</v>
      </c>
      <c r="J824">
        <v>1</v>
      </c>
      <c r="K824">
        <v>0</v>
      </c>
      <c r="L824">
        <v>20</v>
      </c>
      <c r="M824">
        <v>0</v>
      </c>
      <c r="N824">
        <v>1</v>
      </c>
      <c r="O824">
        <v>2026529.56</v>
      </c>
      <c r="P824">
        <f>IF(C824&gt;=200000,5,IF(C824&gt;=100000,4,IF(C824&gt;=50000,3,IF(C824&gt;=10000,2,1))))</f>
        <v>5</v>
      </c>
      <c r="Q824">
        <f>IF(B824="TRANSFER",5,IF(B824="CASH_OUT",4,IF(B824="DEBIT",2,1)))</f>
        <v>5</v>
      </c>
      <c r="R824">
        <f>(P824*0.5)+(Q824*0.3)+(N824*0.1)+(M824*0.1)</f>
        <v>4.0999999999999996</v>
      </c>
      <c r="S824" t="str">
        <f t="shared" si="12"/>
        <v>HIGH</v>
      </c>
    </row>
    <row r="825" spans="1:19" x14ac:dyDescent="0.3">
      <c r="A825">
        <v>68</v>
      </c>
      <c r="B825" t="s">
        <v>18</v>
      </c>
      <c r="C825">
        <v>2026529.56</v>
      </c>
      <c r="D825" t="s">
        <v>1657</v>
      </c>
      <c r="E825">
        <v>2026529.56</v>
      </c>
      <c r="F825">
        <v>0</v>
      </c>
      <c r="G825" t="s">
        <v>1658</v>
      </c>
      <c r="H825">
        <v>511526.05</v>
      </c>
      <c r="I825">
        <v>2538055.62</v>
      </c>
      <c r="J825">
        <v>1</v>
      </c>
      <c r="K825">
        <v>0</v>
      </c>
      <c r="L825">
        <v>20</v>
      </c>
      <c r="M825">
        <v>0</v>
      </c>
      <c r="N825">
        <v>1</v>
      </c>
      <c r="O825">
        <v>2026529.56</v>
      </c>
      <c r="P825">
        <f>IF(C825&gt;=200000,5,IF(C825&gt;=100000,4,IF(C825&gt;=50000,3,IF(C825&gt;=10000,2,1))))</f>
        <v>5</v>
      </c>
      <c r="Q825">
        <f>IF(B825="TRANSFER",5,IF(B825="CASH_OUT",4,IF(B825="DEBIT",2,1)))</f>
        <v>4</v>
      </c>
      <c r="R825">
        <f>(P825*0.5)+(Q825*0.3)+(N825*0.1)+(M825*0.1)</f>
        <v>3.8000000000000003</v>
      </c>
      <c r="S825" t="str">
        <f t="shared" si="12"/>
        <v>HIGH</v>
      </c>
    </row>
    <row r="826" spans="1:19" x14ac:dyDescent="0.3">
      <c r="A826">
        <v>68</v>
      </c>
      <c r="B826" t="s">
        <v>15</v>
      </c>
      <c r="C826">
        <v>13890.42</v>
      </c>
      <c r="D826" t="s">
        <v>1659</v>
      </c>
      <c r="E826">
        <v>13890.42</v>
      </c>
      <c r="F826">
        <v>0</v>
      </c>
      <c r="G826" t="s">
        <v>1660</v>
      </c>
      <c r="H826">
        <v>0</v>
      </c>
      <c r="I826">
        <v>0</v>
      </c>
      <c r="J826">
        <v>1</v>
      </c>
      <c r="K826">
        <v>0</v>
      </c>
      <c r="L826">
        <v>20</v>
      </c>
      <c r="M826">
        <v>0</v>
      </c>
      <c r="N826">
        <v>1</v>
      </c>
      <c r="O826">
        <v>13890.42</v>
      </c>
      <c r="P826">
        <f>IF(C826&gt;=200000,5,IF(C826&gt;=100000,4,IF(C826&gt;=50000,3,IF(C826&gt;=10000,2,1))))</f>
        <v>2</v>
      </c>
      <c r="Q826">
        <f>IF(B826="TRANSFER",5,IF(B826="CASH_OUT",4,IF(B826="DEBIT",2,1)))</f>
        <v>5</v>
      </c>
      <c r="R826">
        <f>(P826*0.5)+(Q826*0.3)+(N826*0.1)+(M826*0.1)</f>
        <v>2.6</v>
      </c>
      <c r="S826" t="str">
        <f t="shared" si="12"/>
        <v>MEDIUM</v>
      </c>
    </row>
    <row r="827" spans="1:19" x14ac:dyDescent="0.3">
      <c r="A827">
        <v>68</v>
      </c>
      <c r="B827" t="s">
        <v>18</v>
      </c>
      <c r="C827">
        <v>13890.42</v>
      </c>
      <c r="D827" t="s">
        <v>1661</v>
      </c>
      <c r="E827">
        <v>13890.42</v>
      </c>
      <c r="F827">
        <v>0</v>
      </c>
      <c r="G827" t="s">
        <v>1662</v>
      </c>
      <c r="H827">
        <v>0</v>
      </c>
      <c r="I827">
        <v>13890.42</v>
      </c>
      <c r="J827">
        <v>1</v>
      </c>
      <c r="K827">
        <v>0</v>
      </c>
      <c r="L827">
        <v>20</v>
      </c>
      <c r="M827">
        <v>0</v>
      </c>
      <c r="N827">
        <v>1</v>
      </c>
      <c r="O827">
        <v>13890.42</v>
      </c>
      <c r="P827">
        <f>IF(C827&gt;=200000,5,IF(C827&gt;=100000,4,IF(C827&gt;=50000,3,IF(C827&gt;=10000,2,1))))</f>
        <v>2</v>
      </c>
      <c r="Q827">
        <f>IF(B827="TRANSFER",5,IF(B827="CASH_OUT",4,IF(B827="DEBIT",2,1)))</f>
        <v>4</v>
      </c>
      <c r="R827">
        <f>(P827*0.5)+(Q827*0.3)+(N827*0.1)+(M827*0.1)</f>
        <v>2.3000000000000003</v>
      </c>
      <c r="S827" t="str">
        <f t="shared" si="12"/>
        <v>MEDIUM</v>
      </c>
    </row>
    <row r="828" spans="1:19" x14ac:dyDescent="0.3">
      <c r="A828">
        <v>68</v>
      </c>
      <c r="B828" t="s">
        <v>15</v>
      </c>
      <c r="C828">
        <v>281743.12</v>
      </c>
      <c r="D828" t="s">
        <v>1663</v>
      </c>
      <c r="E828">
        <v>281743.12</v>
      </c>
      <c r="F828">
        <v>0</v>
      </c>
      <c r="G828" t="s">
        <v>1664</v>
      </c>
      <c r="H828">
        <v>0</v>
      </c>
      <c r="I828">
        <v>0</v>
      </c>
      <c r="J828">
        <v>1</v>
      </c>
      <c r="K828">
        <v>0</v>
      </c>
      <c r="L828">
        <v>20</v>
      </c>
      <c r="M828">
        <v>0</v>
      </c>
      <c r="N828">
        <v>1</v>
      </c>
      <c r="O828">
        <v>281743.12</v>
      </c>
      <c r="P828">
        <f>IF(C828&gt;=200000,5,IF(C828&gt;=100000,4,IF(C828&gt;=50000,3,IF(C828&gt;=10000,2,1))))</f>
        <v>5</v>
      </c>
      <c r="Q828">
        <f>IF(B828="TRANSFER",5,IF(B828="CASH_OUT",4,IF(B828="DEBIT",2,1)))</f>
        <v>5</v>
      </c>
      <c r="R828">
        <f>(P828*0.5)+(Q828*0.3)+(N828*0.1)+(M828*0.1)</f>
        <v>4.0999999999999996</v>
      </c>
      <c r="S828" t="str">
        <f t="shared" si="12"/>
        <v>HIGH</v>
      </c>
    </row>
    <row r="829" spans="1:19" x14ac:dyDescent="0.3">
      <c r="A829">
        <v>68</v>
      </c>
      <c r="B829" t="s">
        <v>18</v>
      </c>
      <c r="C829">
        <v>281743.12</v>
      </c>
      <c r="D829" t="s">
        <v>1665</v>
      </c>
      <c r="E829">
        <v>281743.12</v>
      </c>
      <c r="F829">
        <v>0</v>
      </c>
      <c r="G829" t="s">
        <v>1666</v>
      </c>
      <c r="H829">
        <v>158099.98000000001</v>
      </c>
      <c r="I829">
        <v>439843.09</v>
      </c>
      <c r="J829">
        <v>1</v>
      </c>
      <c r="K829">
        <v>0</v>
      </c>
      <c r="L829">
        <v>20</v>
      </c>
      <c r="M829">
        <v>0</v>
      </c>
      <c r="N829">
        <v>1</v>
      </c>
      <c r="O829">
        <v>281743.12</v>
      </c>
      <c r="P829">
        <f>IF(C829&gt;=200000,5,IF(C829&gt;=100000,4,IF(C829&gt;=50000,3,IF(C829&gt;=10000,2,1))))</f>
        <v>5</v>
      </c>
      <c r="Q829">
        <f>IF(B829="TRANSFER",5,IF(B829="CASH_OUT",4,IF(B829="DEBIT",2,1)))</f>
        <v>4</v>
      </c>
      <c r="R829">
        <f>(P829*0.5)+(Q829*0.3)+(N829*0.1)+(M829*0.1)</f>
        <v>3.8000000000000003</v>
      </c>
      <c r="S829" t="str">
        <f t="shared" si="12"/>
        <v>HIGH</v>
      </c>
    </row>
    <row r="830" spans="1:19" x14ac:dyDescent="0.3">
      <c r="A830">
        <v>68</v>
      </c>
      <c r="B830" t="s">
        <v>15</v>
      </c>
      <c r="C830">
        <v>157494.6</v>
      </c>
      <c r="D830" t="s">
        <v>1667</v>
      </c>
      <c r="E830">
        <v>157494.6</v>
      </c>
      <c r="F830">
        <v>0</v>
      </c>
      <c r="G830" t="s">
        <v>1668</v>
      </c>
      <c r="H830">
        <v>0</v>
      </c>
      <c r="I830">
        <v>0</v>
      </c>
      <c r="J830">
        <v>1</v>
      </c>
      <c r="K830">
        <v>0</v>
      </c>
      <c r="L830">
        <v>20</v>
      </c>
      <c r="M830">
        <v>0</v>
      </c>
      <c r="N830">
        <v>1</v>
      </c>
      <c r="O830">
        <v>157494.6</v>
      </c>
      <c r="P830">
        <f>IF(C830&gt;=200000,5,IF(C830&gt;=100000,4,IF(C830&gt;=50000,3,IF(C830&gt;=10000,2,1))))</f>
        <v>4</v>
      </c>
      <c r="Q830">
        <f>IF(B830="TRANSFER",5,IF(B830="CASH_OUT",4,IF(B830="DEBIT",2,1)))</f>
        <v>5</v>
      </c>
      <c r="R830">
        <f>(P830*0.5)+(Q830*0.3)+(N830*0.1)+(M830*0.1)</f>
        <v>3.6</v>
      </c>
      <c r="S830" t="str">
        <f t="shared" si="12"/>
        <v>HIGH</v>
      </c>
    </row>
    <row r="831" spans="1:19" x14ac:dyDescent="0.3">
      <c r="A831">
        <v>68</v>
      </c>
      <c r="B831" t="s">
        <v>18</v>
      </c>
      <c r="C831">
        <v>157494.6</v>
      </c>
      <c r="D831" t="s">
        <v>1669</v>
      </c>
      <c r="E831">
        <v>157494.6</v>
      </c>
      <c r="F831">
        <v>0</v>
      </c>
      <c r="G831" t="s">
        <v>1670</v>
      </c>
      <c r="H831">
        <v>509029.31</v>
      </c>
      <c r="I831">
        <v>666523.92000000004</v>
      </c>
      <c r="J831">
        <v>1</v>
      </c>
      <c r="K831">
        <v>0</v>
      </c>
      <c r="L831">
        <v>20</v>
      </c>
      <c r="M831">
        <v>0</v>
      </c>
      <c r="N831">
        <v>1</v>
      </c>
      <c r="O831">
        <v>157494.6</v>
      </c>
      <c r="P831">
        <f>IF(C831&gt;=200000,5,IF(C831&gt;=100000,4,IF(C831&gt;=50000,3,IF(C831&gt;=10000,2,1))))</f>
        <v>4</v>
      </c>
      <c r="Q831">
        <f>IF(B831="TRANSFER",5,IF(B831="CASH_OUT",4,IF(B831="DEBIT",2,1)))</f>
        <v>4</v>
      </c>
      <c r="R831">
        <f>(P831*0.5)+(Q831*0.3)+(N831*0.1)+(M831*0.1)</f>
        <v>3.3000000000000003</v>
      </c>
      <c r="S831" t="str">
        <f t="shared" si="12"/>
        <v>HIGH</v>
      </c>
    </row>
    <row r="832" spans="1:19" x14ac:dyDescent="0.3">
      <c r="A832">
        <v>69</v>
      </c>
      <c r="B832" t="s">
        <v>15</v>
      </c>
      <c r="C832">
        <v>19776.71</v>
      </c>
      <c r="D832" t="s">
        <v>1671</v>
      </c>
      <c r="E832">
        <v>19776.71</v>
      </c>
      <c r="F832">
        <v>0</v>
      </c>
      <c r="G832" t="s">
        <v>1672</v>
      </c>
      <c r="H832">
        <v>0</v>
      </c>
      <c r="I832">
        <v>0</v>
      </c>
      <c r="J832">
        <v>1</v>
      </c>
      <c r="K832">
        <v>0</v>
      </c>
      <c r="L832">
        <v>21</v>
      </c>
      <c r="M832">
        <v>0</v>
      </c>
      <c r="N832">
        <v>1</v>
      </c>
      <c r="O832">
        <v>19776.71</v>
      </c>
      <c r="P832">
        <f>IF(C832&gt;=200000,5,IF(C832&gt;=100000,4,IF(C832&gt;=50000,3,IF(C832&gt;=10000,2,1))))</f>
        <v>2</v>
      </c>
      <c r="Q832">
        <f>IF(B832="TRANSFER",5,IF(B832="CASH_OUT",4,IF(B832="DEBIT",2,1)))</f>
        <v>5</v>
      </c>
      <c r="R832">
        <f>(P832*0.5)+(Q832*0.3)+(N832*0.1)+(M832*0.1)</f>
        <v>2.6</v>
      </c>
      <c r="S832" t="str">
        <f t="shared" si="12"/>
        <v>MEDIUM</v>
      </c>
    </row>
    <row r="833" spans="1:19" x14ac:dyDescent="0.3">
      <c r="A833">
        <v>69</v>
      </c>
      <c r="B833" t="s">
        <v>18</v>
      </c>
      <c r="C833">
        <v>19776.71</v>
      </c>
      <c r="D833" t="s">
        <v>1673</v>
      </c>
      <c r="E833">
        <v>19776.71</v>
      </c>
      <c r="F833">
        <v>0</v>
      </c>
      <c r="G833" t="s">
        <v>1674</v>
      </c>
      <c r="H833">
        <v>1138941.53</v>
      </c>
      <c r="I833">
        <v>1158718.24</v>
      </c>
      <c r="J833">
        <v>1</v>
      </c>
      <c r="K833">
        <v>0</v>
      </c>
      <c r="L833">
        <v>21</v>
      </c>
      <c r="M833">
        <v>0</v>
      </c>
      <c r="N833">
        <v>1</v>
      </c>
      <c r="O833">
        <v>19776.71</v>
      </c>
      <c r="P833">
        <f>IF(C833&gt;=200000,5,IF(C833&gt;=100000,4,IF(C833&gt;=50000,3,IF(C833&gt;=10000,2,1))))</f>
        <v>2</v>
      </c>
      <c r="Q833">
        <f>IF(B833="TRANSFER",5,IF(B833="CASH_OUT",4,IF(B833="DEBIT",2,1)))</f>
        <v>4</v>
      </c>
      <c r="R833">
        <f>(P833*0.5)+(Q833*0.3)+(N833*0.1)+(M833*0.1)</f>
        <v>2.3000000000000003</v>
      </c>
      <c r="S833" t="str">
        <f t="shared" si="12"/>
        <v>MEDIUM</v>
      </c>
    </row>
    <row r="834" spans="1:19" x14ac:dyDescent="0.3">
      <c r="A834">
        <v>69</v>
      </c>
      <c r="B834" t="s">
        <v>15</v>
      </c>
      <c r="C834">
        <v>271731.05</v>
      </c>
      <c r="D834" t="s">
        <v>1675</v>
      </c>
      <c r="E834">
        <v>271731.05</v>
      </c>
      <c r="F834">
        <v>0</v>
      </c>
      <c r="G834" t="s">
        <v>1676</v>
      </c>
      <c r="H834">
        <v>0</v>
      </c>
      <c r="I834">
        <v>0</v>
      </c>
      <c r="J834">
        <v>1</v>
      </c>
      <c r="K834">
        <v>0</v>
      </c>
      <c r="L834">
        <v>21</v>
      </c>
      <c r="M834">
        <v>0</v>
      </c>
      <c r="N834">
        <v>1</v>
      </c>
      <c r="O834">
        <v>271731.05</v>
      </c>
      <c r="P834">
        <f>IF(C834&gt;=200000,5,IF(C834&gt;=100000,4,IF(C834&gt;=50000,3,IF(C834&gt;=10000,2,1))))</f>
        <v>5</v>
      </c>
      <c r="Q834">
        <f>IF(B834="TRANSFER",5,IF(B834="CASH_OUT",4,IF(B834="DEBIT",2,1)))</f>
        <v>5</v>
      </c>
      <c r="R834">
        <f>(P834*0.5)+(Q834*0.3)+(N834*0.1)+(M834*0.1)</f>
        <v>4.0999999999999996</v>
      </c>
      <c r="S834" t="str">
        <f t="shared" si="12"/>
        <v>HIGH</v>
      </c>
    </row>
    <row r="835" spans="1:19" x14ac:dyDescent="0.3">
      <c r="A835">
        <v>69</v>
      </c>
      <c r="B835" t="s">
        <v>18</v>
      </c>
      <c r="C835">
        <v>271731.05</v>
      </c>
      <c r="D835" t="s">
        <v>1677</v>
      </c>
      <c r="E835">
        <v>271731.05</v>
      </c>
      <c r="F835">
        <v>0</v>
      </c>
      <c r="G835" t="s">
        <v>1678</v>
      </c>
      <c r="H835">
        <v>0</v>
      </c>
      <c r="I835">
        <v>271731.05</v>
      </c>
      <c r="J835">
        <v>1</v>
      </c>
      <c r="K835">
        <v>0</v>
      </c>
      <c r="L835">
        <v>21</v>
      </c>
      <c r="M835">
        <v>0</v>
      </c>
      <c r="N835">
        <v>1</v>
      </c>
      <c r="O835">
        <v>271731.05</v>
      </c>
      <c r="P835">
        <f>IF(C835&gt;=200000,5,IF(C835&gt;=100000,4,IF(C835&gt;=50000,3,IF(C835&gt;=10000,2,1))))</f>
        <v>5</v>
      </c>
      <c r="Q835">
        <f>IF(B835="TRANSFER",5,IF(B835="CASH_OUT",4,IF(B835="DEBIT",2,1)))</f>
        <v>4</v>
      </c>
      <c r="R835">
        <f>(P835*0.5)+(Q835*0.3)+(N835*0.1)+(M835*0.1)</f>
        <v>3.8000000000000003</v>
      </c>
      <c r="S835" t="str">
        <f t="shared" ref="S835:S898" si="13">IF(R835&gt;=3,"HIGH",IF(R835&gt;=2,"MEDIUM","LOW"))</f>
        <v>HIGH</v>
      </c>
    </row>
    <row r="836" spans="1:19" x14ac:dyDescent="0.3">
      <c r="A836">
        <v>69</v>
      </c>
      <c r="B836" t="s">
        <v>15</v>
      </c>
      <c r="C836">
        <v>7728992.5599999996</v>
      </c>
      <c r="D836" t="s">
        <v>1679</v>
      </c>
      <c r="E836">
        <v>7728992.5599999996</v>
      </c>
      <c r="F836">
        <v>0</v>
      </c>
      <c r="G836" t="s">
        <v>1680</v>
      </c>
      <c r="H836">
        <v>0</v>
      </c>
      <c r="I836">
        <v>0</v>
      </c>
      <c r="J836">
        <v>1</v>
      </c>
      <c r="K836">
        <v>0</v>
      </c>
      <c r="L836">
        <v>21</v>
      </c>
      <c r="M836">
        <v>0</v>
      </c>
      <c r="N836">
        <v>1</v>
      </c>
      <c r="O836">
        <v>7728992.5599999996</v>
      </c>
      <c r="P836">
        <f>IF(C836&gt;=200000,5,IF(C836&gt;=100000,4,IF(C836&gt;=50000,3,IF(C836&gt;=10000,2,1))))</f>
        <v>5</v>
      </c>
      <c r="Q836">
        <f>IF(B836="TRANSFER",5,IF(B836="CASH_OUT",4,IF(B836="DEBIT",2,1)))</f>
        <v>5</v>
      </c>
      <c r="R836">
        <f>(P836*0.5)+(Q836*0.3)+(N836*0.1)+(M836*0.1)</f>
        <v>4.0999999999999996</v>
      </c>
      <c r="S836" t="str">
        <f t="shared" si="13"/>
        <v>HIGH</v>
      </c>
    </row>
    <row r="837" spans="1:19" x14ac:dyDescent="0.3">
      <c r="A837">
        <v>69</v>
      </c>
      <c r="B837" t="s">
        <v>18</v>
      </c>
      <c r="C837">
        <v>7728992.5599999996</v>
      </c>
      <c r="D837" t="s">
        <v>1681</v>
      </c>
      <c r="E837">
        <v>7728992.5599999996</v>
      </c>
      <c r="F837">
        <v>0</v>
      </c>
      <c r="G837" t="s">
        <v>1682</v>
      </c>
      <c r="H837">
        <v>340622.45</v>
      </c>
      <c r="I837">
        <v>8069615</v>
      </c>
      <c r="J837">
        <v>1</v>
      </c>
      <c r="K837">
        <v>0</v>
      </c>
      <c r="L837">
        <v>21</v>
      </c>
      <c r="M837">
        <v>0</v>
      </c>
      <c r="N837">
        <v>1</v>
      </c>
      <c r="O837">
        <v>7728992.5599999996</v>
      </c>
      <c r="P837">
        <f>IF(C837&gt;=200000,5,IF(C837&gt;=100000,4,IF(C837&gt;=50000,3,IF(C837&gt;=10000,2,1))))</f>
        <v>5</v>
      </c>
      <c r="Q837">
        <f>IF(B837="TRANSFER",5,IF(B837="CASH_OUT",4,IF(B837="DEBIT",2,1)))</f>
        <v>4</v>
      </c>
      <c r="R837">
        <f>(P837*0.5)+(Q837*0.3)+(N837*0.1)+(M837*0.1)</f>
        <v>3.8000000000000003</v>
      </c>
      <c r="S837" t="str">
        <f t="shared" si="13"/>
        <v>HIGH</v>
      </c>
    </row>
    <row r="838" spans="1:19" x14ac:dyDescent="0.3">
      <c r="A838">
        <v>69</v>
      </c>
      <c r="B838" t="s">
        <v>15</v>
      </c>
      <c r="C838">
        <v>175328.85</v>
      </c>
      <c r="D838" t="s">
        <v>1683</v>
      </c>
      <c r="E838">
        <v>175328.85</v>
      </c>
      <c r="F838">
        <v>0</v>
      </c>
      <c r="G838" t="s">
        <v>1684</v>
      </c>
      <c r="H838">
        <v>0</v>
      </c>
      <c r="I838">
        <v>0</v>
      </c>
      <c r="J838">
        <v>1</v>
      </c>
      <c r="K838">
        <v>0</v>
      </c>
      <c r="L838">
        <v>21</v>
      </c>
      <c r="M838">
        <v>0</v>
      </c>
      <c r="N838">
        <v>1</v>
      </c>
      <c r="O838">
        <v>175328.85</v>
      </c>
      <c r="P838">
        <f>IF(C838&gt;=200000,5,IF(C838&gt;=100000,4,IF(C838&gt;=50000,3,IF(C838&gt;=10000,2,1))))</f>
        <v>4</v>
      </c>
      <c r="Q838">
        <f>IF(B838="TRANSFER",5,IF(B838="CASH_OUT",4,IF(B838="DEBIT",2,1)))</f>
        <v>5</v>
      </c>
      <c r="R838">
        <f>(P838*0.5)+(Q838*0.3)+(N838*0.1)+(M838*0.1)</f>
        <v>3.6</v>
      </c>
      <c r="S838" t="str">
        <f t="shared" si="13"/>
        <v>HIGH</v>
      </c>
    </row>
    <row r="839" spans="1:19" x14ac:dyDescent="0.3">
      <c r="A839">
        <v>69</v>
      </c>
      <c r="B839" t="s">
        <v>18</v>
      </c>
      <c r="C839">
        <v>175328.85</v>
      </c>
      <c r="D839" t="s">
        <v>1685</v>
      </c>
      <c r="E839">
        <v>175328.85</v>
      </c>
      <c r="F839">
        <v>0</v>
      </c>
      <c r="G839" t="s">
        <v>1686</v>
      </c>
      <c r="H839">
        <v>110129.95</v>
      </c>
      <c r="I839">
        <v>285458.8</v>
      </c>
      <c r="J839">
        <v>1</v>
      </c>
      <c r="K839">
        <v>0</v>
      </c>
      <c r="L839">
        <v>21</v>
      </c>
      <c r="M839">
        <v>0</v>
      </c>
      <c r="N839">
        <v>1</v>
      </c>
      <c r="O839">
        <v>175328.85</v>
      </c>
      <c r="P839">
        <f>IF(C839&gt;=200000,5,IF(C839&gt;=100000,4,IF(C839&gt;=50000,3,IF(C839&gt;=10000,2,1))))</f>
        <v>4</v>
      </c>
      <c r="Q839">
        <f>IF(B839="TRANSFER",5,IF(B839="CASH_OUT",4,IF(B839="DEBIT",2,1)))</f>
        <v>4</v>
      </c>
      <c r="R839">
        <f>(P839*0.5)+(Q839*0.3)+(N839*0.1)+(M839*0.1)</f>
        <v>3.3000000000000003</v>
      </c>
      <c r="S839" t="str">
        <f t="shared" si="13"/>
        <v>HIGH</v>
      </c>
    </row>
    <row r="840" spans="1:19" x14ac:dyDescent="0.3">
      <c r="A840">
        <v>69</v>
      </c>
      <c r="B840" t="s">
        <v>15</v>
      </c>
      <c r="C840">
        <v>353313.55</v>
      </c>
      <c r="D840" t="s">
        <v>1687</v>
      </c>
      <c r="E840">
        <v>353313.55</v>
      </c>
      <c r="F840">
        <v>0</v>
      </c>
      <c r="G840" t="s">
        <v>1688</v>
      </c>
      <c r="H840">
        <v>0</v>
      </c>
      <c r="I840">
        <v>0</v>
      </c>
      <c r="J840">
        <v>1</v>
      </c>
      <c r="K840">
        <v>0</v>
      </c>
      <c r="L840">
        <v>21</v>
      </c>
      <c r="M840">
        <v>0</v>
      </c>
      <c r="N840">
        <v>1</v>
      </c>
      <c r="O840">
        <v>353313.55</v>
      </c>
      <c r="P840">
        <f>IF(C840&gt;=200000,5,IF(C840&gt;=100000,4,IF(C840&gt;=50000,3,IF(C840&gt;=10000,2,1))))</f>
        <v>5</v>
      </c>
      <c r="Q840">
        <f>IF(B840="TRANSFER",5,IF(B840="CASH_OUT",4,IF(B840="DEBIT",2,1)))</f>
        <v>5</v>
      </c>
      <c r="R840">
        <f>(P840*0.5)+(Q840*0.3)+(N840*0.1)+(M840*0.1)</f>
        <v>4.0999999999999996</v>
      </c>
      <c r="S840" t="str">
        <f t="shared" si="13"/>
        <v>HIGH</v>
      </c>
    </row>
    <row r="841" spans="1:19" x14ac:dyDescent="0.3">
      <c r="A841">
        <v>69</v>
      </c>
      <c r="B841" t="s">
        <v>18</v>
      </c>
      <c r="C841">
        <v>353313.55</v>
      </c>
      <c r="D841" t="s">
        <v>1689</v>
      </c>
      <c r="E841">
        <v>353313.55</v>
      </c>
      <c r="F841">
        <v>0</v>
      </c>
      <c r="G841" t="s">
        <v>1690</v>
      </c>
      <c r="H841">
        <v>2808260.05</v>
      </c>
      <c r="I841">
        <v>3161573.6</v>
      </c>
      <c r="J841">
        <v>1</v>
      </c>
      <c r="K841">
        <v>0</v>
      </c>
      <c r="L841">
        <v>21</v>
      </c>
      <c r="M841">
        <v>0</v>
      </c>
      <c r="N841">
        <v>1</v>
      </c>
      <c r="O841">
        <v>353313.55</v>
      </c>
      <c r="P841">
        <f>IF(C841&gt;=200000,5,IF(C841&gt;=100000,4,IF(C841&gt;=50000,3,IF(C841&gt;=10000,2,1))))</f>
        <v>5</v>
      </c>
      <c r="Q841">
        <f>IF(B841="TRANSFER",5,IF(B841="CASH_OUT",4,IF(B841="DEBIT",2,1)))</f>
        <v>4</v>
      </c>
      <c r="R841">
        <f>(P841*0.5)+(Q841*0.3)+(N841*0.1)+(M841*0.1)</f>
        <v>3.8000000000000003</v>
      </c>
      <c r="S841" t="str">
        <f t="shared" si="13"/>
        <v>HIGH</v>
      </c>
    </row>
    <row r="842" spans="1:19" x14ac:dyDescent="0.3">
      <c r="A842">
        <v>69</v>
      </c>
      <c r="B842" t="s">
        <v>15</v>
      </c>
      <c r="C842">
        <v>582571.87</v>
      </c>
      <c r="D842" t="s">
        <v>1691</v>
      </c>
      <c r="E842">
        <v>582571.87</v>
      </c>
      <c r="F842">
        <v>0</v>
      </c>
      <c r="G842" t="s">
        <v>1692</v>
      </c>
      <c r="H842">
        <v>0</v>
      </c>
      <c r="I842">
        <v>0</v>
      </c>
      <c r="J842">
        <v>1</v>
      </c>
      <c r="K842">
        <v>0</v>
      </c>
      <c r="L842">
        <v>21</v>
      </c>
      <c r="M842">
        <v>0</v>
      </c>
      <c r="N842">
        <v>1</v>
      </c>
      <c r="O842">
        <v>582571.87</v>
      </c>
      <c r="P842">
        <f>IF(C842&gt;=200000,5,IF(C842&gt;=100000,4,IF(C842&gt;=50000,3,IF(C842&gt;=10000,2,1))))</f>
        <v>5</v>
      </c>
      <c r="Q842">
        <f>IF(B842="TRANSFER",5,IF(B842="CASH_OUT",4,IF(B842="DEBIT",2,1)))</f>
        <v>5</v>
      </c>
      <c r="R842">
        <f>(P842*0.5)+(Q842*0.3)+(N842*0.1)+(M842*0.1)</f>
        <v>4.0999999999999996</v>
      </c>
      <c r="S842" t="str">
        <f t="shared" si="13"/>
        <v>HIGH</v>
      </c>
    </row>
    <row r="843" spans="1:19" x14ac:dyDescent="0.3">
      <c r="A843">
        <v>69</v>
      </c>
      <c r="B843" t="s">
        <v>18</v>
      </c>
      <c r="C843">
        <v>582571.87</v>
      </c>
      <c r="D843" t="s">
        <v>1693</v>
      </c>
      <c r="E843">
        <v>582571.87</v>
      </c>
      <c r="F843">
        <v>0</v>
      </c>
      <c r="G843" t="s">
        <v>1694</v>
      </c>
      <c r="H843">
        <v>0</v>
      </c>
      <c r="I843">
        <v>582571.87</v>
      </c>
      <c r="J843">
        <v>1</v>
      </c>
      <c r="K843">
        <v>0</v>
      </c>
      <c r="L843">
        <v>21</v>
      </c>
      <c r="M843">
        <v>0</v>
      </c>
      <c r="N843">
        <v>1</v>
      </c>
      <c r="O843">
        <v>582571.87</v>
      </c>
      <c r="P843">
        <f>IF(C843&gt;=200000,5,IF(C843&gt;=100000,4,IF(C843&gt;=50000,3,IF(C843&gt;=10000,2,1))))</f>
        <v>5</v>
      </c>
      <c r="Q843">
        <f>IF(B843="TRANSFER",5,IF(B843="CASH_OUT",4,IF(B843="DEBIT",2,1)))</f>
        <v>4</v>
      </c>
      <c r="R843">
        <f>(P843*0.5)+(Q843*0.3)+(N843*0.1)+(M843*0.1)</f>
        <v>3.8000000000000003</v>
      </c>
      <c r="S843" t="str">
        <f t="shared" si="13"/>
        <v>HIGH</v>
      </c>
    </row>
    <row r="844" spans="1:19" x14ac:dyDescent="0.3">
      <c r="A844">
        <v>69</v>
      </c>
      <c r="B844" t="s">
        <v>15</v>
      </c>
      <c r="C844">
        <v>2960254.17</v>
      </c>
      <c r="D844" t="s">
        <v>1695</v>
      </c>
      <c r="E844">
        <v>2960254.17</v>
      </c>
      <c r="F844">
        <v>0</v>
      </c>
      <c r="G844" t="s">
        <v>1696</v>
      </c>
      <c r="H844">
        <v>0</v>
      </c>
      <c r="I844">
        <v>0</v>
      </c>
      <c r="J844">
        <v>1</v>
      </c>
      <c r="K844">
        <v>0</v>
      </c>
      <c r="L844">
        <v>21</v>
      </c>
      <c r="M844">
        <v>0</v>
      </c>
      <c r="N844">
        <v>1</v>
      </c>
      <c r="O844">
        <v>2960254.17</v>
      </c>
      <c r="P844">
        <f>IF(C844&gt;=200000,5,IF(C844&gt;=100000,4,IF(C844&gt;=50000,3,IF(C844&gt;=10000,2,1))))</f>
        <v>5</v>
      </c>
      <c r="Q844">
        <f>IF(B844="TRANSFER",5,IF(B844="CASH_OUT",4,IF(B844="DEBIT",2,1)))</f>
        <v>5</v>
      </c>
      <c r="R844">
        <f>(P844*0.5)+(Q844*0.3)+(N844*0.1)+(M844*0.1)</f>
        <v>4.0999999999999996</v>
      </c>
      <c r="S844" t="str">
        <f t="shared" si="13"/>
        <v>HIGH</v>
      </c>
    </row>
    <row r="845" spans="1:19" x14ac:dyDescent="0.3">
      <c r="A845">
        <v>69</v>
      </c>
      <c r="B845" t="s">
        <v>18</v>
      </c>
      <c r="C845">
        <v>2960254.17</v>
      </c>
      <c r="D845" t="s">
        <v>1697</v>
      </c>
      <c r="E845">
        <v>2960254.17</v>
      </c>
      <c r="F845">
        <v>0</v>
      </c>
      <c r="G845" t="s">
        <v>1698</v>
      </c>
      <c r="H845">
        <v>620822.89</v>
      </c>
      <c r="I845">
        <v>3581077.07</v>
      </c>
      <c r="J845">
        <v>1</v>
      </c>
      <c r="K845">
        <v>0</v>
      </c>
      <c r="L845">
        <v>21</v>
      </c>
      <c r="M845">
        <v>0</v>
      </c>
      <c r="N845">
        <v>1</v>
      </c>
      <c r="O845">
        <v>2960254.17</v>
      </c>
      <c r="P845">
        <f>IF(C845&gt;=200000,5,IF(C845&gt;=100000,4,IF(C845&gt;=50000,3,IF(C845&gt;=10000,2,1))))</f>
        <v>5</v>
      </c>
      <c r="Q845">
        <f>IF(B845="TRANSFER",5,IF(B845="CASH_OUT",4,IF(B845="DEBIT",2,1)))</f>
        <v>4</v>
      </c>
      <c r="R845">
        <f>(P845*0.5)+(Q845*0.3)+(N845*0.1)+(M845*0.1)</f>
        <v>3.8000000000000003</v>
      </c>
      <c r="S845" t="str">
        <f t="shared" si="13"/>
        <v>HIGH</v>
      </c>
    </row>
    <row r="846" spans="1:19" x14ac:dyDescent="0.3">
      <c r="A846">
        <v>69</v>
      </c>
      <c r="B846" t="s">
        <v>15</v>
      </c>
      <c r="C846">
        <v>5521483.54</v>
      </c>
      <c r="D846" t="s">
        <v>1699</v>
      </c>
      <c r="E846">
        <v>5521483.54</v>
      </c>
      <c r="F846">
        <v>0</v>
      </c>
      <c r="G846" t="s">
        <v>1700</v>
      </c>
      <c r="H846">
        <v>0</v>
      </c>
      <c r="I846">
        <v>0</v>
      </c>
      <c r="J846">
        <v>1</v>
      </c>
      <c r="K846">
        <v>0</v>
      </c>
      <c r="L846">
        <v>21</v>
      </c>
      <c r="M846">
        <v>0</v>
      </c>
      <c r="N846">
        <v>1</v>
      </c>
      <c r="O846">
        <v>5521483.54</v>
      </c>
      <c r="P846">
        <f>IF(C846&gt;=200000,5,IF(C846&gt;=100000,4,IF(C846&gt;=50000,3,IF(C846&gt;=10000,2,1))))</f>
        <v>5</v>
      </c>
      <c r="Q846">
        <f>IF(B846="TRANSFER",5,IF(B846="CASH_OUT",4,IF(B846="DEBIT",2,1)))</f>
        <v>5</v>
      </c>
      <c r="R846">
        <f>(P846*0.5)+(Q846*0.3)+(N846*0.1)+(M846*0.1)</f>
        <v>4.0999999999999996</v>
      </c>
      <c r="S846" t="str">
        <f t="shared" si="13"/>
        <v>HIGH</v>
      </c>
    </row>
    <row r="847" spans="1:19" x14ac:dyDescent="0.3">
      <c r="A847">
        <v>69</v>
      </c>
      <c r="B847" t="s">
        <v>18</v>
      </c>
      <c r="C847">
        <v>5521483.54</v>
      </c>
      <c r="D847" t="s">
        <v>1701</v>
      </c>
      <c r="E847">
        <v>5521483.54</v>
      </c>
      <c r="F847">
        <v>0</v>
      </c>
      <c r="G847" t="s">
        <v>1702</v>
      </c>
      <c r="H847">
        <v>5527212.3399999999</v>
      </c>
      <c r="I847">
        <v>11000000</v>
      </c>
      <c r="J847">
        <v>1</v>
      </c>
      <c r="K847">
        <v>0</v>
      </c>
      <c r="L847">
        <v>21</v>
      </c>
      <c r="M847">
        <v>0</v>
      </c>
      <c r="N847">
        <v>1</v>
      </c>
      <c r="O847">
        <v>5521483.54</v>
      </c>
      <c r="P847">
        <f>IF(C847&gt;=200000,5,IF(C847&gt;=100000,4,IF(C847&gt;=50000,3,IF(C847&gt;=10000,2,1))))</f>
        <v>5</v>
      </c>
      <c r="Q847">
        <f>IF(B847="TRANSFER",5,IF(B847="CASH_OUT",4,IF(B847="DEBIT",2,1)))</f>
        <v>4</v>
      </c>
      <c r="R847">
        <f>(P847*0.5)+(Q847*0.3)+(N847*0.1)+(M847*0.1)</f>
        <v>3.8000000000000003</v>
      </c>
      <c r="S847" t="str">
        <f t="shared" si="13"/>
        <v>HIGH</v>
      </c>
    </row>
    <row r="848" spans="1:19" x14ac:dyDescent="0.3">
      <c r="A848">
        <v>69</v>
      </c>
      <c r="B848" t="s">
        <v>15</v>
      </c>
      <c r="C848">
        <v>2147778.33</v>
      </c>
      <c r="D848" t="s">
        <v>1703</v>
      </c>
      <c r="E848">
        <v>2147778.33</v>
      </c>
      <c r="F848">
        <v>0</v>
      </c>
      <c r="G848" t="s">
        <v>1704</v>
      </c>
      <c r="H848">
        <v>0</v>
      </c>
      <c r="I848">
        <v>0</v>
      </c>
      <c r="J848">
        <v>1</v>
      </c>
      <c r="K848">
        <v>0</v>
      </c>
      <c r="L848">
        <v>21</v>
      </c>
      <c r="M848">
        <v>0</v>
      </c>
      <c r="N848">
        <v>1</v>
      </c>
      <c r="O848">
        <v>2147778.33</v>
      </c>
      <c r="P848">
        <f>IF(C848&gt;=200000,5,IF(C848&gt;=100000,4,IF(C848&gt;=50000,3,IF(C848&gt;=10000,2,1))))</f>
        <v>5</v>
      </c>
      <c r="Q848">
        <f>IF(B848="TRANSFER",5,IF(B848="CASH_OUT",4,IF(B848="DEBIT",2,1)))</f>
        <v>5</v>
      </c>
      <c r="R848">
        <f>(P848*0.5)+(Q848*0.3)+(N848*0.1)+(M848*0.1)</f>
        <v>4.0999999999999996</v>
      </c>
      <c r="S848" t="str">
        <f t="shared" si="13"/>
        <v>HIGH</v>
      </c>
    </row>
    <row r="849" spans="1:19" x14ac:dyDescent="0.3">
      <c r="A849">
        <v>69</v>
      </c>
      <c r="B849" t="s">
        <v>18</v>
      </c>
      <c r="C849">
        <v>2147778.33</v>
      </c>
      <c r="D849" t="s">
        <v>1705</v>
      </c>
      <c r="E849">
        <v>2147778.33</v>
      </c>
      <c r="F849">
        <v>0</v>
      </c>
      <c r="G849" t="s">
        <v>1706</v>
      </c>
      <c r="H849">
        <v>0</v>
      </c>
      <c r="I849">
        <v>2147778.33</v>
      </c>
      <c r="J849">
        <v>1</v>
      </c>
      <c r="K849">
        <v>0</v>
      </c>
      <c r="L849">
        <v>21</v>
      </c>
      <c r="M849">
        <v>0</v>
      </c>
      <c r="N849">
        <v>1</v>
      </c>
      <c r="O849">
        <v>2147778.33</v>
      </c>
      <c r="P849">
        <f>IF(C849&gt;=200000,5,IF(C849&gt;=100000,4,IF(C849&gt;=50000,3,IF(C849&gt;=10000,2,1))))</f>
        <v>5</v>
      </c>
      <c r="Q849">
        <f>IF(B849="TRANSFER",5,IF(B849="CASH_OUT",4,IF(B849="DEBIT",2,1)))</f>
        <v>4</v>
      </c>
      <c r="R849">
        <f>(P849*0.5)+(Q849*0.3)+(N849*0.1)+(M849*0.1)</f>
        <v>3.8000000000000003</v>
      </c>
      <c r="S849" t="str">
        <f t="shared" si="13"/>
        <v>HIGH</v>
      </c>
    </row>
    <row r="850" spans="1:19" x14ac:dyDescent="0.3">
      <c r="A850">
        <v>69</v>
      </c>
      <c r="B850" t="s">
        <v>15</v>
      </c>
      <c r="C850">
        <v>967954.01</v>
      </c>
      <c r="D850" t="s">
        <v>1707</v>
      </c>
      <c r="E850">
        <v>967954.01</v>
      </c>
      <c r="F850">
        <v>0</v>
      </c>
      <c r="G850" t="s">
        <v>1708</v>
      </c>
      <c r="H850">
        <v>0</v>
      </c>
      <c r="I850">
        <v>0</v>
      </c>
      <c r="J850">
        <v>1</v>
      </c>
      <c r="K850">
        <v>0</v>
      </c>
      <c r="L850">
        <v>21</v>
      </c>
      <c r="M850">
        <v>0</v>
      </c>
      <c r="N850">
        <v>1</v>
      </c>
      <c r="O850">
        <v>967954.01</v>
      </c>
      <c r="P850">
        <f>IF(C850&gt;=200000,5,IF(C850&gt;=100000,4,IF(C850&gt;=50000,3,IF(C850&gt;=10000,2,1))))</f>
        <v>5</v>
      </c>
      <c r="Q850">
        <f>IF(B850="TRANSFER",5,IF(B850="CASH_OUT",4,IF(B850="DEBIT",2,1)))</f>
        <v>5</v>
      </c>
      <c r="R850">
        <f>(P850*0.5)+(Q850*0.3)+(N850*0.1)+(M850*0.1)</f>
        <v>4.0999999999999996</v>
      </c>
      <c r="S850" t="str">
        <f t="shared" si="13"/>
        <v>HIGH</v>
      </c>
    </row>
    <row r="851" spans="1:19" x14ac:dyDescent="0.3">
      <c r="A851">
        <v>69</v>
      </c>
      <c r="B851" t="s">
        <v>18</v>
      </c>
      <c r="C851">
        <v>967954.01</v>
      </c>
      <c r="D851" t="s">
        <v>1709</v>
      </c>
      <c r="E851">
        <v>967954.01</v>
      </c>
      <c r="F851">
        <v>0</v>
      </c>
      <c r="G851" t="s">
        <v>1710</v>
      </c>
      <c r="H851">
        <v>0</v>
      </c>
      <c r="I851">
        <v>967954.01</v>
      </c>
      <c r="J851">
        <v>1</v>
      </c>
      <c r="K851">
        <v>0</v>
      </c>
      <c r="L851">
        <v>21</v>
      </c>
      <c r="M851">
        <v>0</v>
      </c>
      <c r="N851">
        <v>1</v>
      </c>
      <c r="O851">
        <v>967954.01</v>
      </c>
      <c r="P851">
        <f>IF(C851&gt;=200000,5,IF(C851&gt;=100000,4,IF(C851&gt;=50000,3,IF(C851&gt;=10000,2,1))))</f>
        <v>5</v>
      </c>
      <c r="Q851">
        <f>IF(B851="TRANSFER",5,IF(B851="CASH_OUT",4,IF(B851="DEBIT",2,1)))</f>
        <v>4</v>
      </c>
      <c r="R851">
        <f>(P851*0.5)+(Q851*0.3)+(N851*0.1)+(M851*0.1)</f>
        <v>3.8000000000000003</v>
      </c>
      <c r="S851" t="str">
        <f t="shared" si="13"/>
        <v>HIGH</v>
      </c>
    </row>
    <row r="852" spans="1:19" x14ac:dyDescent="0.3">
      <c r="A852">
        <v>70</v>
      </c>
      <c r="B852" t="s">
        <v>15</v>
      </c>
      <c r="C852">
        <v>266766.78000000003</v>
      </c>
      <c r="D852" t="s">
        <v>1711</v>
      </c>
      <c r="E852">
        <v>266766.78000000003</v>
      </c>
      <c r="F852">
        <v>0</v>
      </c>
      <c r="G852" t="s">
        <v>1712</v>
      </c>
      <c r="H852">
        <v>0</v>
      </c>
      <c r="I852">
        <v>0</v>
      </c>
      <c r="J852">
        <v>1</v>
      </c>
      <c r="K852">
        <v>0</v>
      </c>
      <c r="L852">
        <v>22</v>
      </c>
      <c r="M852">
        <v>0</v>
      </c>
      <c r="N852">
        <v>1</v>
      </c>
      <c r="O852">
        <v>266766.78000000003</v>
      </c>
      <c r="P852">
        <f>IF(C852&gt;=200000,5,IF(C852&gt;=100000,4,IF(C852&gt;=50000,3,IF(C852&gt;=10000,2,1))))</f>
        <v>5</v>
      </c>
      <c r="Q852">
        <f>IF(B852="TRANSFER",5,IF(B852="CASH_OUT",4,IF(B852="DEBIT",2,1)))</f>
        <v>5</v>
      </c>
      <c r="R852">
        <f>(P852*0.5)+(Q852*0.3)+(N852*0.1)+(M852*0.1)</f>
        <v>4.0999999999999996</v>
      </c>
      <c r="S852" t="str">
        <f t="shared" si="13"/>
        <v>HIGH</v>
      </c>
    </row>
    <row r="853" spans="1:19" x14ac:dyDescent="0.3">
      <c r="A853">
        <v>70</v>
      </c>
      <c r="B853" t="s">
        <v>18</v>
      </c>
      <c r="C853">
        <v>266766.78000000003</v>
      </c>
      <c r="D853" t="s">
        <v>1713</v>
      </c>
      <c r="E853">
        <v>266766.78000000003</v>
      </c>
      <c r="F853">
        <v>0</v>
      </c>
      <c r="G853" t="s">
        <v>1714</v>
      </c>
      <c r="H853">
        <v>0</v>
      </c>
      <c r="I853">
        <v>266766.78000000003</v>
      </c>
      <c r="J853">
        <v>1</v>
      </c>
      <c r="K853">
        <v>0</v>
      </c>
      <c r="L853">
        <v>22</v>
      </c>
      <c r="M853">
        <v>0</v>
      </c>
      <c r="N853">
        <v>1</v>
      </c>
      <c r="O853">
        <v>266766.78000000003</v>
      </c>
      <c r="P853">
        <f>IF(C853&gt;=200000,5,IF(C853&gt;=100000,4,IF(C853&gt;=50000,3,IF(C853&gt;=10000,2,1))))</f>
        <v>5</v>
      </c>
      <c r="Q853">
        <f>IF(B853="TRANSFER",5,IF(B853="CASH_OUT",4,IF(B853="DEBIT",2,1)))</f>
        <v>4</v>
      </c>
      <c r="R853">
        <f>(P853*0.5)+(Q853*0.3)+(N853*0.1)+(M853*0.1)</f>
        <v>3.8000000000000003</v>
      </c>
      <c r="S853" t="str">
        <f t="shared" si="13"/>
        <v>HIGH</v>
      </c>
    </row>
    <row r="854" spans="1:19" x14ac:dyDescent="0.3">
      <c r="A854">
        <v>70</v>
      </c>
      <c r="B854" t="s">
        <v>15</v>
      </c>
      <c r="C854">
        <v>1036789.41</v>
      </c>
      <c r="D854" t="s">
        <v>1715</v>
      </c>
      <c r="E854">
        <v>1036789.41</v>
      </c>
      <c r="F854">
        <v>0</v>
      </c>
      <c r="G854" t="s">
        <v>1716</v>
      </c>
      <c r="H854">
        <v>0</v>
      </c>
      <c r="I854">
        <v>0</v>
      </c>
      <c r="J854">
        <v>1</v>
      </c>
      <c r="K854">
        <v>0</v>
      </c>
      <c r="L854">
        <v>22</v>
      </c>
      <c r="M854">
        <v>0</v>
      </c>
      <c r="N854">
        <v>1</v>
      </c>
      <c r="O854">
        <v>1036789.41</v>
      </c>
      <c r="P854">
        <f>IF(C854&gt;=200000,5,IF(C854&gt;=100000,4,IF(C854&gt;=50000,3,IF(C854&gt;=10000,2,1))))</f>
        <v>5</v>
      </c>
      <c r="Q854">
        <f>IF(B854="TRANSFER",5,IF(B854="CASH_OUT",4,IF(B854="DEBIT",2,1)))</f>
        <v>5</v>
      </c>
      <c r="R854">
        <f>(P854*0.5)+(Q854*0.3)+(N854*0.1)+(M854*0.1)</f>
        <v>4.0999999999999996</v>
      </c>
      <c r="S854" t="str">
        <f t="shared" si="13"/>
        <v>HIGH</v>
      </c>
    </row>
    <row r="855" spans="1:19" x14ac:dyDescent="0.3">
      <c r="A855">
        <v>70</v>
      </c>
      <c r="B855" t="s">
        <v>18</v>
      </c>
      <c r="C855">
        <v>1036789.41</v>
      </c>
      <c r="D855" t="s">
        <v>1717</v>
      </c>
      <c r="E855">
        <v>1036789.41</v>
      </c>
      <c r="F855">
        <v>0</v>
      </c>
      <c r="G855" t="s">
        <v>1718</v>
      </c>
      <c r="H855">
        <v>523315.63</v>
      </c>
      <c r="I855">
        <v>1560105.04</v>
      </c>
      <c r="J855">
        <v>1</v>
      </c>
      <c r="K855">
        <v>0</v>
      </c>
      <c r="L855">
        <v>22</v>
      </c>
      <c r="M855">
        <v>0</v>
      </c>
      <c r="N855">
        <v>1</v>
      </c>
      <c r="O855">
        <v>1036789.41</v>
      </c>
      <c r="P855">
        <f>IF(C855&gt;=200000,5,IF(C855&gt;=100000,4,IF(C855&gt;=50000,3,IF(C855&gt;=10000,2,1))))</f>
        <v>5</v>
      </c>
      <c r="Q855">
        <f>IF(B855="TRANSFER",5,IF(B855="CASH_OUT",4,IF(B855="DEBIT",2,1)))</f>
        <v>4</v>
      </c>
      <c r="R855">
        <f>(P855*0.5)+(Q855*0.3)+(N855*0.1)+(M855*0.1)</f>
        <v>3.8000000000000003</v>
      </c>
      <c r="S855" t="str">
        <f t="shared" si="13"/>
        <v>HIGH</v>
      </c>
    </row>
    <row r="856" spans="1:19" x14ac:dyDescent="0.3">
      <c r="A856">
        <v>70</v>
      </c>
      <c r="B856" t="s">
        <v>15</v>
      </c>
      <c r="C856">
        <v>167067.78</v>
      </c>
      <c r="D856" t="s">
        <v>1719</v>
      </c>
      <c r="E856">
        <v>167067.78</v>
      </c>
      <c r="F856">
        <v>0</v>
      </c>
      <c r="G856" t="s">
        <v>1720</v>
      </c>
      <c r="H856">
        <v>0</v>
      </c>
      <c r="I856">
        <v>0</v>
      </c>
      <c r="J856">
        <v>1</v>
      </c>
      <c r="K856">
        <v>0</v>
      </c>
      <c r="L856">
        <v>22</v>
      </c>
      <c r="M856">
        <v>0</v>
      </c>
      <c r="N856">
        <v>1</v>
      </c>
      <c r="O856">
        <v>167067.78</v>
      </c>
      <c r="P856">
        <f>IF(C856&gt;=200000,5,IF(C856&gt;=100000,4,IF(C856&gt;=50000,3,IF(C856&gt;=10000,2,1))))</f>
        <v>4</v>
      </c>
      <c r="Q856">
        <f>IF(B856="TRANSFER",5,IF(B856="CASH_OUT",4,IF(B856="DEBIT",2,1)))</f>
        <v>5</v>
      </c>
      <c r="R856">
        <f>(P856*0.5)+(Q856*0.3)+(N856*0.1)+(M856*0.1)</f>
        <v>3.6</v>
      </c>
      <c r="S856" t="str">
        <f t="shared" si="13"/>
        <v>HIGH</v>
      </c>
    </row>
    <row r="857" spans="1:19" x14ac:dyDescent="0.3">
      <c r="A857">
        <v>70</v>
      </c>
      <c r="B857" t="s">
        <v>18</v>
      </c>
      <c r="C857">
        <v>167067.78</v>
      </c>
      <c r="D857" t="s">
        <v>1721</v>
      </c>
      <c r="E857">
        <v>167067.78</v>
      </c>
      <c r="F857">
        <v>0</v>
      </c>
      <c r="G857" t="s">
        <v>1722</v>
      </c>
      <c r="H857">
        <v>169160.19</v>
      </c>
      <c r="I857">
        <v>336227.97</v>
      </c>
      <c r="J857">
        <v>1</v>
      </c>
      <c r="K857">
        <v>0</v>
      </c>
      <c r="L857">
        <v>22</v>
      </c>
      <c r="M857">
        <v>0</v>
      </c>
      <c r="N857">
        <v>1</v>
      </c>
      <c r="O857">
        <v>167067.78</v>
      </c>
      <c r="P857">
        <f>IF(C857&gt;=200000,5,IF(C857&gt;=100000,4,IF(C857&gt;=50000,3,IF(C857&gt;=10000,2,1))))</f>
        <v>4</v>
      </c>
      <c r="Q857">
        <f>IF(B857="TRANSFER",5,IF(B857="CASH_OUT",4,IF(B857="DEBIT",2,1)))</f>
        <v>4</v>
      </c>
      <c r="R857">
        <f>(P857*0.5)+(Q857*0.3)+(N857*0.1)+(M857*0.1)</f>
        <v>3.3000000000000003</v>
      </c>
      <c r="S857" t="str">
        <f t="shared" si="13"/>
        <v>HIGH</v>
      </c>
    </row>
    <row r="858" spans="1:19" x14ac:dyDescent="0.3">
      <c r="A858">
        <v>71</v>
      </c>
      <c r="B858" t="s">
        <v>15</v>
      </c>
      <c r="C858">
        <v>322113.90999999997</v>
      </c>
      <c r="D858" t="s">
        <v>1723</v>
      </c>
      <c r="E858">
        <v>322113.90999999997</v>
      </c>
      <c r="F858">
        <v>0</v>
      </c>
      <c r="G858" t="s">
        <v>1724</v>
      </c>
      <c r="H858">
        <v>0</v>
      </c>
      <c r="I858">
        <v>0</v>
      </c>
      <c r="J858">
        <v>1</v>
      </c>
      <c r="K858">
        <v>0</v>
      </c>
      <c r="L858">
        <v>23</v>
      </c>
      <c r="M858">
        <v>0</v>
      </c>
      <c r="N858">
        <v>1</v>
      </c>
      <c r="O858">
        <v>322113.90999999997</v>
      </c>
      <c r="P858">
        <f>IF(C858&gt;=200000,5,IF(C858&gt;=100000,4,IF(C858&gt;=50000,3,IF(C858&gt;=10000,2,1))))</f>
        <v>5</v>
      </c>
      <c r="Q858">
        <f>IF(B858="TRANSFER",5,IF(B858="CASH_OUT",4,IF(B858="DEBIT",2,1)))</f>
        <v>5</v>
      </c>
      <c r="R858">
        <f>(P858*0.5)+(Q858*0.3)+(N858*0.1)+(M858*0.1)</f>
        <v>4.0999999999999996</v>
      </c>
      <c r="S858" t="str">
        <f t="shared" si="13"/>
        <v>HIGH</v>
      </c>
    </row>
    <row r="859" spans="1:19" x14ac:dyDescent="0.3">
      <c r="A859">
        <v>71</v>
      </c>
      <c r="B859" t="s">
        <v>18</v>
      </c>
      <c r="C859">
        <v>322113.90999999997</v>
      </c>
      <c r="D859" t="s">
        <v>1725</v>
      </c>
      <c r="E859">
        <v>322113.90999999997</v>
      </c>
      <c r="F859">
        <v>0</v>
      </c>
      <c r="G859" t="s">
        <v>1726</v>
      </c>
      <c r="H859">
        <v>0</v>
      </c>
      <c r="I859">
        <v>322113.90999999997</v>
      </c>
      <c r="J859">
        <v>1</v>
      </c>
      <c r="K859">
        <v>0</v>
      </c>
      <c r="L859">
        <v>23</v>
      </c>
      <c r="M859">
        <v>0</v>
      </c>
      <c r="N859">
        <v>1</v>
      </c>
      <c r="O859">
        <v>322113.90999999997</v>
      </c>
      <c r="P859">
        <f>IF(C859&gt;=200000,5,IF(C859&gt;=100000,4,IF(C859&gt;=50000,3,IF(C859&gt;=10000,2,1))))</f>
        <v>5</v>
      </c>
      <c r="Q859">
        <f>IF(B859="TRANSFER",5,IF(B859="CASH_OUT",4,IF(B859="DEBIT",2,1)))</f>
        <v>4</v>
      </c>
      <c r="R859">
        <f>(P859*0.5)+(Q859*0.3)+(N859*0.1)+(M859*0.1)</f>
        <v>3.8000000000000003</v>
      </c>
      <c r="S859" t="str">
        <f t="shared" si="13"/>
        <v>HIGH</v>
      </c>
    </row>
    <row r="860" spans="1:19" x14ac:dyDescent="0.3">
      <c r="A860">
        <v>71</v>
      </c>
      <c r="B860" t="s">
        <v>15</v>
      </c>
      <c r="C860">
        <v>91691.75</v>
      </c>
      <c r="D860" t="s">
        <v>1727</v>
      </c>
      <c r="E860">
        <v>91691.75</v>
      </c>
      <c r="F860">
        <v>0</v>
      </c>
      <c r="G860" t="s">
        <v>1728</v>
      </c>
      <c r="H860">
        <v>0</v>
      </c>
      <c r="I860">
        <v>0</v>
      </c>
      <c r="J860">
        <v>1</v>
      </c>
      <c r="K860">
        <v>0</v>
      </c>
      <c r="L860">
        <v>23</v>
      </c>
      <c r="M860">
        <v>0</v>
      </c>
      <c r="N860">
        <v>1</v>
      </c>
      <c r="O860">
        <v>91691.75</v>
      </c>
      <c r="P860">
        <f>IF(C860&gt;=200000,5,IF(C860&gt;=100000,4,IF(C860&gt;=50000,3,IF(C860&gt;=10000,2,1))))</f>
        <v>3</v>
      </c>
      <c r="Q860">
        <f>IF(B860="TRANSFER",5,IF(B860="CASH_OUT",4,IF(B860="DEBIT",2,1)))</f>
        <v>5</v>
      </c>
      <c r="R860">
        <f>(P860*0.5)+(Q860*0.3)+(N860*0.1)+(M860*0.1)</f>
        <v>3.1</v>
      </c>
      <c r="S860" t="str">
        <f t="shared" si="13"/>
        <v>HIGH</v>
      </c>
    </row>
    <row r="861" spans="1:19" x14ac:dyDescent="0.3">
      <c r="A861">
        <v>71</v>
      </c>
      <c r="B861" t="s">
        <v>18</v>
      </c>
      <c r="C861">
        <v>91691.75</v>
      </c>
      <c r="D861" t="s">
        <v>1729</v>
      </c>
      <c r="E861">
        <v>91691.75</v>
      </c>
      <c r="F861">
        <v>0</v>
      </c>
      <c r="G861" t="s">
        <v>1730</v>
      </c>
      <c r="H861">
        <v>329117.96000000002</v>
      </c>
      <c r="I861">
        <v>420809.71</v>
      </c>
      <c r="J861">
        <v>1</v>
      </c>
      <c r="K861">
        <v>0</v>
      </c>
      <c r="L861">
        <v>23</v>
      </c>
      <c r="M861">
        <v>0</v>
      </c>
      <c r="N861">
        <v>1</v>
      </c>
      <c r="O861">
        <v>91691.75</v>
      </c>
      <c r="P861">
        <f>IF(C861&gt;=200000,5,IF(C861&gt;=100000,4,IF(C861&gt;=50000,3,IF(C861&gt;=10000,2,1))))</f>
        <v>3</v>
      </c>
      <c r="Q861">
        <f>IF(B861="TRANSFER",5,IF(B861="CASH_OUT",4,IF(B861="DEBIT",2,1)))</f>
        <v>4</v>
      </c>
      <c r="R861">
        <f>(P861*0.5)+(Q861*0.3)+(N861*0.1)+(M861*0.1)</f>
        <v>2.8000000000000003</v>
      </c>
      <c r="S861" t="str">
        <f t="shared" si="13"/>
        <v>MEDIUM</v>
      </c>
    </row>
    <row r="862" spans="1:19" x14ac:dyDescent="0.3">
      <c r="A862">
        <v>71</v>
      </c>
      <c r="B862" t="s">
        <v>15</v>
      </c>
      <c r="C862">
        <v>1871553.73</v>
      </c>
      <c r="D862" t="s">
        <v>1731</v>
      </c>
      <c r="E862">
        <v>1871553.73</v>
      </c>
      <c r="F862">
        <v>0</v>
      </c>
      <c r="G862" t="s">
        <v>1732</v>
      </c>
      <c r="H862">
        <v>0</v>
      </c>
      <c r="I862">
        <v>0</v>
      </c>
      <c r="J862">
        <v>1</v>
      </c>
      <c r="K862">
        <v>0</v>
      </c>
      <c r="L862">
        <v>23</v>
      </c>
      <c r="M862">
        <v>0</v>
      </c>
      <c r="N862">
        <v>1</v>
      </c>
      <c r="O862">
        <v>1871553.73</v>
      </c>
      <c r="P862">
        <f>IF(C862&gt;=200000,5,IF(C862&gt;=100000,4,IF(C862&gt;=50000,3,IF(C862&gt;=10000,2,1))))</f>
        <v>5</v>
      </c>
      <c r="Q862">
        <f>IF(B862="TRANSFER",5,IF(B862="CASH_OUT",4,IF(B862="DEBIT",2,1)))</f>
        <v>5</v>
      </c>
      <c r="R862">
        <f>(P862*0.5)+(Q862*0.3)+(N862*0.1)+(M862*0.1)</f>
        <v>4.0999999999999996</v>
      </c>
      <c r="S862" t="str">
        <f t="shared" si="13"/>
        <v>HIGH</v>
      </c>
    </row>
    <row r="863" spans="1:19" x14ac:dyDescent="0.3">
      <c r="A863">
        <v>71</v>
      </c>
      <c r="B863" t="s">
        <v>18</v>
      </c>
      <c r="C863">
        <v>1871553.73</v>
      </c>
      <c r="D863" t="s">
        <v>1733</v>
      </c>
      <c r="E863">
        <v>1871553.73</v>
      </c>
      <c r="F863">
        <v>0</v>
      </c>
      <c r="G863" t="s">
        <v>1734</v>
      </c>
      <c r="H863">
        <v>0</v>
      </c>
      <c r="I863">
        <v>1871553.73</v>
      </c>
      <c r="J863">
        <v>1</v>
      </c>
      <c r="K863">
        <v>0</v>
      </c>
      <c r="L863">
        <v>23</v>
      </c>
      <c r="M863">
        <v>0</v>
      </c>
      <c r="N863">
        <v>1</v>
      </c>
      <c r="O863">
        <v>1871553.73</v>
      </c>
      <c r="P863">
        <f>IF(C863&gt;=200000,5,IF(C863&gt;=100000,4,IF(C863&gt;=50000,3,IF(C863&gt;=10000,2,1))))</f>
        <v>5</v>
      </c>
      <c r="Q863">
        <f>IF(B863="TRANSFER",5,IF(B863="CASH_OUT",4,IF(B863="DEBIT",2,1)))</f>
        <v>4</v>
      </c>
      <c r="R863">
        <f>(P863*0.5)+(Q863*0.3)+(N863*0.1)+(M863*0.1)</f>
        <v>3.8000000000000003</v>
      </c>
      <c r="S863" t="str">
        <f t="shared" si="13"/>
        <v>HIGH</v>
      </c>
    </row>
    <row r="864" spans="1:19" x14ac:dyDescent="0.3">
      <c r="A864">
        <v>71</v>
      </c>
      <c r="B864" t="s">
        <v>15</v>
      </c>
      <c r="C864">
        <v>2949339.09</v>
      </c>
      <c r="D864" t="s">
        <v>1735</v>
      </c>
      <c r="E864">
        <v>2949339.09</v>
      </c>
      <c r="F864">
        <v>0</v>
      </c>
      <c r="G864" t="s">
        <v>1736</v>
      </c>
      <c r="H864">
        <v>0</v>
      </c>
      <c r="I864">
        <v>0</v>
      </c>
      <c r="J864">
        <v>1</v>
      </c>
      <c r="K864">
        <v>0</v>
      </c>
      <c r="L864">
        <v>23</v>
      </c>
      <c r="M864">
        <v>0</v>
      </c>
      <c r="N864">
        <v>1</v>
      </c>
      <c r="O864">
        <v>2949339.09</v>
      </c>
      <c r="P864">
        <f>IF(C864&gt;=200000,5,IF(C864&gt;=100000,4,IF(C864&gt;=50000,3,IF(C864&gt;=10000,2,1))))</f>
        <v>5</v>
      </c>
      <c r="Q864">
        <f>IF(B864="TRANSFER",5,IF(B864="CASH_OUT",4,IF(B864="DEBIT",2,1)))</f>
        <v>5</v>
      </c>
      <c r="R864">
        <f>(P864*0.5)+(Q864*0.3)+(N864*0.1)+(M864*0.1)</f>
        <v>4.0999999999999996</v>
      </c>
      <c r="S864" t="str">
        <f t="shared" si="13"/>
        <v>HIGH</v>
      </c>
    </row>
    <row r="865" spans="1:19" x14ac:dyDescent="0.3">
      <c r="A865">
        <v>71</v>
      </c>
      <c r="B865" t="s">
        <v>18</v>
      </c>
      <c r="C865">
        <v>2949339.09</v>
      </c>
      <c r="D865" t="s">
        <v>1737</v>
      </c>
      <c r="E865">
        <v>2949339.09</v>
      </c>
      <c r="F865">
        <v>0</v>
      </c>
      <c r="G865" t="s">
        <v>1738</v>
      </c>
      <c r="H865">
        <v>167663.32</v>
      </c>
      <c r="I865">
        <v>3117002.41</v>
      </c>
      <c r="J865">
        <v>1</v>
      </c>
      <c r="K865">
        <v>0</v>
      </c>
      <c r="L865">
        <v>23</v>
      </c>
      <c r="M865">
        <v>0</v>
      </c>
      <c r="N865">
        <v>1</v>
      </c>
      <c r="O865">
        <v>2949339.09</v>
      </c>
      <c r="P865">
        <f>IF(C865&gt;=200000,5,IF(C865&gt;=100000,4,IF(C865&gt;=50000,3,IF(C865&gt;=10000,2,1))))</f>
        <v>5</v>
      </c>
      <c r="Q865">
        <f>IF(B865="TRANSFER",5,IF(B865="CASH_OUT",4,IF(B865="DEBIT",2,1)))</f>
        <v>4</v>
      </c>
      <c r="R865">
        <f>(P865*0.5)+(Q865*0.3)+(N865*0.1)+(M865*0.1)</f>
        <v>3.8000000000000003</v>
      </c>
      <c r="S865" t="str">
        <f t="shared" si="13"/>
        <v>HIGH</v>
      </c>
    </row>
    <row r="866" spans="1:19" x14ac:dyDescent="0.3">
      <c r="A866">
        <v>71</v>
      </c>
      <c r="B866" t="s">
        <v>15</v>
      </c>
      <c r="C866">
        <v>479892.04</v>
      </c>
      <c r="D866" t="s">
        <v>1739</v>
      </c>
      <c r="E866">
        <v>479892.04</v>
      </c>
      <c r="F866">
        <v>0</v>
      </c>
      <c r="G866" t="s">
        <v>1740</v>
      </c>
      <c r="H866">
        <v>0</v>
      </c>
      <c r="I866">
        <v>0</v>
      </c>
      <c r="J866">
        <v>1</v>
      </c>
      <c r="K866">
        <v>0</v>
      </c>
      <c r="L866">
        <v>23</v>
      </c>
      <c r="M866">
        <v>0</v>
      </c>
      <c r="N866">
        <v>1</v>
      </c>
      <c r="O866">
        <v>479892.04</v>
      </c>
      <c r="P866">
        <f>IF(C866&gt;=200000,5,IF(C866&gt;=100000,4,IF(C866&gt;=50000,3,IF(C866&gt;=10000,2,1))))</f>
        <v>5</v>
      </c>
      <c r="Q866">
        <f>IF(B866="TRANSFER",5,IF(B866="CASH_OUT",4,IF(B866="DEBIT",2,1)))</f>
        <v>5</v>
      </c>
      <c r="R866">
        <f>(P866*0.5)+(Q866*0.3)+(N866*0.1)+(M866*0.1)</f>
        <v>4.0999999999999996</v>
      </c>
      <c r="S866" t="str">
        <f t="shared" si="13"/>
        <v>HIGH</v>
      </c>
    </row>
    <row r="867" spans="1:19" x14ac:dyDescent="0.3">
      <c r="A867">
        <v>71</v>
      </c>
      <c r="B867" t="s">
        <v>18</v>
      </c>
      <c r="C867">
        <v>479892.04</v>
      </c>
      <c r="D867" t="s">
        <v>1741</v>
      </c>
      <c r="E867">
        <v>479892.04</v>
      </c>
      <c r="F867">
        <v>0</v>
      </c>
      <c r="G867" t="s">
        <v>1742</v>
      </c>
      <c r="H867">
        <v>1600079.29</v>
      </c>
      <c r="I867">
        <v>2079971.33</v>
      </c>
      <c r="J867">
        <v>1</v>
      </c>
      <c r="K867">
        <v>0</v>
      </c>
      <c r="L867">
        <v>23</v>
      </c>
      <c r="M867">
        <v>0</v>
      </c>
      <c r="N867">
        <v>1</v>
      </c>
      <c r="O867">
        <v>479892.04</v>
      </c>
      <c r="P867">
        <f>IF(C867&gt;=200000,5,IF(C867&gt;=100000,4,IF(C867&gt;=50000,3,IF(C867&gt;=10000,2,1))))</f>
        <v>5</v>
      </c>
      <c r="Q867">
        <f>IF(B867="TRANSFER",5,IF(B867="CASH_OUT",4,IF(B867="DEBIT",2,1)))</f>
        <v>4</v>
      </c>
      <c r="R867">
        <f>(P867*0.5)+(Q867*0.3)+(N867*0.1)+(M867*0.1)</f>
        <v>3.8000000000000003</v>
      </c>
      <c r="S867" t="str">
        <f t="shared" si="13"/>
        <v>HIGH</v>
      </c>
    </row>
    <row r="868" spans="1:19" x14ac:dyDescent="0.3">
      <c r="A868">
        <v>71</v>
      </c>
      <c r="B868" t="s">
        <v>15</v>
      </c>
      <c r="C868">
        <v>304085.48</v>
      </c>
      <c r="D868" t="s">
        <v>1743</v>
      </c>
      <c r="E868">
        <v>304085.48</v>
      </c>
      <c r="F868">
        <v>0</v>
      </c>
      <c r="G868" t="s">
        <v>1744</v>
      </c>
      <c r="H868">
        <v>0</v>
      </c>
      <c r="I868">
        <v>0</v>
      </c>
      <c r="J868">
        <v>1</v>
      </c>
      <c r="K868">
        <v>0</v>
      </c>
      <c r="L868">
        <v>23</v>
      </c>
      <c r="M868">
        <v>0</v>
      </c>
      <c r="N868">
        <v>1</v>
      </c>
      <c r="O868">
        <v>304085.48</v>
      </c>
      <c r="P868">
        <f>IF(C868&gt;=200000,5,IF(C868&gt;=100000,4,IF(C868&gt;=50000,3,IF(C868&gt;=10000,2,1))))</f>
        <v>5</v>
      </c>
      <c r="Q868">
        <f>IF(B868="TRANSFER",5,IF(B868="CASH_OUT",4,IF(B868="DEBIT",2,1)))</f>
        <v>5</v>
      </c>
      <c r="R868">
        <f>(P868*0.5)+(Q868*0.3)+(N868*0.1)+(M868*0.1)</f>
        <v>4.0999999999999996</v>
      </c>
      <c r="S868" t="str">
        <f t="shared" si="13"/>
        <v>HIGH</v>
      </c>
    </row>
    <row r="869" spans="1:19" x14ac:dyDescent="0.3">
      <c r="A869">
        <v>71</v>
      </c>
      <c r="B869" t="s">
        <v>18</v>
      </c>
      <c r="C869">
        <v>304085.48</v>
      </c>
      <c r="D869" t="s">
        <v>1745</v>
      </c>
      <c r="E869">
        <v>304085.48</v>
      </c>
      <c r="F869">
        <v>0</v>
      </c>
      <c r="G869" t="s">
        <v>1746</v>
      </c>
      <c r="H869">
        <v>152325.14000000001</v>
      </c>
      <c r="I869">
        <v>456410.63</v>
      </c>
      <c r="J869">
        <v>1</v>
      </c>
      <c r="K869">
        <v>0</v>
      </c>
      <c r="L869">
        <v>23</v>
      </c>
      <c r="M869">
        <v>0</v>
      </c>
      <c r="N869">
        <v>1</v>
      </c>
      <c r="O869">
        <v>304085.48</v>
      </c>
      <c r="P869">
        <f>IF(C869&gt;=200000,5,IF(C869&gt;=100000,4,IF(C869&gt;=50000,3,IF(C869&gt;=10000,2,1))))</f>
        <v>5</v>
      </c>
      <c r="Q869">
        <f>IF(B869="TRANSFER",5,IF(B869="CASH_OUT",4,IF(B869="DEBIT",2,1)))</f>
        <v>4</v>
      </c>
      <c r="R869">
        <f>(P869*0.5)+(Q869*0.3)+(N869*0.1)+(M869*0.1)</f>
        <v>3.8000000000000003</v>
      </c>
      <c r="S869" t="str">
        <f t="shared" si="13"/>
        <v>HIGH</v>
      </c>
    </row>
    <row r="870" spans="1:19" x14ac:dyDescent="0.3">
      <c r="A870">
        <v>71</v>
      </c>
      <c r="B870" t="s">
        <v>15</v>
      </c>
      <c r="C870">
        <v>14385.54</v>
      </c>
      <c r="D870" t="s">
        <v>1747</v>
      </c>
      <c r="E870">
        <v>14385.54</v>
      </c>
      <c r="F870">
        <v>0</v>
      </c>
      <c r="G870" t="s">
        <v>1748</v>
      </c>
      <c r="H870">
        <v>0</v>
      </c>
      <c r="I870">
        <v>0</v>
      </c>
      <c r="J870">
        <v>1</v>
      </c>
      <c r="K870">
        <v>0</v>
      </c>
      <c r="L870">
        <v>23</v>
      </c>
      <c r="M870">
        <v>0</v>
      </c>
      <c r="N870">
        <v>1</v>
      </c>
      <c r="O870">
        <v>14385.54</v>
      </c>
      <c r="P870">
        <f>IF(C870&gt;=200000,5,IF(C870&gt;=100000,4,IF(C870&gt;=50000,3,IF(C870&gt;=10000,2,1))))</f>
        <v>2</v>
      </c>
      <c r="Q870">
        <f>IF(B870="TRANSFER",5,IF(B870="CASH_OUT",4,IF(B870="DEBIT",2,1)))</f>
        <v>5</v>
      </c>
      <c r="R870">
        <f>(P870*0.5)+(Q870*0.3)+(N870*0.1)+(M870*0.1)</f>
        <v>2.6</v>
      </c>
      <c r="S870" t="str">
        <f t="shared" si="13"/>
        <v>MEDIUM</v>
      </c>
    </row>
    <row r="871" spans="1:19" x14ac:dyDescent="0.3">
      <c r="A871">
        <v>71</v>
      </c>
      <c r="B871" t="s">
        <v>18</v>
      </c>
      <c r="C871">
        <v>14385.54</v>
      </c>
      <c r="D871" t="s">
        <v>1749</v>
      </c>
      <c r="E871">
        <v>14385.54</v>
      </c>
      <c r="F871">
        <v>0</v>
      </c>
      <c r="G871" t="s">
        <v>1750</v>
      </c>
      <c r="H871">
        <v>28309.09</v>
      </c>
      <c r="I871">
        <v>42694.63</v>
      </c>
      <c r="J871">
        <v>1</v>
      </c>
      <c r="K871">
        <v>0</v>
      </c>
      <c r="L871">
        <v>23</v>
      </c>
      <c r="M871">
        <v>0</v>
      </c>
      <c r="N871">
        <v>1</v>
      </c>
      <c r="O871">
        <v>14385.54</v>
      </c>
      <c r="P871">
        <f>IF(C871&gt;=200000,5,IF(C871&gt;=100000,4,IF(C871&gt;=50000,3,IF(C871&gt;=10000,2,1))))</f>
        <v>2</v>
      </c>
      <c r="Q871">
        <f>IF(B871="TRANSFER",5,IF(B871="CASH_OUT",4,IF(B871="DEBIT",2,1)))</f>
        <v>4</v>
      </c>
      <c r="R871">
        <f>(P871*0.5)+(Q871*0.3)+(N871*0.1)+(M871*0.1)</f>
        <v>2.3000000000000003</v>
      </c>
      <c r="S871" t="str">
        <f t="shared" si="13"/>
        <v>MEDIUM</v>
      </c>
    </row>
    <row r="872" spans="1:19" x14ac:dyDescent="0.3">
      <c r="A872">
        <v>71</v>
      </c>
      <c r="B872" t="s">
        <v>15</v>
      </c>
      <c r="C872">
        <v>62091.44</v>
      </c>
      <c r="D872" t="s">
        <v>1751</v>
      </c>
      <c r="E872">
        <v>62091.44</v>
      </c>
      <c r="F872">
        <v>0</v>
      </c>
      <c r="G872" t="s">
        <v>1752</v>
      </c>
      <c r="H872">
        <v>0</v>
      </c>
      <c r="I872">
        <v>0</v>
      </c>
      <c r="J872">
        <v>1</v>
      </c>
      <c r="K872">
        <v>0</v>
      </c>
      <c r="L872">
        <v>23</v>
      </c>
      <c r="M872">
        <v>0</v>
      </c>
      <c r="N872">
        <v>1</v>
      </c>
      <c r="O872">
        <v>62091.44</v>
      </c>
      <c r="P872">
        <f>IF(C872&gt;=200000,5,IF(C872&gt;=100000,4,IF(C872&gt;=50000,3,IF(C872&gt;=10000,2,1))))</f>
        <v>3</v>
      </c>
      <c r="Q872">
        <f>IF(B872="TRANSFER",5,IF(B872="CASH_OUT",4,IF(B872="DEBIT",2,1)))</f>
        <v>5</v>
      </c>
      <c r="R872">
        <f>(P872*0.5)+(Q872*0.3)+(N872*0.1)+(M872*0.1)</f>
        <v>3.1</v>
      </c>
      <c r="S872" t="str">
        <f t="shared" si="13"/>
        <v>HIGH</v>
      </c>
    </row>
    <row r="873" spans="1:19" x14ac:dyDescent="0.3">
      <c r="A873">
        <v>71</v>
      </c>
      <c r="B873" t="s">
        <v>18</v>
      </c>
      <c r="C873">
        <v>62091.44</v>
      </c>
      <c r="D873" t="s">
        <v>1753</v>
      </c>
      <c r="E873">
        <v>62091.44</v>
      </c>
      <c r="F873">
        <v>0</v>
      </c>
      <c r="G873" t="s">
        <v>1754</v>
      </c>
      <c r="H873">
        <v>6296058.9100000001</v>
      </c>
      <c r="I873">
        <v>6358150.3499999996</v>
      </c>
      <c r="J873">
        <v>1</v>
      </c>
      <c r="K873">
        <v>0</v>
      </c>
      <c r="L873">
        <v>23</v>
      </c>
      <c r="M873">
        <v>0</v>
      </c>
      <c r="N873">
        <v>1</v>
      </c>
      <c r="O873">
        <v>62091.44</v>
      </c>
      <c r="P873">
        <f>IF(C873&gt;=200000,5,IF(C873&gt;=100000,4,IF(C873&gt;=50000,3,IF(C873&gt;=10000,2,1))))</f>
        <v>3</v>
      </c>
      <c r="Q873">
        <f>IF(B873="TRANSFER",5,IF(B873="CASH_OUT",4,IF(B873="DEBIT",2,1)))</f>
        <v>4</v>
      </c>
      <c r="R873">
        <f>(P873*0.5)+(Q873*0.3)+(N873*0.1)+(M873*0.1)</f>
        <v>2.8000000000000003</v>
      </c>
      <c r="S873" t="str">
        <f t="shared" si="13"/>
        <v>MEDIUM</v>
      </c>
    </row>
    <row r="874" spans="1:19" x14ac:dyDescent="0.3">
      <c r="A874">
        <v>71</v>
      </c>
      <c r="B874" t="s">
        <v>15</v>
      </c>
      <c r="C874">
        <v>386996.34</v>
      </c>
      <c r="D874" t="s">
        <v>1755</v>
      </c>
      <c r="E874">
        <v>386996.34</v>
      </c>
      <c r="F874">
        <v>0</v>
      </c>
      <c r="G874" t="s">
        <v>1756</v>
      </c>
      <c r="H874">
        <v>0</v>
      </c>
      <c r="I874">
        <v>0</v>
      </c>
      <c r="J874">
        <v>1</v>
      </c>
      <c r="K874">
        <v>0</v>
      </c>
      <c r="L874">
        <v>23</v>
      </c>
      <c r="M874">
        <v>0</v>
      </c>
      <c r="N874">
        <v>1</v>
      </c>
      <c r="O874">
        <v>386996.34</v>
      </c>
      <c r="P874">
        <f>IF(C874&gt;=200000,5,IF(C874&gt;=100000,4,IF(C874&gt;=50000,3,IF(C874&gt;=10000,2,1))))</f>
        <v>5</v>
      </c>
      <c r="Q874">
        <f>IF(B874="TRANSFER",5,IF(B874="CASH_OUT",4,IF(B874="DEBIT",2,1)))</f>
        <v>5</v>
      </c>
      <c r="R874">
        <f>(P874*0.5)+(Q874*0.3)+(N874*0.1)+(M874*0.1)</f>
        <v>4.0999999999999996</v>
      </c>
      <c r="S874" t="str">
        <f t="shared" si="13"/>
        <v>HIGH</v>
      </c>
    </row>
    <row r="875" spans="1:19" x14ac:dyDescent="0.3">
      <c r="A875">
        <v>71</v>
      </c>
      <c r="B875" t="s">
        <v>18</v>
      </c>
      <c r="C875">
        <v>386996.34</v>
      </c>
      <c r="D875" t="s">
        <v>1757</v>
      </c>
      <c r="E875">
        <v>386996.34</v>
      </c>
      <c r="F875">
        <v>0</v>
      </c>
      <c r="G875" t="s">
        <v>1758</v>
      </c>
      <c r="H875">
        <v>512943.11</v>
      </c>
      <c r="I875">
        <v>899939.45</v>
      </c>
      <c r="J875">
        <v>1</v>
      </c>
      <c r="K875">
        <v>0</v>
      </c>
      <c r="L875">
        <v>23</v>
      </c>
      <c r="M875">
        <v>0</v>
      </c>
      <c r="N875">
        <v>1</v>
      </c>
      <c r="O875">
        <v>386996.34</v>
      </c>
      <c r="P875">
        <f>IF(C875&gt;=200000,5,IF(C875&gt;=100000,4,IF(C875&gt;=50000,3,IF(C875&gt;=10000,2,1))))</f>
        <v>5</v>
      </c>
      <c r="Q875">
        <f>IF(B875="TRANSFER",5,IF(B875="CASH_OUT",4,IF(B875="DEBIT",2,1)))</f>
        <v>4</v>
      </c>
      <c r="R875">
        <f>(P875*0.5)+(Q875*0.3)+(N875*0.1)+(M875*0.1)</f>
        <v>3.8000000000000003</v>
      </c>
      <c r="S875" t="str">
        <f t="shared" si="13"/>
        <v>HIGH</v>
      </c>
    </row>
    <row r="876" spans="1:19" x14ac:dyDescent="0.3">
      <c r="A876">
        <v>71</v>
      </c>
      <c r="B876" t="s">
        <v>15</v>
      </c>
      <c r="C876">
        <v>345526.4</v>
      </c>
      <c r="D876" t="s">
        <v>1759</v>
      </c>
      <c r="E876">
        <v>345526.4</v>
      </c>
      <c r="F876">
        <v>0</v>
      </c>
      <c r="G876" t="s">
        <v>1760</v>
      </c>
      <c r="H876">
        <v>0</v>
      </c>
      <c r="I876">
        <v>0</v>
      </c>
      <c r="J876">
        <v>1</v>
      </c>
      <c r="K876">
        <v>0</v>
      </c>
      <c r="L876">
        <v>23</v>
      </c>
      <c r="M876">
        <v>0</v>
      </c>
      <c r="N876">
        <v>1</v>
      </c>
      <c r="O876">
        <v>345526.4</v>
      </c>
      <c r="P876">
        <f>IF(C876&gt;=200000,5,IF(C876&gt;=100000,4,IF(C876&gt;=50000,3,IF(C876&gt;=10000,2,1))))</f>
        <v>5</v>
      </c>
      <c r="Q876">
        <f>IF(B876="TRANSFER",5,IF(B876="CASH_OUT",4,IF(B876="DEBIT",2,1)))</f>
        <v>5</v>
      </c>
      <c r="R876">
        <f>(P876*0.5)+(Q876*0.3)+(N876*0.1)+(M876*0.1)</f>
        <v>4.0999999999999996</v>
      </c>
      <c r="S876" t="str">
        <f t="shared" si="13"/>
        <v>HIGH</v>
      </c>
    </row>
    <row r="877" spans="1:19" x14ac:dyDescent="0.3">
      <c r="A877">
        <v>71</v>
      </c>
      <c r="B877" t="s">
        <v>18</v>
      </c>
      <c r="C877">
        <v>345526.4</v>
      </c>
      <c r="D877" t="s">
        <v>1761</v>
      </c>
      <c r="E877">
        <v>345526.4</v>
      </c>
      <c r="F877">
        <v>0</v>
      </c>
      <c r="G877" t="s">
        <v>1762</v>
      </c>
      <c r="H877">
        <v>210291.99</v>
      </c>
      <c r="I877">
        <v>555818.38</v>
      </c>
      <c r="J877">
        <v>1</v>
      </c>
      <c r="K877">
        <v>0</v>
      </c>
      <c r="L877">
        <v>23</v>
      </c>
      <c r="M877">
        <v>0</v>
      </c>
      <c r="N877">
        <v>1</v>
      </c>
      <c r="O877">
        <v>345526.4</v>
      </c>
      <c r="P877">
        <f>IF(C877&gt;=200000,5,IF(C877&gt;=100000,4,IF(C877&gt;=50000,3,IF(C877&gt;=10000,2,1))))</f>
        <v>5</v>
      </c>
      <c r="Q877">
        <f>IF(B877="TRANSFER",5,IF(B877="CASH_OUT",4,IF(B877="DEBIT",2,1)))</f>
        <v>4</v>
      </c>
      <c r="R877">
        <f>(P877*0.5)+(Q877*0.3)+(N877*0.1)+(M877*0.1)</f>
        <v>3.8000000000000003</v>
      </c>
      <c r="S877" t="str">
        <f t="shared" si="13"/>
        <v>HIGH</v>
      </c>
    </row>
    <row r="878" spans="1:19" x14ac:dyDescent="0.3">
      <c r="A878">
        <v>72</v>
      </c>
      <c r="B878" t="s">
        <v>15</v>
      </c>
      <c r="C878">
        <v>2947783.87</v>
      </c>
      <c r="D878" t="s">
        <v>1763</v>
      </c>
      <c r="E878">
        <v>2947783.87</v>
      </c>
      <c r="F878">
        <v>0</v>
      </c>
      <c r="G878" t="s">
        <v>1764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2947783.87</v>
      </c>
      <c r="P878">
        <f>IF(C878&gt;=200000,5,IF(C878&gt;=100000,4,IF(C878&gt;=50000,3,IF(C878&gt;=10000,2,1))))</f>
        <v>5</v>
      </c>
      <c r="Q878">
        <f>IF(B878="TRANSFER",5,IF(B878="CASH_OUT",4,IF(B878="DEBIT",2,1)))</f>
        <v>5</v>
      </c>
      <c r="R878">
        <f>(P878*0.5)+(Q878*0.3)+(N878*0.1)+(M878*0.1)</f>
        <v>4.0999999999999996</v>
      </c>
      <c r="S878" t="str">
        <f t="shared" si="13"/>
        <v>HIGH</v>
      </c>
    </row>
    <row r="879" spans="1:19" x14ac:dyDescent="0.3">
      <c r="A879">
        <v>72</v>
      </c>
      <c r="B879" t="s">
        <v>18</v>
      </c>
      <c r="C879">
        <v>2947783.87</v>
      </c>
      <c r="D879" t="s">
        <v>1765</v>
      </c>
      <c r="E879">
        <v>2947783.87</v>
      </c>
      <c r="F879">
        <v>0</v>
      </c>
      <c r="G879" t="s">
        <v>1766</v>
      </c>
      <c r="H879">
        <v>353246.54</v>
      </c>
      <c r="I879">
        <v>3301030.4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2947783.87</v>
      </c>
      <c r="P879">
        <f>IF(C879&gt;=200000,5,IF(C879&gt;=100000,4,IF(C879&gt;=50000,3,IF(C879&gt;=10000,2,1))))</f>
        <v>5</v>
      </c>
      <c r="Q879">
        <f>IF(B879="TRANSFER",5,IF(B879="CASH_OUT",4,IF(B879="DEBIT",2,1)))</f>
        <v>4</v>
      </c>
      <c r="R879">
        <f>(P879*0.5)+(Q879*0.3)+(N879*0.1)+(M879*0.1)</f>
        <v>3.8000000000000003</v>
      </c>
      <c r="S879" t="str">
        <f t="shared" si="13"/>
        <v>HIGH</v>
      </c>
    </row>
    <row r="880" spans="1:19" x14ac:dyDescent="0.3">
      <c r="A880">
        <v>72</v>
      </c>
      <c r="B880" t="s">
        <v>15</v>
      </c>
      <c r="C880">
        <v>730574.39</v>
      </c>
      <c r="D880" t="s">
        <v>1767</v>
      </c>
      <c r="E880">
        <v>730574.39</v>
      </c>
      <c r="F880">
        <v>0</v>
      </c>
      <c r="G880" t="s">
        <v>1768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730574.39</v>
      </c>
      <c r="P880">
        <f>IF(C880&gt;=200000,5,IF(C880&gt;=100000,4,IF(C880&gt;=50000,3,IF(C880&gt;=10000,2,1))))</f>
        <v>5</v>
      </c>
      <c r="Q880">
        <f>IF(B880="TRANSFER",5,IF(B880="CASH_OUT",4,IF(B880="DEBIT",2,1)))</f>
        <v>5</v>
      </c>
      <c r="R880">
        <f>(P880*0.5)+(Q880*0.3)+(N880*0.1)+(M880*0.1)</f>
        <v>4.0999999999999996</v>
      </c>
      <c r="S880" t="str">
        <f t="shared" si="13"/>
        <v>HIGH</v>
      </c>
    </row>
    <row r="881" spans="1:19" x14ac:dyDescent="0.3">
      <c r="A881">
        <v>72</v>
      </c>
      <c r="B881" t="s">
        <v>18</v>
      </c>
      <c r="C881">
        <v>730574.39</v>
      </c>
      <c r="D881" t="s">
        <v>1769</v>
      </c>
      <c r="E881">
        <v>730574.39</v>
      </c>
      <c r="F881">
        <v>0</v>
      </c>
      <c r="G881" t="s">
        <v>1770</v>
      </c>
      <c r="H881">
        <v>183897.18</v>
      </c>
      <c r="I881">
        <v>914471.57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730574.39</v>
      </c>
      <c r="P881">
        <f>IF(C881&gt;=200000,5,IF(C881&gt;=100000,4,IF(C881&gt;=50000,3,IF(C881&gt;=10000,2,1))))</f>
        <v>5</v>
      </c>
      <c r="Q881">
        <f>IF(B881="TRANSFER",5,IF(B881="CASH_OUT",4,IF(B881="DEBIT",2,1)))</f>
        <v>4</v>
      </c>
      <c r="R881">
        <f>(P881*0.5)+(Q881*0.3)+(N881*0.1)+(M881*0.1)</f>
        <v>3.8000000000000003</v>
      </c>
      <c r="S881" t="str">
        <f t="shared" si="13"/>
        <v>HIGH</v>
      </c>
    </row>
    <row r="882" spans="1:19" x14ac:dyDescent="0.3">
      <c r="A882">
        <v>72</v>
      </c>
      <c r="B882" t="s">
        <v>15</v>
      </c>
      <c r="C882">
        <v>3786438.03</v>
      </c>
      <c r="D882" t="s">
        <v>1771</v>
      </c>
      <c r="E882">
        <v>3786438.03</v>
      </c>
      <c r="F882">
        <v>0</v>
      </c>
      <c r="G882" t="s">
        <v>1772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3786438.03</v>
      </c>
      <c r="P882">
        <f>IF(C882&gt;=200000,5,IF(C882&gt;=100000,4,IF(C882&gt;=50000,3,IF(C882&gt;=10000,2,1))))</f>
        <v>5</v>
      </c>
      <c r="Q882">
        <f>IF(B882="TRANSFER",5,IF(B882="CASH_OUT",4,IF(B882="DEBIT",2,1)))</f>
        <v>5</v>
      </c>
      <c r="R882">
        <f>(P882*0.5)+(Q882*0.3)+(N882*0.1)+(M882*0.1)</f>
        <v>4.0999999999999996</v>
      </c>
      <c r="S882" t="str">
        <f t="shared" si="13"/>
        <v>HIGH</v>
      </c>
    </row>
    <row r="883" spans="1:19" x14ac:dyDescent="0.3">
      <c r="A883">
        <v>72</v>
      </c>
      <c r="B883" t="s">
        <v>18</v>
      </c>
      <c r="C883">
        <v>3786438.03</v>
      </c>
      <c r="D883" t="s">
        <v>1773</v>
      </c>
      <c r="E883">
        <v>3786438.03</v>
      </c>
      <c r="F883">
        <v>0</v>
      </c>
      <c r="G883" t="s">
        <v>1774</v>
      </c>
      <c r="H883">
        <v>84013.26</v>
      </c>
      <c r="I883">
        <v>3870451.29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3786438.03</v>
      </c>
      <c r="P883">
        <f>IF(C883&gt;=200000,5,IF(C883&gt;=100000,4,IF(C883&gt;=50000,3,IF(C883&gt;=10000,2,1))))</f>
        <v>5</v>
      </c>
      <c r="Q883">
        <f>IF(B883="TRANSFER",5,IF(B883="CASH_OUT",4,IF(B883="DEBIT",2,1)))</f>
        <v>4</v>
      </c>
      <c r="R883">
        <f>(P883*0.5)+(Q883*0.3)+(N883*0.1)+(M883*0.1)</f>
        <v>3.8000000000000003</v>
      </c>
      <c r="S883" t="str">
        <f t="shared" si="13"/>
        <v>HIGH</v>
      </c>
    </row>
    <row r="884" spans="1:19" x14ac:dyDescent="0.3">
      <c r="A884">
        <v>72</v>
      </c>
      <c r="B884" t="s">
        <v>15</v>
      </c>
      <c r="C884">
        <v>622235.31999999995</v>
      </c>
      <c r="D884" t="s">
        <v>1775</v>
      </c>
      <c r="E884">
        <v>622235.31999999995</v>
      </c>
      <c r="F884">
        <v>0</v>
      </c>
      <c r="G884" t="s">
        <v>1776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622235.31999999995</v>
      </c>
      <c r="P884">
        <f>IF(C884&gt;=200000,5,IF(C884&gt;=100000,4,IF(C884&gt;=50000,3,IF(C884&gt;=10000,2,1))))</f>
        <v>5</v>
      </c>
      <c r="Q884">
        <f>IF(B884="TRANSFER",5,IF(B884="CASH_OUT",4,IF(B884="DEBIT",2,1)))</f>
        <v>5</v>
      </c>
      <c r="R884">
        <f>(P884*0.5)+(Q884*0.3)+(N884*0.1)+(M884*0.1)</f>
        <v>4.0999999999999996</v>
      </c>
      <c r="S884" t="str">
        <f t="shared" si="13"/>
        <v>HIGH</v>
      </c>
    </row>
    <row r="885" spans="1:19" x14ac:dyDescent="0.3">
      <c r="A885">
        <v>72</v>
      </c>
      <c r="B885" t="s">
        <v>18</v>
      </c>
      <c r="C885">
        <v>622235.31999999995</v>
      </c>
      <c r="D885" t="s">
        <v>1777</v>
      </c>
      <c r="E885">
        <v>622235.31999999995</v>
      </c>
      <c r="F885">
        <v>0</v>
      </c>
      <c r="G885" t="s">
        <v>1778</v>
      </c>
      <c r="H885">
        <v>3377968.96</v>
      </c>
      <c r="I885">
        <v>4000204.28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622235.31999999995</v>
      </c>
      <c r="P885">
        <f>IF(C885&gt;=200000,5,IF(C885&gt;=100000,4,IF(C885&gt;=50000,3,IF(C885&gt;=10000,2,1))))</f>
        <v>5</v>
      </c>
      <c r="Q885">
        <f>IF(B885="TRANSFER",5,IF(B885="CASH_OUT",4,IF(B885="DEBIT",2,1)))</f>
        <v>4</v>
      </c>
      <c r="R885">
        <f>(P885*0.5)+(Q885*0.3)+(N885*0.1)+(M885*0.1)</f>
        <v>3.8000000000000003</v>
      </c>
      <c r="S885" t="str">
        <f t="shared" si="13"/>
        <v>HIGH</v>
      </c>
    </row>
    <row r="886" spans="1:19" x14ac:dyDescent="0.3">
      <c r="A886">
        <v>72</v>
      </c>
      <c r="B886" t="s">
        <v>15</v>
      </c>
      <c r="C886">
        <v>3243092.91</v>
      </c>
      <c r="D886" t="s">
        <v>1779</v>
      </c>
      <c r="E886">
        <v>3243092.91</v>
      </c>
      <c r="F886">
        <v>0</v>
      </c>
      <c r="G886" t="s">
        <v>1780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3243092.91</v>
      </c>
      <c r="P886">
        <f>IF(C886&gt;=200000,5,IF(C886&gt;=100000,4,IF(C886&gt;=50000,3,IF(C886&gt;=10000,2,1))))</f>
        <v>5</v>
      </c>
      <c r="Q886">
        <f>IF(B886="TRANSFER",5,IF(B886="CASH_OUT",4,IF(B886="DEBIT",2,1)))</f>
        <v>5</v>
      </c>
      <c r="R886">
        <f>(P886*0.5)+(Q886*0.3)+(N886*0.1)+(M886*0.1)</f>
        <v>4.0999999999999996</v>
      </c>
      <c r="S886" t="str">
        <f t="shared" si="13"/>
        <v>HIGH</v>
      </c>
    </row>
    <row r="887" spans="1:19" x14ac:dyDescent="0.3">
      <c r="A887">
        <v>72</v>
      </c>
      <c r="B887" t="s">
        <v>18</v>
      </c>
      <c r="C887">
        <v>3243092.91</v>
      </c>
      <c r="D887" t="s">
        <v>1781</v>
      </c>
      <c r="E887">
        <v>3243092.91</v>
      </c>
      <c r="F887">
        <v>0</v>
      </c>
      <c r="G887" t="s">
        <v>1782</v>
      </c>
      <c r="H887">
        <v>1299786.5900000001</v>
      </c>
      <c r="I887">
        <v>4542879.5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3243092.91</v>
      </c>
      <c r="P887">
        <f>IF(C887&gt;=200000,5,IF(C887&gt;=100000,4,IF(C887&gt;=50000,3,IF(C887&gt;=10000,2,1))))</f>
        <v>5</v>
      </c>
      <c r="Q887">
        <f>IF(B887="TRANSFER",5,IF(B887="CASH_OUT",4,IF(B887="DEBIT",2,1)))</f>
        <v>4</v>
      </c>
      <c r="R887">
        <f>(P887*0.5)+(Q887*0.3)+(N887*0.1)+(M887*0.1)</f>
        <v>3.8000000000000003</v>
      </c>
      <c r="S887" t="str">
        <f t="shared" si="13"/>
        <v>HIGH</v>
      </c>
    </row>
    <row r="888" spans="1:19" x14ac:dyDescent="0.3">
      <c r="A888">
        <v>72</v>
      </c>
      <c r="B888" t="s">
        <v>15</v>
      </c>
      <c r="C888">
        <v>10000000</v>
      </c>
      <c r="D888" t="s">
        <v>1783</v>
      </c>
      <c r="E888">
        <v>18600000</v>
      </c>
      <c r="F888">
        <v>8594065.0899999999</v>
      </c>
      <c r="G888" t="s">
        <v>1784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10005934.91</v>
      </c>
      <c r="P888">
        <f>IF(C888&gt;=200000,5,IF(C888&gt;=100000,4,IF(C888&gt;=50000,3,IF(C888&gt;=10000,2,1))))</f>
        <v>5</v>
      </c>
      <c r="Q888">
        <f>IF(B888="TRANSFER",5,IF(B888="CASH_OUT",4,IF(B888="DEBIT",2,1)))</f>
        <v>5</v>
      </c>
      <c r="R888">
        <f>(P888*0.5)+(Q888*0.3)+(N888*0.1)+(M888*0.1)</f>
        <v>4.0999999999999996</v>
      </c>
      <c r="S888" t="str">
        <f t="shared" si="13"/>
        <v>HIGH</v>
      </c>
    </row>
    <row r="889" spans="1:19" x14ac:dyDescent="0.3">
      <c r="A889">
        <v>72</v>
      </c>
      <c r="B889" t="s">
        <v>18</v>
      </c>
      <c r="C889">
        <v>10000000</v>
      </c>
      <c r="D889" t="s">
        <v>1785</v>
      </c>
      <c r="E889">
        <v>10000000</v>
      </c>
      <c r="F889">
        <v>0</v>
      </c>
      <c r="G889" t="s">
        <v>1786</v>
      </c>
      <c r="H889">
        <v>81810.42</v>
      </c>
      <c r="I889">
        <v>10100000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10000000</v>
      </c>
      <c r="P889">
        <f>IF(C889&gt;=200000,5,IF(C889&gt;=100000,4,IF(C889&gt;=50000,3,IF(C889&gt;=10000,2,1))))</f>
        <v>5</v>
      </c>
      <c r="Q889">
        <f>IF(B889="TRANSFER",5,IF(B889="CASH_OUT",4,IF(B889="DEBIT",2,1)))</f>
        <v>4</v>
      </c>
      <c r="R889">
        <f>(P889*0.5)+(Q889*0.3)+(N889*0.1)+(M889*0.1)</f>
        <v>3.9000000000000004</v>
      </c>
      <c r="S889" t="str">
        <f t="shared" si="13"/>
        <v>HIGH</v>
      </c>
    </row>
    <row r="890" spans="1:19" x14ac:dyDescent="0.3">
      <c r="A890">
        <v>72</v>
      </c>
      <c r="B890" t="s">
        <v>15</v>
      </c>
      <c r="C890">
        <v>8594065.0899999999</v>
      </c>
      <c r="D890" t="s">
        <v>1787</v>
      </c>
      <c r="E890">
        <v>8594065.0899999999</v>
      </c>
      <c r="F890">
        <v>0</v>
      </c>
      <c r="G890" t="s">
        <v>1788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8594065.0899999999</v>
      </c>
      <c r="P890">
        <f>IF(C890&gt;=200000,5,IF(C890&gt;=100000,4,IF(C890&gt;=50000,3,IF(C890&gt;=10000,2,1))))</f>
        <v>5</v>
      </c>
      <c r="Q890">
        <f>IF(B890="TRANSFER",5,IF(B890="CASH_OUT",4,IF(B890="DEBIT",2,1)))</f>
        <v>5</v>
      </c>
      <c r="R890">
        <f>(P890*0.5)+(Q890*0.3)+(N890*0.1)+(M890*0.1)</f>
        <v>4.0999999999999996</v>
      </c>
      <c r="S890" t="str">
        <f t="shared" si="13"/>
        <v>HIGH</v>
      </c>
    </row>
    <row r="891" spans="1:19" x14ac:dyDescent="0.3">
      <c r="A891">
        <v>72</v>
      </c>
      <c r="B891" t="s">
        <v>18</v>
      </c>
      <c r="C891">
        <v>8594065.0899999999</v>
      </c>
      <c r="D891" t="s">
        <v>1789</v>
      </c>
      <c r="E891">
        <v>8594065.0899999999</v>
      </c>
      <c r="F891">
        <v>0</v>
      </c>
      <c r="G891" t="s">
        <v>1790</v>
      </c>
      <c r="H891">
        <v>5844.51</v>
      </c>
      <c r="I891">
        <v>8599909.5999999996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8594065.0899999999</v>
      </c>
      <c r="P891">
        <f>IF(C891&gt;=200000,5,IF(C891&gt;=100000,4,IF(C891&gt;=50000,3,IF(C891&gt;=10000,2,1))))</f>
        <v>5</v>
      </c>
      <c r="Q891">
        <f>IF(B891="TRANSFER",5,IF(B891="CASH_OUT",4,IF(B891="DEBIT",2,1)))</f>
        <v>4</v>
      </c>
      <c r="R891">
        <f>(P891*0.5)+(Q891*0.3)+(N891*0.1)+(M891*0.1)</f>
        <v>3.8000000000000003</v>
      </c>
      <c r="S891" t="str">
        <f t="shared" si="13"/>
        <v>HIGH</v>
      </c>
    </row>
    <row r="892" spans="1:19" x14ac:dyDescent="0.3">
      <c r="A892">
        <v>73</v>
      </c>
      <c r="B892" t="s">
        <v>15</v>
      </c>
      <c r="C892">
        <v>12619.29</v>
      </c>
      <c r="D892" t="s">
        <v>1791</v>
      </c>
      <c r="E892">
        <v>12619.29</v>
      </c>
      <c r="F892">
        <v>0</v>
      </c>
      <c r="G892" t="s">
        <v>1792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1</v>
      </c>
      <c r="O892">
        <v>12619.29</v>
      </c>
      <c r="P892">
        <f>IF(C892&gt;=200000,5,IF(C892&gt;=100000,4,IF(C892&gt;=50000,3,IF(C892&gt;=10000,2,1))))</f>
        <v>2</v>
      </c>
      <c r="Q892">
        <f>IF(B892="TRANSFER",5,IF(B892="CASH_OUT",4,IF(B892="DEBIT",2,1)))</f>
        <v>5</v>
      </c>
      <c r="R892">
        <f>(P892*0.5)+(Q892*0.3)+(N892*0.1)+(M892*0.1)</f>
        <v>2.6</v>
      </c>
      <c r="S892" t="str">
        <f t="shared" si="13"/>
        <v>MEDIUM</v>
      </c>
    </row>
    <row r="893" spans="1:19" x14ac:dyDescent="0.3">
      <c r="A893">
        <v>73</v>
      </c>
      <c r="B893" t="s">
        <v>18</v>
      </c>
      <c r="C893">
        <v>12619.29</v>
      </c>
      <c r="D893" t="s">
        <v>1793</v>
      </c>
      <c r="E893">
        <v>12619.29</v>
      </c>
      <c r="F893">
        <v>0</v>
      </c>
      <c r="G893" t="s">
        <v>1794</v>
      </c>
      <c r="H893">
        <v>204470.03</v>
      </c>
      <c r="I893">
        <v>217089.31</v>
      </c>
      <c r="J893">
        <v>1</v>
      </c>
      <c r="K893">
        <v>0</v>
      </c>
      <c r="L893">
        <v>1</v>
      </c>
      <c r="M893">
        <v>0</v>
      </c>
      <c r="N893">
        <v>1</v>
      </c>
      <c r="O893">
        <v>12619.29</v>
      </c>
      <c r="P893">
        <f>IF(C893&gt;=200000,5,IF(C893&gt;=100000,4,IF(C893&gt;=50000,3,IF(C893&gt;=10000,2,1))))</f>
        <v>2</v>
      </c>
      <c r="Q893">
        <f>IF(B893="TRANSFER",5,IF(B893="CASH_OUT",4,IF(B893="DEBIT",2,1)))</f>
        <v>4</v>
      </c>
      <c r="R893">
        <f>(P893*0.5)+(Q893*0.3)+(N893*0.1)+(M893*0.1)</f>
        <v>2.3000000000000003</v>
      </c>
      <c r="S893" t="str">
        <f t="shared" si="13"/>
        <v>MEDIUM</v>
      </c>
    </row>
    <row r="894" spans="1:19" x14ac:dyDescent="0.3">
      <c r="A894">
        <v>73</v>
      </c>
      <c r="B894" t="s">
        <v>15</v>
      </c>
      <c r="C894">
        <v>193663.9</v>
      </c>
      <c r="D894" t="s">
        <v>1795</v>
      </c>
      <c r="E894">
        <v>193663.9</v>
      </c>
      <c r="F894">
        <v>0</v>
      </c>
      <c r="G894" t="s">
        <v>1796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193663.9</v>
      </c>
      <c r="P894">
        <f>IF(C894&gt;=200000,5,IF(C894&gt;=100000,4,IF(C894&gt;=50000,3,IF(C894&gt;=10000,2,1))))</f>
        <v>4</v>
      </c>
      <c r="Q894">
        <f>IF(B894="TRANSFER",5,IF(B894="CASH_OUT",4,IF(B894="DEBIT",2,1)))</f>
        <v>5</v>
      </c>
      <c r="R894">
        <f>(P894*0.5)+(Q894*0.3)+(N894*0.1)+(M894*0.1)</f>
        <v>3.6</v>
      </c>
      <c r="S894" t="str">
        <f t="shared" si="13"/>
        <v>HIGH</v>
      </c>
    </row>
    <row r="895" spans="1:19" x14ac:dyDescent="0.3">
      <c r="A895">
        <v>73</v>
      </c>
      <c r="B895" t="s">
        <v>18</v>
      </c>
      <c r="C895">
        <v>193663.9</v>
      </c>
      <c r="D895" t="s">
        <v>1797</v>
      </c>
      <c r="E895">
        <v>193663.9</v>
      </c>
      <c r="F895">
        <v>0</v>
      </c>
      <c r="G895" t="s">
        <v>1798</v>
      </c>
      <c r="H895">
        <v>0</v>
      </c>
      <c r="I895">
        <v>193663.9</v>
      </c>
      <c r="J895">
        <v>1</v>
      </c>
      <c r="K895">
        <v>0</v>
      </c>
      <c r="L895">
        <v>1</v>
      </c>
      <c r="M895">
        <v>0</v>
      </c>
      <c r="N895">
        <v>1</v>
      </c>
      <c r="O895">
        <v>193663.9</v>
      </c>
      <c r="P895">
        <f>IF(C895&gt;=200000,5,IF(C895&gt;=100000,4,IF(C895&gt;=50000,3,IF(C895&gt;=10000,2,1))))</f>
        <v>4</v>
      </c>
      <c r="Q895">
        <f>IF(B895="TRANSFER",5,IF(B895="CASH_OUT",4,IF(B895="DEBIT",2,1)))</f>
        <v>4</v>
      </c>
      <c r="R895">
        <f>(P895*0.5)+(Q895*0.3)+(N895*0.1)+(M895*0.1)</f>
        <v>3.3000000000000003</v>
      </c>
      <c r="S895" t="str">
        <f t="shared" si="13"/>
        <v>HIGH</v>
      </c>
    </row>
    <row r="896" spans="1:19" x14ac:dyDescent="0.3">
      <c r="A896">
        <v>73</v>
      </c>
      <c r="B896" t="s">
        <v>15</v>
      </c>
      <c r="C896">
        <v>684796.16</v>
      </c>
      <c r="D896" t="s">
        <v>1799</v>
      </c>
      <c r="E896">
        <v>684796.16</v>
      </c>
      <c r="F896">
        <v>0</v>
      </c>
      <c r="G896" t="s">
        <v>1800</v>
      </c>
      <c r="H896">
        <v>0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1</v>
      </c>
      <c r="O896">
        <v>684796.16</v>
      </c>
      <c r="P896">
        <f>IF(C896&gt;=200000,5,IF(C896&gt;=100000,4,IF(C896&gt;=50000,3,IF(C896&gt;=10000,2,1))))</f>
        <v>5</v>
      </c>
      <c r="Q896">
        <f>IF(B896="TRANSFER",5,IF(B896="CASH_OUT",4,IF(B896="DEBIT",2,1)))</f>
        <v>5</v>
      </c>
      <c r="R896">
        <f>(P896*0.5)+(Q896*0.3)+(N896*0.1)+(M896*0.1)</f>
        <v>4.0999999999999996</v>
      </c>
      <c r="S896" t="str">
        <f t="shared" si="13"/>
        <v>HIGH</v>
      </c>
    </row>
    <row r="897" spans="1:19" x14ac:dyDescent="0.3">
      <c r="A897">
        <v>73</v>
      </c>
      <c r="B897" t="s">
        <v>18</v>
      </c>
      <c r="C897">
        <v>684796.16</v>
      </c>
      <c r="D897" t="s">
        <v>1801</v>
      </c>
      <c r="E897">
        <v>684796.16</v>
      </c>
      <c r="F897">
        <v>0</v>
      </c>
      <c r="G897" t="s">
        <v>1802</v>
      </c>
      <c r="H897">
        <v>2754453.54</v>
      </c>
      <c r="I897">
        <v>3439249.7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684796.16</v>
      </c>
      <c r="P897">
        <f>IF(C897&gt;=200000,5,IF(C897&gt;=100000,4,IF(C897&gt;=50000,3,IF(C897&gt;=10000,2,1))))</f>
        <v>5</v>
      </c>
      <c r="Q897">
        <f>IF(B897="TRANSFER",5,IF(B897="CASH_OUT",4,IF(B897="DEBIT",2,1)))</f>
        <v>4</v>
      </c>
      <c r="R897">
        <f>(P897*0.5)+(Q897*0.3)+(N897*0.1)+(M897*0.1)</f>
        <v>3.8000000000000003</v>
      </c>
      <c r="S897" t="str">
        <f t="shared" si="13"/>
        <v>HIGH</v>
      </c>
    </row>
    <row r="898" spans="1:19" x14ac:dyDescent="0.3">
      <c r="A898">
        <v>73</v>
      </c>
      <c r="B898" t="s">
        <v>15</v>
      </c>
      <c r="C898">
        <v>400157.86</v>
      </c>
      <c r="D898" t="s">
        <v>1803</v>
      </c>
      <c r="E898">
        <v>400157.86</v>
      </c>
      <c r="F898">
        <v>0</v>
      </c>
      <c r="G898" t="s">
        <v>1804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1</v>
      </c>
      <c r="O898">
        <v>400157.86</v>
      </c>
      <c r="P898">
        <f>IF(C898&gt;=200000,5,IF(C898&gt;=100000,4,IF(C898&gt;=50000,3,IF(C898&gt;=10000,2,1))))</f>
        <v>5</v>
      </c>
      <c r="Q898">
        <f>IF(B898="TRANSFER",5,IF(B898="CASH_OUT",4,IF(B898="DEBIT",2,1)))</f>
        <v>5</v>
      </c>
      <c r="R898">
        <f>(P898*0.5)+(Q898*0.3)+(N898*0.1)+(M898*0.1)</f>
        <v>4.0999999999999996</v>
      </c>
      <c r="S898" t="str">
        <f t="shared" si="13"/>
        <v>HIGH</v>
      </c>
    </row>
    <row r="899" spans="1:19" x14ac:dyDescent="0.3">
      <c r="A899">
        <v>73</v>
      </c>
      <c r="B899" t="s">
        <v>18</v>
      </c>
      <c r="C899">
        <v>400157.86</v>
      </c>
      <c r="D899" t="s">
        <v>1805</v>
      </c>
      <c r="E899">
        <v>400157.86</v>
      </c>
      <c r="F899">
        <v>0</v>
      </c>
      <c r="G899" t="s">
        <v>1806</v>
      </c>
      <c r="H899">
        <v>0</v>
      </c>
      <c r="I899">
        <v>400157.86</v>
      </c>
      <c r="J899">
        <v>1</v>
      </c>
      <c r="K899">
        <v>0</v>
      </c>
      <c r="L899">
        <v>1</v>
      </c>
      <c r="M899">
        <v>0</v>
      </c>
      <c r="N899">
        <v>1</v>
      </c>
      <c r="O899">
        <v>400157.86</v>
      </c>
      <c r="P899">
        <f>IF(C899&gt;=200000,5,IF(C899&gt;=100000,4,IF(C899&gt;=50000,3,IF(C899&gt;=10000,2,1))))</f>
        <v>5</v>
      </c>
      <c r="Q899">
        <f>IF(B899="TRANSFER",5,IF(B899="CASH_OUT",4,IF(B899="DEBIT",2,1)))</f>
        <v>4</v>
      </c>
      <c r="R899">
        <f>(P899*0.5)+(Q899*0.3)+(N899*0.1)+(M899*0.1)</f>
        <v>3.8000000000000003</v>
      </c>
      <c r="S899" t="str">
        <f t="shared" ref="S899:S962" si="14">IF(R899&gt;=3,"HIGH",IF(R899&gt;=2,"MEDIUM","LOW"))</f>
        <v>HIGH</v>
      </c>
    </row>
    <row r="900" spans="1:19" x14ac:dyDescent="0.3">
      <c r="A900">
        <v>74</v>
      </c>
      <c r="B900" t="s">
        <v>15</v>
      </c>
      <c r="C900">
        <v>4375931.29</v>
      </c>
      <c r="D900" t="s">
        <v>1807</v>
      </c>
      <c r="E900">
        <v>4375931.29</v>
      </c>
      <c r="F900">
        <v>0</v>
      </c>
      <c r="G900" t="s">
        <v>1808</v>
      </c>
      <c r="H900">
        <v>0</v>
      </c>
      <c r="I900">
        <v>0</v>
      </c>
      <c r="J900">
        <v>1</v>
      </c>
      <c r="K900">
        <v>0</v>
      </c>
      <c r="L900">
        <v>2</v>
      </c>
      <c r="M900">
        <v>0</v>
      </c>
      <c r="N900">
        <v>1</v>
      </c>
      <c r="O900">
        <v>4375931.29</v>
      </c>
      <c r="P900">
        <f>IF(C900&gt;=200000,5,IF(C900&gt;=100000,4,IF(C900&gt;=50000,3,IF(C900&gt;=10000,2,1))))</f>
        <v>5</v>
      </c>
      <c r="Q900">
        <f>IF(B900="TRANSFER",5,IF(B900="CASH_OUT",4,IF(B900="DEBIT",2,1)))</f>
        <v>5</v>
      </c>
      <c r="R900">
        <f>(P900*0.5)+(Q900*0.3)+(N900*0.1)+(M900*0.1)</f>
        <v>4.0999999999999996</v>
      </c>
      <c r="S900" t="str">
        <f t="shared" si="14"/>
        <v>HIGH</v>
      </c>
    </row>
    <row r="901" spans="1:19" x14ac:dyDescent="0.3">
      <c r="A901">
        <v>74</v>
      </c>
      <c r="B901" t="s">
        <v>18</v>
      </c>
      <c r="C901">
        <v>4375931.29</v>
      </c>
      <c r="D901" t="s">
        <v>1809</v>
      </c>
      <c r="E901">
        <v>4375931.29</v>
      </c>
      <c r="F901">
        <v>0</v>
      </c>
      <c r="G901" t="s">
        <v>1810</v>
      </c>
      <c r="H901">
        <v>68494.86</v>
      </c>
      <c r="I901">
        <v>4444426.16</v>
      </c>
      <c r="J901">
        <v>1</v>
      </c>
      <c r="K901">
        <v>0</v>
      </c>
      <c r="L901">
        <v>2</v>
      </c>
      <c r="M901">
        <v>0</v>
      </c>
      <c r="N901">
        <v>1</v>
      </c>
      <c r="O901">
        <v>4375931.29</v>
      </c>
      <c r="P901">
        <f>IF(C901&gt;=200000,5,IF(C901&gt;=100000,4,IF(C901&gt;=50000,3,IF(C901&gt;=10000,2,1))))</f>
        <v>5</v>
      </c>
      <c r="Q901">
        <f>IF(B901="TRANSFER",5,IF(B901="CASH_OUT",4,IF(B901="DEBIT",2,1)))</f>
        <v>4</v>
      </c>
      <c r="R901">
        <f>(P901*0.5)+(Q901*0.3)+(N901*0.1)+(M901*0.1)</f>
        <v>3.8000000000000003</v>
      </c>
      <c r="S901" t="str">
        <f t="shared" si="14"/>
        <v>HIGH</v>
      </c>
    </row>
    <row r="902" spans="1:19" x14ac:dyDescent="0.3">
      <c r="A902">
        <v>74</v>
      </c>
      <c r="B902" t="s">
        <v>15</v>
      </c>
      <c r="C902">
        <v>74177.919999999998</v>
      </c>
      <c r="D902" t="s">
        <v>1811</v>
      </c>
      <c r="E902">
        <v>74177.919999999998</v>
      </c>
      <c r="F902">
        <v>0</v>
      </c>
      <c r="G902" t="s">
        <v>1812</v>
      </c>
      <c r="H902">
        <v>0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1</v>
      </c>
      <c r="O902">
        <v>74177.919999999998</v>
      </c>
      <c r="P902">
        <f>IF(C902&gt;=200000,5,IF(C902&gt;=100000,4,IF(C902&gt;=50000,3,IF(C902&gt;=10000,2,1))))</f>
        <v>3</v>
      </c>
      <c r="Q902">
        <f>IF(B902="TRANSFER",5,IF(B902="CASH_OUT",4,IF(B902="DEBIT",2,1)))</f>
        <v>5</v>
      </c>
      <c r="R902">
        <f>(P902*0.5)+(Q902*0.3)+(N902*0.1)+(M902*0.1)</f>
        <v>3.1</v>
      </c>
      <c r="S902" t="str">
        <f t="shared" si="14"/>
        <v>HIGH</v>
      </c>
    </row>
    <row r="903" spans="1:19" x14ac:dyDescent="0.3">
      <c r="A903">
        <v>74</v>
      </c>
      <c r="B903" t="s">
        <v>18</v>
      </c>
      <c r="C903">
        <v>74177.919999999998</v>
      </c>
      <c r="D903" t="s">
        <v>1813</v>
      </c>
      <c r="E903">
        <v>74177.919999999998</v>
      </c>
      <c r="F903">
        <v>0</v>
      </c>
      <c r="G903" t="s">
        <v>1814</v>
      </c>
      <c r="H903">
        <v>79018.509999999995</v>
      </c>
      <c r="I903">
        <v>153196.43</v>
      </c>
      <c r="J903">
        <v>1</v>
      </c>
      <c r="K903">
        <v>0</v>
      </c>
      <c r="L903">
        <v>2</v>
      </c>
      <c r="M903">
        <v>0</v>
      </c>
      <c r="N903">
        <v>1</v>
      </c>
      <c r="O903">
        <v>74177.919999999998</v>
      </c>
      <c r="P903">
        <f>IF(C903&gt;=200000,5,IF(C903&gt;=100000,4,IF(C903&gt;=50000,3,IF(C903&gt;=10000,2,1))))</f>
        <v>3</v>
      </c>
      <c r="Q903">
        <f>IF(B903="TRANSFER",5,IF(B903="CASH_OUT",4,IF(B903="DEBIT",2,1)))</f>
        <v>4</v>
      </c>
      <c r="R903">
        <f>(P903*0.5)+(Q903*0.3)+(N903*0.1)+(M903*0.1)</f>
        <v>2.8000000000000003</v>
      </c>
      <c r="S903" t="str">
        <f t="shared" si="14"/>
        <v>MEDIUM</v>
      </c>
    </row>
    <row r="904" spans="1:19" x14ac:dyDescent="0.3">
      <c r="A904">
        <v>74</v>
      </c>
      <c r="B904" t="s">
        <v>15</v>
      </c>
      <c r="C904">
        <v>59127.34</v>
      </c>
      <c r="D904" t="s">
        <v>1815</v>
      </c>
      <c r="E904">
        <v>59127.34</v>
      </c>
      <c r="F904">
        <v>0</v>
      </c>
      <c r="G904" t="s">
        <v>1816</v>
      </c>
      <c r="H904">
        <v>0</v>
      </c>
      <c r="I904">
        <v>0</v>
      </c>
      <c r="J904">
        <v>1</v>
      </c>
      <c r="K904">
        <v>0</v>
      </c>
      <c r="L904">
        <v>2</v>
      </c>
      <c r="M904">
        <v>0</v>
      </c>
      <c r="N904">
        <v>1</v>
      </c>
      <c r="O904">
        <v>59127.34</v>
      </c>
      <c r="P904">
        <f>IF(C904&gt;=200000,5,IF(C904&gt;=100000,4,IF(C904&gt;=50000,3,IF(C904&gt;=10000,2,1))))</f>
        <v>3</v>
      </c>
      <c r="Q904">
        <f>IF(B904="TRANSFER",5,IF(B904="CASH_OUT",4,IF(B904="DEBIT",2,1)))</f>
        <v>5</v>
      </c>
      <c r="R904">
        <f>(P904*0.5)+(Q904*0.3)+(N904*0.1)+(M904*0.1)</f>
        <v>3.1</v>
      </c>
      <c r="S904" t="str">
        <f t="shared" si="14"/>
        <v>HIGH</v>
      </c>
    </row>
    <row r="905" spans="1:19" x14ac:dyDescent="0.3">
      <c r="A905">
        <v>74</v>
      </c>
      <c r="B905" t="s">
        <v>18</v>
      </c>
      <c r="C905">
        <v>59127.34</v>
      </c>
      <c r="D905" t="s">
        <v>1817</v>
      </c>
      <c r="E905">
        <v>59127.34</v>
      </c>
      <c r="F905">
        <v>0</v>
      </c>
      <c r="G905" t="s">
        <v>1818</v>
      </c>
      <c r="H905">
        <v>17207.02</v>
      </c>
      <c r="I905">
        <v>76334.36</v>
      </c>
      <c r="J905">
        <v>1</v>
      </c>
      <c r="K905">
        <v>0</v>
      </c>
      <c r="L905">
        <v>2</v>
      </c>
      <c r="M905">
        <v>0</v>
      </c>
      <c r="N905">
        <v>1</v>
      </c>
      <c r="O905">
        <v>59127.34</v>
      </c>
      <c r="P905">
        <f>IF(C905&gt;=200000,5,IF(C905&gt;=100000,4,IF(C905&gt;=50000,3,IF(C905&gt;=10000,2,1))))</f>
        <v>3</v>
      </c>
      <c r="Q905">
        <f>IF(B905="TRANSFER",5,IF(B905="CASH_OUT",4,IF(B905="DEBIT",2,1)))</f>
        <v>4</v>
      </c>
      <c r="R905">
        <f>(P905*0.5)+(Q905*0.3)+(N905*0.1)+(M905*0.1)</f>
        <v>2.8000000000000003</v>
      </c>
      <c r="S905" t="str">
        <f t="shared" si="14"/>
        <v>MEDIUM</v>
      </c>
    </row>
    <row r="906" spans="1:19" x14ac:dyDescent="0.3">
      <c r="A906">
        <v>74</v>
      </c>
      <c r="B906" t="s">
        <v>15</v>
      </c>
      <c r="C906">
        <v>2451423.58</v>
      </c>
      <c r="D906" t="s">
        <v>1819</v>
      </c>
      <c r="E906">
        <v>2451423.58</v>
      </c>
      <c r="F906">
        <v>0</v>
      </c>
      <c r="G906" t="s">
        <v>1820</v>
      </c>
      <c r="H906">
        <v>0</v>
      </c>
      <c r="I906">
        <v>0</v>
      </c>
      <c r="J906">
        <v>1</v>
      </c>
      <c r="K906">
        <v>0</v>
      </c>
      <c r="L906">
        <v>2</v>
      </c>
      <c r="M906">
        <v>0</v>
      </c>
      <c r="N906">
        <v>1</v>
      </c>
      <c r="O906">
        <v>2451423.58</v>
      </c>
      <c r="P906">
        <f>IF(C906&gt;=200000,5,IF(C906&gt;=100000,4,IF(C906&gt;=50000,3,IF(C906&gt;=10000,2,1))))</f>
        <v>5</v>
      </c>
      <c r="Q906">
        <f>IF(B906="TRANSFER",5,IF(B906="CASH_OUT",4,IF(B906="DEBIT",2,1)))</f>
        <v>5</v>
      </c>
      <c r="R906">
        <f>(P906*0.5)+(Q906*0.3)+(N906*0.1)+(M906*0.1)</f>
        <v>4.0999999999999996</v>
      </c>
      <c r="S906" t="str">
        <f t="shared" si="14"/>
        <v>HIGH</v>
      </c>
    </row>
    <row r="907" spans="1:19" x14ac:dyDescent="0.3">
      <c r="A907">
        <v>74</v>
      </c>
      <c r="B907" t="s">
        <v>18</v>
      </c>
      <c r="C907">
        <v>2451423.58</v>
      </c>
      <c r="D907" t="s">
        <v>1821</v>
      </c>
      <c r="E907">
        <v>2451423.58</v>
      </c>
      <c r="F907">
        <v>0</v>
      </c>
      <c r="G907" t="s">
        <v>1822</v>
      </c>
      <c r="H907">
        <v>4870.6499999999996</v>
      </c>
      <c r="I907">
        <v>2456294.2200000002</v>
      </c>
      <c r="J907">
        <v>1</v>
      </c>
      <c r="K907">
        <v>0</v>
      </c>
      <c r="L907">
        <v>2</v>
      </c>
      <c r="M907">
        <v>0</v>
      </c>
      <c r="N907">
        <v>1</v>
      </c>
      <c r="O907">
        <v>2451423.58</v>
      </c>
      <c r="P907">
        <f>IF(C907&gt;=200000,5,IF(C907&gt;=100000,4,IF(C907&gt;=50000,3,IF(C907&gt;=10000,2,1))))</f>
        <v>5</v>
      </c>
      <c r="Q907">
        <f>IF(B907="TRANSFER",5,IF(B907="CASH_OUT",4,IF(B907="DEBIT",2,1)))</f>
        <v>4</v>
      </c>
      <c r="R907">
        <f>(P907*0.5)+(Q907*0.3)+(N907*0.1)+(M907*0.1)</f>
        <v>3.8000000000000003</v>
      </c>
      <c r="S907" t="str">
        <f t="shared" si="14"/>
        <v>HIGH</v>
      </c>
    </row>
    <row r="908" spans="1:19" x14ac:dyDescent="0.3">
      <c r="A908">
        <v>74</v>
      </c>
      <c r="B908" t="s">
        <v>15</v>
      </c>
      <c r="C908">
        <v>59813.61</v>
      </c>
      <c r="D908" t="s">
        <v>1823</v>
      </c>
      <c r="E908">
        <v>59813.61</v>
      </c>
      <c r="F908">
        <v>0</v>
      </c>
      <c r="G908" t="s">
        <v>1824</v>
      </c>
      <c r="H908">
        <v>0</v>
      </c>
      <c r="I908">
        <v>0</v>
      </c>
      <c r="J908">
        <v>1</v>
      </c>
      <c r="K908">
        <v>0</v>
      </c>
      <c r="L908">
        <v>2</v>
      </c>
      <c r="M908">
        <v>0</v>
      </c>
      <c r="N908">
        <v>1</v>
      </c>
      <c r="O908">
        <v>59813.61</v>
      </c>
      <c r="P908">
        <f>IF(C908&gt;=200000,5,IF(C908&gt;=100000,4,IF(C908&gt;=50000,3,IF(C908&gt;=10000,2,1))))</f>
        <v>3</v>
      </c>
      <c r="Q908">
        <f>IF(B908="TRANSFER",5,IF(B908="CASH_OUT",4,IF(B908="DEBIT",2,1)))</f>
        <v>5</v>
      </c>
      <c r="R908">
        <f>(P908*0.5)+(Q908*0.3)+(N908*0.1)+(M908*0.1)</f>
        <v>3.1</v>
      </c>
      <c r="S908" t="str">
        <f t="shared" si="14"/>
        <v>HIGH</v>
      </c>
    </row>
    <row r="909" spans="1:19" x14ac:dyDescent="0.3">
      <c r="A909">
        <v>74</v>
      </c>
      <c r="B909" t="s">
        <v>18</v>
      </c>
      <c r="C909">
        <v>59813.61</v>
      </c>
      <c r="D909" t="s">
        <v>1825</v>
      </c>
      <c r="E909">
        <v>59813.61</v>
      </c>
      <c r="F909">
        <v>0</v>
      </c>
      <c r="G909" t="s">
        <v>1826</v>
      </c>
      <c r="H909">
        <v>0</v>
      </c>
      <c r="I909">
        <v>59813.61</v>
      </c>
      <c r="J909">
        <v>1</v>
      </c>
      <c r="K909">
        <v>0</v>
      </c>
      <c r="L909">
        <v>2</v>
      </c>
      <c r="M909">
        <v>0</v>
      </c>
      <c r="N909">
        <v>1</v>
      </c>
      <c r="O909">
        <v>59813.61</v>
      </c>
      <c r="P909">
        <f>IF(C909&gt;=200000,5,IF(C909&gt;=100000,4,IF(C909&gt;=50000,3,IF(C909&gt;=10000,2,1))))</f>
        <v>3</v>
      </c>
      <c r="Q909">
        <f>IF(B909="TRANSFER",5,IF(B909="CASH_OUT",4,IF(B909="DEBIT",2,1)))</f>
        <v>4</v>
      </c>
      <c r="R909">
        <f>(P909*0.5)+(Q909*0.3)+(N909*0.1)+(M909*0.1)</f>
        <v>2.8000000000000003</v>
      </c>
      <c r="S909" t="str">
        <f t="shared" si="14"/>
        <v>MEDIUM</v>
      </c>
    </row>
    <row r="910" spans="1:19" x14ac:dyDescent="0.3">
      <c r="A910">
        <v>74</v>
      </c>
      <c r="B910" t="s">
        <v>15</v>
      </c>
      <c r="C910">
        <v>158489.29</v>
      </c>
      <c r="D910" t="s">
        <v>1827</v>
      </c>
      <c r="E910">
        <v>158489.29</v>
      </c>
      <c r="F910">
        <v>0</v>
      </c>
      <c r="G910" t="s">
        <v>1828</v>
      </c>
      <c r="H910">
        <v>0</v>
      </c>
      <c r="I910">
        <v>0</v>
      </c>
      <c r="J910">
        <v>1</v>
      </c>
      <c r="K910">
        <v>0</v>
      </c>
      <c r="L910">
        <v>2</v>
      </c>
      <c r="M910">
        <v>0</v>
      </c>
      <c r="N910">
        <v>1</v>
      </c>
      <c r="O910">
        <v>158489.29</v>
      </c>
      <c r="P910">
        <f>IF(C910&gt;=200000,5,IF(C910&gt;=100000,4,IF(C910&gt;=50000,3,IF(C910&gt;=10000,2,1))))</f>
        <v>4</v>
      </c>
      <c r="Q910">
        <f>IF(B910="TRANSFER",5,IF(B910="CASH_OUT",4,IF(B910="DEBIT",2,1)))</f>
        <v>5</v>
      </c>
      <c r="R910">
        <f>(P910*0.5)+(Q910*0.3)+(N910*0.1)+(M910*0.1)</f>
        <v>3.6</v>
      </c>
      <c r="S910" t="str">
        <f t="shared" si="14"/>
        <v>HIGH</v>
      </c>
    </row>
    <row r="911" spans="1:19" x14ac:dyDescent="0.3">
      <c r="A911">
        <v>74</v>
      </c>
      <c r="B911" t="s">
        <v>18</v>
      </c>
      <c r="C911">
        <v>158489.29</v>
      </c>
      <c r="D911" t="s">
        <v>1829</v>
      </c>
      <c r="E911">
        <v>158489.29</v>
      </c>
      <c r="F911">
        <v>0</v>
      </c>
      <c r="G911" t="s">
        <v>1830</v>
      </c>
      <c r="H911">
        <v>0</v>
      </c>
      <c r="I911">
        <v>158489.29</v>
      </c>
      <c r="J911">
        <v>1</v>
      </c>
      <c r="K911">
        <v>0</v>
      </c>
      <c r="L911">
        <v>2</v>
      </c>
      <c r="M911">
        <v>0</v>
      </c>
      <c r="N911">
        <v>1</v>
      </c>
      <c r="O911">
        <v>158489.29</v>
      </c>
      <c r="P911">
        <f>IF(C911&gt;=200000,5,IF(C911&gt;=100000,4,IF(C911&gt;=50000,3,IF(C911&gt;=10000,2,1))))</f>
        <v>4</v>
      </c>
      <c r="Q911">
        <f>IF(B911="TRANSFER",5,IF(B911="CASH_OUT",4,IF(B911="DEBIT",2,1)))</f>
        <v>4</v>
      </c>
      <c r="R911">
        <f>(P911*0.5)+(Q911*0.3)+(N911*0.1)+(M911*0.1)</f>
        <v>3.3000000000000003</v>
      </c>
      <c r="S911" t="str">
        <f t="shared" si="14"/>
        <v>HIGH</v>
      </c>
    </row>
    <row r="912" spans="1:19" x14ac:dyDescent="0.3">
      <c r="A912">
        <v>74</v>
      </c>
      <c r="B912" t="s">
        <v>15</v>
      </c>
      <c r="C912">
        <v>85637.08</v>
      </c>
      <c r="D912" t="s">
        <v>1831</v>
      </c>
      <c r="E912">
        <v>85637.08</v>
      </c>
      <c r="F912">
        <v>0</v>
      </c>
      <c r="G912" t="s">
        <v>1832</v>
      </c>
      <c r="H912">
        <v>0</v>
      </c>
      <c r="I912">
        <v>0</v>
      </c>
      <c r="J912">
        <v>1</v>
      </c>
      <c r="K912">
        <v>0</v>
      </c>
      <c r="L912">
        <v>2</v>
      </c>
      <c r="M912">
        <v>0</v>
      </c>
      <c r="N912">
        <v>1</v>
      </c>
      <c r="O912">
        <v>85637.08</v>
      </c>
      <c r="P912">
        <f>IF(C912&gt;=200000,5,IF(C912&gt;=100000,4,IF(C912&gt;=50000,3,IF(C912&gt;=10000,2,1))))</f>
        <v>3</v>
      </c>
      <c r="Q912">
        <f>IF(B912="TRANSFER",5,IF(B912="CASH_OUT",4,IF(B912="DEBIT",2,1)))</f>
        <v>5</v>
      </c>
      <c r="R912">
        <f>(P912*0.5)+(Q912*0.3)+(N912*0.1)+(M912*0.1)</f>
        <v>3.1</v>
      </c>
      <c r="S912" t="str">
        <f t="shared" si="14"/>
        <v>HIGH</v>
      </c>
    </row>
    <row r="913" spans="1:19" x14ac:dyDescent="0.3">
      <c r="A913">
        <v>74</v>
      </c>
      <c r="B913" t="s">
        <v>18</v>
      </c>
      <c r="C913">
        <v>85637.08</v>
      </c>
      <c r="D913" t="s">
        <v>1833</v>
      </c>
      <c r="E913">
        <v>85637.08</v>
      </c>
      <c r="F913">
        <v>0</v>
      </c>
      <c r="G913" t="s">
        <v>1834</v>
      </c>
      <c r="H913">
        <v>235137.06</v>
      </c>
      <c r="I913">
        <v>320774.13</v>
      </c>
      <c r="J913">
        <v>1</v>
      </c>
      <c r="K913">
        <v>0</v>
      </c>
      <c r="L913">
        <v>2</v>
      </c>
      <c r="M913">
        <v>0</v>
      </c>
      <c r="N913">
        <v>1</v>
      </c>
      <c r="O913">
        <v>85637.08</v>
      </c>
      <c r="P913">
        <f>IF(C913&gt;=200000,5,IF(C913&gt;=100000,4,IF(C913&gt;=50000,3,IF(C913&gt;=10000,2,1))))</f>
        <v>3</v>
      </c>
      <c r="Q913">
        <f>IF(B913="TRANSFER",5,IF(B913="CASH_OUT",4,IF(B913="DEBIT",2,1)))</f>
        <v>4</v>
      </c>
      <c r="R913">
        <f>(P913*0.5)+(Q913*0.3)+(N913*0.1)+(M913*0.1)</f>
        <v>2.8000000000000003</v>
      </c>
      <c r="S913" t="str">
        <f t="shared" si="14"/>
        <v>MEDIUM</v>
      </c>
    </row>
    <row r="914" spans="1:19" x14ac:dyDescent="0.3">
      <c r="A914">
        <v>74</v>
      </c>
      <c r="B914" t="s">
        <v>15</v>
      </c>
      <c r="C914">
        <v>1311150.8999999999</v>
      </c>
      <c r="D914" t="s">
        <v>1835</v>
      </c>
      <c r="E914">
        <v>1311150.8999999999</v>
      </c>
      <c r="F914">
        <v>0</v>
      </c>
      <c r="G914" t="s">
        <v>1836</v>
      </c>
      <c r="H914">
        <v>0</v>
      </c>
      <c r="I914">
        <v>0</v>
      </c>
      <c r="J914">
        <v>1</v>
      </c>
      <c r="K914">
        <v>0</v>
      </c>
      <c r="L914">
        <v>2</v>
      </c>
      <c r="M914">
        <v>0</v>
      </c>
      <c r="N914">
        <v>1</v>
      </c>
      <c r="O914">
        <v>1311150.8999999999</v>
      </c>
      <c r="P914">
        <f>IF(C914&gt;=200000,5,IF(C914&gt;=100000,4,IF(C914&gt;=50000,3,IF(C914&gt;=10000,2,1))))</f>
        <v>5</v>
      </c>
      <c r="Q914">
        <f>IF(B914="TRANSFER",5,IF(B914="CASH_OUT",4,IF(B914="DEBIT",2,1)))</f>
        <v>5</v>
      </c>
      <c r="R914">
        <f>(P914*0.5)+(Q914*0.3)+(N914*0.1)+(M914*0.1)</f>
        <v>4.0999999999999996</v>
      </c>
      <c r="S914" t="str">
        <f t="shared" si="14"/>
        <v>HIGH</v>
      </c>
    </row>
    <row r="915" spans="1:19" x14ac:dyDescent="0.3">
      <c r="A915">
        <v>74</v>
      </c>
      <c r="B915" t="s">
        <v>18</v>
      </c>
      <c r="C915">
        <v>1311150.8999999999</v>
      </c>
      <c r="D915" t="s">
        <v>1837</v>
      </c>
      <c r="E915">
        <v>1311150.8999999999</v>
      </c>
      <c r="F915">
        <v>0</v>
      </c>
      <c r="G915" t="s">
        <v>1838</v>
      </c>
      <c r="H915">
        <v>0</v>
      </c>
      <c r="I915">
        <v>1311150.8999999999</v>
      </c>
      <c r="J915">
        <v>1</v>
      </c>
      <c r="K915">
        <v>0</v>
      </c>
      <c r="L915">
        <v>2</v>
      </c>
      <c r="M915">
        <v>0</v>
      </c>
      <c r="N915">
        <v>1</v>
      </c>
      <c r="O915">
        <v>1311150.8999999999</v>
      </c>
      <c r="P915">
        <f>IF(C915&gt;=200000,5,IF(C915&gt;=100000,4,IF(C915&gt;=50000,3,IF(C915&gt;=10000,2,1))))</f>
        <v>5</v>
      </c>
      <c r="Q915">
        <f>IF(B915="TRANSFER",5,IF(B915="CASH_OUT",4,IF(B915="DEBIT",2,1)))</f>
        <v>4</v>
      </c>
      <c r="R915">
        <f>(P915*0.5)+(Q915*0.3)+(N915*0.1)+(M915*0.1)</f>
        <v>3.8000000000000003</v>
      </c>
      <c r="S915" t="str">
        <f t="shared" si="14"/>
        <v>HIGH</v>
      </c>
    </row>
    <row r="916" spans="1:19" x14ac:dyDescent="0.3">
      <c r="A916">
        <v>74</v>
      </c>
      <c r="B916" t="s">
        <v>15</v>
      </c>
      <c r="C916">
        <v>4582074.51</v>
      </c>
      <c r="D916" t="s">
        <v>1839</v>
      </c>
      <c r="E916">
        <v>4582074.51</v>
      </c>
      <c r="F916">
        <v>0</v>
      </c>
      <c r="G916" t="s">
        <v>1840</v>
      </c>
      <c r="H916">
        <v>0</v>
      </c>
      <c r="I916">
        <v>0</v>
      </c>
      <c r="J916">
        <v>1</v>
      </c>
      <c r="K916">
        <v>0</v>
      </c>
      <c r="L916">
        <v>2</v>
      </c>
      <c r="M916">
        <v>0</v>
      </c>
      <c r="N916">
        <v>1</v>
      </c>
      <c r="O916">
        <v>4582074.51</v>
      </c>
      <c r="P916">
        <f>IF(C916&gt;=200000,5,IF(C916&gt;=100000,4,IF(C916&gt;=50000,3,IF(C916&gt;=10000,2,1))))</f>
        <v>5</v>
      </c>
      <c r="Q916">
        <f>IF(B916="TRANSFER",5,IF(B916="CASH_OUT",4,IF(B916="DEBIT",2,1)))</f>
        <v>5</v>
      </c>
      <c r="R916">
        <f>(P916*0.5)+(Q916*0.3)+(N916*0.1)+(M916*0.1)</f>
        <v>4.0999999999999996</v>
      </c>
      <c r="S916" t="str">
        <f t="shared" si="14"/>
        <v>HIGH</v>
      </c>
    </row>
    <row r="917" spans="1:19" x14ac:dyDescent="0.3">
      <c r="A917">
        <v>74</v>
      </c>
      <c r="B917" t="s">
        <v>18</v>
      </c>
      <c r="C917">
        <v>4582074.51</v>
      </c>
      <c r="D917" t="s">
        <v>1841</v>
      </c>
      <c r="E917">
        <v>4582074.51</v>
      </c>
      <c r="F917">
        <v>0</v>
      </c>
      <c r="G917" t="s">
        <v>1842</v>
      </c>
      <c r="H917">
        <v>154034.94</v>
      </c>
      <c r="I917">
        <v>4736109.45</v>
      </c>
      <c r="J917">
        <v>1</v>
      </c>
      <c r="K917">
        <v>0</v>
      </c>
      <c r="L917">
        <v>2</v>
      </c>
      <c r="M917">
        <v>0</v>
      </c>
      <c r="N917">
        <v>1</v>
      </c>
      <c r="O917">
        <v>4582074.51</v>
      </c>
      <c r="P917">
        <f>IF(C917&gt;=200000,5,IF(C917&gt;=100000,4,IF(C917&gt;=50000,3,IF(C917&gt;=10000,2,1))))</f>
        <v>5</v>
      </c>
      <c r="Q917">
        <f>IF(B917="TRANSFER",5,IF(B917="CASH_OUT",4,IF(B917="DEBIT",2,1)))</f>
        <v>4</v>
      </c>
      <c r="R917">
        <f>(P917*0.5)+(Q917*0.3)+(N917*0.1)+(M917*0.1)</f>
        <v>3.8000000000000003</v>
      </c>
      <c r="S917" t="str">
        <f t="shared" si="14"/>
        <v>HIGH</v>
      </c>
    </row>
    <row r="918" spans="1:19" x14ac:dyDescent="0.3">
      <c r="A918">
        <v>74</v>
      </c>
      <c r="B918" t="s">
        <v>15</v>
      </c>
      <c r="C918">
        <v>455074.13</v>
      </c>
      <c r="D918" t="s">
        <v>1843</v>
      </c>
      <c r="E918">
        <v>455074.13</v>
      </c>
      <c r="F918">
        <v>0</v>
      </c>
      <c r="G918" t="s">
        <v>1844</v>
      </c>
      <c r="H918">
        <v>0</v>
      </c>
      <c r="I918">
        <v>0</v>
      </c>
      <c r="J918">
        <v>1</v>
      </c>
      <c r="K918">
        <v>0</v>
      </c>
      <c r="L918">
        <v>2</v>
      </c>
      <c r="M918">
        <v>0</v>
      </c>
      <c r="N918">
        <v>1</v>
      </c>
      <c r="O918">
        <v>455074.13</v>
      </c>
      <c r="P918">
        <f>IF(C918&gt;=200000,5,IF(C918&gt;=100000,4,IF(C918&gt;=50000,3,IF(C918&gt;=10000,2,1))))</f>
        <v>5</v>
      </c>
      <c r="Q918">
        <f>IF(B918="TRANSFER",5,IF(B918="CASH_OUT",4,IF(B918="DEBIT",2,1)))</f>
        <v>5</v>
      </c>
      <c r="R918">
        <f>(P918*0.5)+(Q918*0.3)+(N918*0.1)+(M918*0.1)</f>
        <v>4.0999999999999996</v>
      </c>
      <c r="S918" t="str">
        <f t="shared" si="14"/>
        <v>HIGH</v>
      </c>
    </row>
    <row r="919" spans="1:19" x14ac:dyDescent="0.3">
      <c r="A919">
        <v>74</v>
      </c>
      <c r="B919" t="s">
        <v>18</v>
      </c>
      <c r="C919">
        <v>455074.13</v>
      </c>
      <c r="D919" t="s">
        <v>1845</v>
      </c>
      <c r="E919">
        <v>455074.13</v>
      </c>
      <c r="F919">
        <v>0</v>
      </c>
      <c r="G919" t="s">
        <v>211</v>
      </c>
      <c r="H919">
        <v>9237170.7400000002</v>
      </c>
      <c r="I919">
        <v>9692244.8599999994</v>
      </c>
      <c r="J919">
        <v>1</v>
      </c>
      <c r="K919">
        <v>0</v>
      </c>
      <c r="L919">
        <v>2</v>
      </c>
      <c r="M919">
        <v>0</v>
      </c>
      <c r="N919">
        <v>1</v>
      </c>
      <c r="O919">
        <v>455074.13</v>
      </c>
      <c r="P919">
        <f>IF(C919&gt;=200000,5,IF(C919&gt;=100000,4,IF(C919&gt;=50000,3,IF(C919&gt;=10000,2,1))))</f>
        <v>5</v>
      </c>
      <c r="Q919">
        <f>IF(B919="TRANSFER",5,IF(B919="CASH_OUT",4,IF(B919="DEBIT",2,1)))</f>
        <v>4</v>
      </c>
      <c r="R919">
        <f>(P919*0.5)+(Q919*0.3)+(N919*0.1)+(M919*0.1)</f>
        <v>3.8000000000000003</v>
      </c>
      <c r="S919" t="str">
        <f t="shared" si="14"/>
        <v>HIGH</v>
      </c>
    </row>
    <row r="920" spans="1:19" x14ac:dyDescent="0.3">
      <c r="A920">
        <v>74</v>
      </c>
      <c r="B920" t="s">
        <v>15</v>
      </c>
      <c r="C920">
        <v>3284197.88</v>
      </c>
      <c r="D920" t="s">
        <v>1846</v>
      </c>
      <c r="E920">
        <v>3284197.88</v>
      </c>
      <c r="F920">
        <v>0</v>
      </c>
      <c r="G920" t="s">
        <v>1847</v>
      </c>
      <c r="H920">
        <v>0</v>
      </c>
      <c r="I920">
        <v>0</v>
      </c>
      <c r="J920">
        <v>1</v>
      </c>
      <c r="K920">
        <v>0</v>
      </c>
      <c r="L920">
        <v>2</v>
      </c>
      <c r="M920">
        <v>0</v>
      </c>
      <c r="N920">
        <v>1</v>
      </c>
      <c r="O920">
        <v>3284197.88</v>
      </c>
      <c r="P920">
        <f>IF(C920&gt;=200000,5,IF(C920&gt;=100000,4,IF(C920&gt;=50000,3,IF(C920&gt;=10000,2,1))))</f>
        <v>5</v>
      </c>
      <c r="Q920">
        <f>IF(B920="TRANSFER",5,IF(B920="CASH_OUT",4,IF(B920="DEBIT",2,1)))</f>
        <v>5</v>
      </c>
      <c r="R920">
        <f>(P920*0.5)+(Q920*0.3)+(N920*0.1)+(M920*0.1)</f>
        <v>4.0999999999999996</v>
      </c>
      <c r="S920" t="str">
        <f t="shared" si="14"/>
        <v>HIGH</v>
      </c>
    </row>
    <row r="921" spans="1:19" x14ac:dyDescent="0.3">
      <c r="A921">
        <v>74</v>
      </c>
      <c r="B921" t="s">
        <v>18</v>
      </c>
      <c r="C921">
        <v>3284197.88</v>
      </c>
      <c r="D921" t="s">
        <v>1848</v>
      </c>
      <c r="E921">
        <v>3284197.88</v>
      </c>
      <c r="F921">
        <v>0</v>
      </c>
      <c r="G921" t="s">
        <v>1849</v>
      </c>
      <c r="H921">
        <v>200942.07999999999</v>
      </c>
      <c r="I921">
        <v>3485139.96</v>
      </c>
      <c r="J921">
        <v>1</v>
      </c>
      <c r="K921">
        <v>0</v>
      </c>
      <c r="L921">
        <v>2</v>
      </c>
      <c r="M921">
        <v>0</v>
      </c>
      <c r="N921">
        <v>1</v>
      </c>
      <c r="O921">
        <v>3284197.88</v>
      </c>
      <c r="P921">
        <f>IF(C921&gt;=200000,5,IF(C921&gt;=100000,4,IF(C921&gt;=50000,3,IF(C921&gt;=10000,2,1))))</f>
        <v>5</v>
      </c>
      <c r="Q921">
        <f>IF(B921="TRANSFER",5,IF(B921="CASH_OUT",4,IF(B921="DEBIT",2,1)))</f>
        <v>4</v>
      </c>
      <c r="R921">
        <f>(P921*0.5)+(Q921*0.3)+(N921*0.1)+(M921*0.1)</f>
        <v>3.8000000000000003</v>
      </c>
      <c r="S921" t="str">
        <f t="shared" si="14"/>
        <v>HIGH</v>
      </c>
    </row>
    <row r="922" spans="1:19" x14ac:dyDescent="0.3">
      <c r="A922">
        <v>75</v>
      </c>
      <c r="B922" t="s">
        <v>15</v>
      </c>
      <c r="C922">
        <v>810039.19</v>
      </c>
      <c r="D922" t="s">
        <v>1850</v>
      </c>
      <c r="E922">
        <v>810039.19</v>
      </c>
      <c r="F922">
        <v>0</v>
      </c>
      <c r="G922" t="s">
        <v>1851</v>
      </c>
      <c r="H922">
        <v>0</v>
      </c>
      <c r="I922">
        <v>0</v>
      </c>
      <c r="J922">
        <v>1</v>
      </c>
      <c r="K922">
        <v>0</v>
      </c>
      <c r="L922">
        <v>3</v>
      </c>
      <c r="M922">
        <v>0</v>
      </c>
      <c r="N922">
        <v>1</v>
      </c>
      <c r="O922">
        <v>810039.19</v>
      </c>
      <c r="P922">
        <f>IF(C922&gt;=200000,5,IF(C922&gt;=100000,4,IF(C922&gt;=50000,3,IF(C922&gt;=10000,2,1))))</f>
        <v>5</v>
      </c>
      <c r="Q922">
        <f>IF(B922="TRANSFER",5,IF(B922="CASH_OUT",4,IF(B922="DEBIT",2,1)))</f>
        <v>5</v>
      </c>
      <c r="R922">
        <f>(P922*0.5)+(Q922*0.3)+(N922*0.1)+(M922*0.1)</f>
        <v>4.0999999999999996</v>
      </c>
      <c r="S922" t="str">
        <f t="shared" si="14"/>
        <v>HIGH</v>
      </c>
    </row>
    <row r="923" spans="1:19" x14ac:dyDescent="0.3">
      <c r="A923">
        <v>75</v>
      </c>
      <c r="B923" t="s">
        <v>18</v>
      </c>
      <c r="C923">
        <v>810039.19</v>
      </c>
      <c r="D923" t="s">
        <v>1852</v>
      </c>
      <c r="E923">
        <v>810039.19</v>
      </c>
      <c r="F923">
        <v>0</v>
      </c>
      <c r="G923" t="s">
        <v>1853</v>
      </c>
      <c r="H923">
        <v>409035.12</v>
      </c>
      <c r="I923">
        <v>1219074.31</v>
      </c>
      <c r="J923">
        <v>1</v>
      </c>
      <c r="K923">
        <v>0</v>
      </c>
      <c r="L923">
        <v>3</v>
      </c>
      <c r="M923">
        <v>0</v>
      </c>
      <c r="N923">
        <v>1</v>
      </c>
      <c r="O923">
        <v>810039.19</v>
      </c>
      <c r="P923">
        <f>IF(C923&gt;=200000,5,IF(C923&gt;=100000,4,IF(C923&gt;=50000,3,IF(C923&gt;=10000,2,1))))</f>
        <v>5</v>
      </c>
      <c r="Q923">
        <f>IF(B923="TRANSFER",5,IF(B923="CASH_OUT",4,IF(B923="DEBIT",2,1)))</f>
        <v>4</v>
      </c>
      <c r="R923">
        <f>(P923*0.5)+(Q923*0.3)+(N923*0.1)+(M923*0.1)</f>
        <v>3.8000000000000003</v>
      </c>
      <c r="S923" t="str">
        <f t="shared" si="14"/>
        <v>HIGH</v>
      </c>
    </row>
    <row r="924" spans="1:19" x14ac:dyDescent="0.3">
      <c r="A924">
        <v>75</v>
      </c>
      <c r="B924" t="s">
        <v>15</v>
      </c>
      <c r="C924">
        <v>959018.79</v>
      </c>
      <c r="D924" t="s">
        <v>1854</v>
      </c>
      <c r="E924">
        <v>959018.79</v>
      </c>
      <c r="F924">
        <v>0</v>
      </c>
      <c r="G924" t="s">
        <v>1855</v>
      </c>
      <c r="H924">
        <v>0</v>
      </c>
      <c r="I924">
        <v>0</v>
      </c>
      <c r="J924">
        <v>1</v>
      </c>
      <c r="K924">
        <v>0</v>
      </c>
      <c r="L924">
        <v>3</v>
      </c>
      <c r="M924">
        <v>0</v>
      </c>
      <c r="N924">
        <v>1</v>
      </c>
      <c r="O924">
        <v>959018.79</v>
      </c>
      <c r="P924">
        <f>IF(C924&gt;=200000,5,IF(C924&gt;=100000,4,IF(C924&gt;=50000,3,IF(C924&gt;=10000,2,1))))</f>
        <v>5</v>
      </c>
      <c r="Q924">
        <f>IF(B924="TRANSFER",5,IF(B924="CASH_OUT",4,IF(B924="DEBIT",2,1)))</f>
        <v>5</v>
      </c>
      <c r="R924">
        <f>(P924*0.5)+(Q924*0.3)+(N924*0.1)+(M924*0.1)</f>
        <v>4.0999999999999996</v>
      </c>
      <c r="S924" t="str">
        <f t="shared" si="14"/>
        <v>HIGH</v>
      </c>
    </row>
    <row r="925" spans="1:19" x14ac:dyDescent="0.3">
      <c r="A925">
        <v>75</v>
      </c>
      <c r="B925" t="s">
        <v>18</v>
      </c>
      <c r="C925">
        <v>959018.79</v>
      </c>
      <c r="D925" t="s">
        <v>1856</v>
      </c>
      <c r="E925">
        <v>959018.79</v>
      </c>
      <c r="F925">
        <v>0</v>
      </c>
      <c r="G925" t="s">
        <v>1857</v>
      </c>
      <c r="H925">
        <v>0</v>
      </c>
      <c r="I925">
        <v>959018.79</v>
      </c>
      <c r="J925">
        <v>1</v>
      </c>
      <c r="K925">
        <v>0</v>
      </c>
      <c r="L925">
        <v>3</v>
      </c>
      <c r="M925">
        <v>0</v>
      </c>
      <c r="N925">
        <v>1</v>
      </c>
      <c r="O925">
        <v>959018.79</v>
      </c>
      <c r="P925">
        <f>IF(C925&gt;=200000,5,IF(C925&gt;=100000,4,IF(C925&gt;=50000,3,IF(C925&gt;=10000,2,1))))</f>
        <v>5</v>
      </c>
      <c r="Q925">
        <f>IF(B925="TRANSFER",5,IF(B925="CASH_OUT",4,IF(B925="DEBIT",2,1)))</f>
        <v>4</v>
      </c>
      <c r="R925">
        <f>(P925*0.5)+(Q925*0.3)+(N925*0.1)+(M925*0.1)</f>
        <v>3.8000000000000003</v>
      </c>
      <c r="S925" t="str">
        <f t="shared" si="14"/>
        <v>HIGH</v>
      </c>
    </row>
    <row r="926" spans="1:19" x14ac:dyDescent="0.3">
      <c r="A926">
        <v>75</v>
      </c>
      <c r="B926" t="s">
        <v>15</v>
      </c>
      <c r="C926">
        <v>755813.12</v>
      </c>
      <c r="D926" t="s">
        <v>1858</v>
      </c>
      <c r="E926">
        <v>755813.12</v>
      </c>
      <c r="F926">
        <v>0</v>
      </c>
      <c r="G926" t="s">
        <v>1859</v>
      </c>
      <c r="H926">
        <v>0</v>
      </c>
      <c r="I926">
        <v>0</v>
      </c>
      <c r="J926">
        <v>1</v>
      </c>
      <c r="K926">
        <v>0</v>
      </c>
      <c r="L926">
        <v>3</v>
      </c>
      <c r="M926">
        <v>0</v>
      </c>
      <c r="N926">
        <v>1</v>
      </c>
      <c r="O926">
        <v>755813.12</v>
      </c>
      <c r="P926">
        <f>IF(C926&gt;=200000,5,IF(C926&gt;=100000,4,IF(C926&gt;=50000,3,IF(C926&gt;=10000,2,1))))</f>
        <v>5</v>
      </c>
      <c r="Q926">
        <f>IF(B926="TRANSFER",5,IF(B926="CASH_OUT",4,IF(B926="DEBIT",2,1)))</f>
        <v>5</v>
      </c>
      <c r="R926">
        <f>(P926*0.5)+(Q926*0.3)+(N926*0.1)+(M926*0.1)</f>
        <v>4.0999999999999996</v>
      </c>
      <c r="S926" t="str">
        <f t="shared" si="14"/>
        <v>HIGH</v>
      </c>
    </row>
    <row r="927" spans="1:19" x14ac:dyDescent="0.3">
      <c r="A927">
        <v>75</v>
      </c>
      <c r="B927" t="s">
        <v>18</v>
      </c>
      <c r="C927">
        <v>755813.12</v>
      </c>
      <c r="D927" t="s">
        <v>1860</v>
      </c>
      <c r="E927">
        <v>755813.12</v>
      </c>
      <c r="F927">
        <v>0</v>
      </c>
      <c r="G927" t="s">
        <v>1861</v>
      </c>
      <c r="H927">
        <v>494575.27</v>
      </c>
      <c r="I927">
        <v>1250388.3799999999</v>
      </c>
      <c r="J927">
        <v>1</v>
      </c>
      <c r="K927">
        <v>0</v>
      </c>
      <c r="L927">
        <v>3</v>
      </c>
      <c r="M927">
        <v>0</v>
      </c>
      <c r="N927">
        <v>1</v>
      </c>
      <c r="O927">
        <v>755813.12</v>
      </c>
      <c r="P927">
        <f>IF(C927&gt;=200000,5,IF(C927&gt;=100000,4,IF(C927&gt;=50000,3,IF(C927&gt;=10000,2,1))))</f>
        <v>5</v>
      </c>
      <c r="Q927">
        <f>IF(B927="TRANSFER",5,IF(B927="CASH_OUT",4,IF(B927="DEBIT",2,1)))</f>
        <v>4</v>
      </c>
      <c r="R927">
        <f>(P927*0.5)+(Q927*0.3)+(N927*0.1)+(M927*0.1)</f>
        <v>3.8000000000000003</v>
      </c>
      <c r="S927" t="str">
        <f t="shared" si="14"/>
        <v>HIGH</v>
      </c>
    </row>
    <row r="928" spans="1:19" x14ac:dyDescent="0.3">
      <c r="A928">
        <v>75</v>
      </c>
      <c r="B928" t="s">
        <v>15</v>
      </c>
      <c r="C928">
        <v>460436.43</v>
      </c>
      <c r="D928" t="s">
        <v>1862</v>
      </c>
      <c r="E928">
        <v>460436.43</v>
      </c>
      <c r="F928">
        <v>0</v>
      </c>
      <c r="G928" t="s">
        <v>1863</v>
      </c>
      <c r="H928">
        <v>0</v>
      </c>
      <c r="I928">
        <v>0</v>
      </c>
      <c r="J928">
        <v>1</v>
      </c>
      <c r="K928">
        <v>0</v>
      </c>
      <c r="L928">
        <v>3</v>
      </c>
      <c r="M928">
        <v>0</v>
      </c>
      <c r="N928">
        <v>1</v>
      </c>
      <c r="O928">
        <v>460436.43</v>
      </c>
      <c r="P928">
        <f>IF(C928&gt;=200000,5,IF(C928&gt;=100000,4,IF(C928&gt;=50000,3,IF(C928&gt;=10000,2,1))))</f>
        <v>5</v>
      </c>
      <c r="Q928">
        <f>IF(B928="TRANSFER",5,IF(B928="CASH_OUT",4,IF(B928="DEBIT",2,1)))</f>
        <v>5</v>
      </c>
      <c r="R928">
        <f>(P928*0.5)+(Q928*0.3)+(N928*0.1)+(M928*0.1)</f>
        <v>4.0999999999999996</v>
      </c>
      <c r="S928" t="str">
        <f t="shared" si="14"/>
        <v>HIGH</v>
      </c>
    </row>
    <row r="929" spans="1:19" x14ac:dyDescent="0.3">
      <c r="A929">
        <v>75</v>
      </c>
      <c r="B929" t="s">
        <v>18</v>
      </c>
      <c r="C929">
        <v>460436.43</v>
      </c>
      <c r="D929" t="s">
        <v>1864</v>
      </c>
      <c r="E929">
        <v>460436.43</v>
      </c>
      <c r="F929">
        <v>0</v>
      </c>
      <c r="G929" t="s">
        <v>1865</v>
      </c>
      <c r="H929">
        <v>0</v>
      </c>
      <c r="I929">
        <v>460436.43</v>
      </c>
      <c r="J929">
        <v>1</v>
      </c>
      <c r="K929">
        <v>0</v>
      </c>
      <c r="L929">
        <v>3</v>
      </c>
      <c r="M929">
        <v>0</v>
      </c>
      <c r="N929">
        <v>1</v>
      </c>
      <c r="O929">
        <v>460436.43</v>
      </c>
      <c r="P929">
        <f>IF(C929&gt;=200000,5,IF(C929&gt;=100000,4,IF(C929&gt;=50000,3,IF(C929&gt;=10000,2,1))))</f>
        <v>5</v>
      </c>
      <c r="Q929">
        <f>IF(B929="TRANSFER",5,IF(B929="CASH_OUT",4,IF(B929="DEBIT",2,1)))</f>
        <v>4</v>
      </c>
      <c r="R929">
        <f>(P929*0.5)+(Q929*0.3)+(N929*0.1)+(M929*0.1)</f>
        <v>3.8000000000000003</v>
      </c>
      <c r="S929" t="str">
        <f t="shared" si="14"/>
        <v>HIGH</v>
      </c>
    </row>
    <row r="930" spans="1:19" x14ac:dyDescent="0.3">
      <c r="A930">
        <v>76</v>
      </c>
      <c r="B930" t="s">
        <v>15</v>
      </c>
      <c r="C930">
        <v>9917.27</v>
      </c>
      <c r="D930" t="s">
        <v>1866</v>
      </c>
      <c r="E930">
        <v>9917.27</v>
      </c>
      <c r="F930">
        <v>0</v>
      </c>
      <c r="G930" t="s">
        <v>1867</v>
      </c>
      <c r="H930">
        <v>0</v>
      </c>
      <c r="I930">
        <v>0</v>
      </c>
      <c r="J930">
        <v>1</v>
      </c>
      <c r="K930">
        <v>0</v>
      </c>
      <c r="L930">
        <v>4</v>
      </c>
      <c r="M930">
        <v>0</v>
      </c>
      <c r="N930">
        <v>1</v>
      </c>
      <c r="O930">
        <v>9917.27</v>
      </c>
      <c r="P930">
        <f>IF(C930&gt;=200000,5,IF(C930&gt;=100000,4,IF(C930&gt;=50000,3,IF(C930&gt;=10000,2,1))))</f>
        <v>1</v>
      </c>
      <c r="Q930">
        <f>IF(B930="TRANSFER",5,IF(B930="CASH_OUT",4,IF(B930="DEBIT",2,1)))</f>
        <v>5</v>
      </c>
      <c r="R930">
        <f>(P930*0.5)+(Q930*0.3)+(N930*0.1)+(M930*0.1)</f>
        <v>2.1</v>
      </c>
      <c r="S930" t="str">
        <f t="shared" si="14"/>
        <v>MEDIUM</v>
      </c>
    </row>
    <row r="931" spans="1:19" x14ac:dyDescent="0.3">
      <c r="A931">
        <v>76</v>
      </c>
      <c r="B931" t="s">
        <v>18</v>
      </c>
      <c r="C931">
        <v>9917.27</v>
      </c>
      <c r="D931" t="s">
        <v>1868</v>
      </c>
      <c r="E931">
        <v>9917.27</v>
      </c>
      <c r="F931">
        <v>0</v>
      </c>
      <c r="G931" t="s">
        <v>1869</v>
      </c>
      <c r="H931">
        <v>408610.64</v>
      </c>
      <c r="I931">
        <v>418527.91</v>
      </c>
      <c r="J931">
        <v>1</v>
      </c>
      <c r="K931">
        <v>0</v>
      </c>
      <c r="L931">
        <v>4</v>
      </c>
      <c r="M931">
        <v>0</v>
      </c>
      <c r="N931">
        <v>1</v>
      </c>
      <c r="O931">
        <v>9917.27</v>
      </c>
      <c r="P931">
        <f>IF(C931&gt;=200000,5,IF(C931&gt;=100000,4,IF(C931&gt;=50000,3,IF(C931&gt;=10000,2,1))))</f>
        <v>1</v>
      </c>
      <c r="Q931">
        <f>IF(B931="TRANSFER",5,IF(B931="CASH_OUT",4,IF(B931="DEBIT",2,1)))</f>
        <v>4</v>
      </c>
      <c r="R931">
        <f>(P931*0.5)+(Q931*0.3)+(N931*0.1)+(M931*0.1)</f>
        <v>1.8</v>
      </c>
      <c r="S931" t="str">
        <f t="shared" si="14"/>
        <v>LOW</v>
      </c>
    </row>
    <row r="932" spans="1:19" x14ac:dyDescent="0.3">
      <c r="A932">
        <v>76</v>
      </c>
      <c r="B932" t="s">
        <v>15</v>
      </c>
      <c r="C932">
        <v>2066446.27</v>
      </c>
      <c r="D932" t="s">
        <v>1870</v>
      </c>
      <c r="E932">
        <v>2066446.27</v>
      </c>
      <c r="F932">
        <v>0</v>
      </c>
      <c r="G932" t="s">
        <v>1871</v>
      </c>
      <c r="H932">
        <v>0</v>
      </c>
      <c r="I932">
        <v>0</v>
      </c>
      <c r="J932">
        <v>1</v>
      </c>
      <c r="K932">
        <v>0</v>
      </c>
      <c r="L932">
        <v>4</v>
      </c>
      <c r="M932">
        <v>0</v>
      </c>
      <c r="N932">
        <v>1</v>
      </c>
      <c r="O932">
        <v>2066446.27</v>
      </c>
      <c r="P932">
        <f>IF(C932&gt;=200000,5,IF(C932&gt;=100000,4,IF(C932&gt;=50000,3,IF(C932&gt;=10000,2,1))))</f>
        <v>5</v>
      </c>
      <c r="Q932">
        <f>IF(B932="TRANSFER",5,IF(B932="CASH_OUT",4,IF(B932="DEBIT",2,1)))</f>
        <v>5</v>
      </c>
      <c r="R932">
        <f>(P932*0.5)+(Q932*0.3)+(N932*0.1)+(M932*0.1)</f>
        <v>4.0999999999999996</v>
      </c>
      <c r="S932" t="str">
        <f t="shared" si="14"/>
        <v>HIGH</v>
      </c>
    </row>
    <row r="933" spans="1:19" x14ac:dyDescent="0.3">
      <c r="A933">
        <v>76</v>
      </c>
      <c r="B933" t="s">
        <v>18</v>
      </c>
      <c r="C933">
        <v>2066446.27</v>
      </c>
      <c r="D933" t="s">
        <v>1872</v>
      </c>
      <c r="E933">
        <v>2066446.27</v>
      </c>
      <c r="F933">
        <v>0</v>
      </c>
      <c r="G933" t="s">
        <v>1873</v>
      </c>
      <c r="H933">
        <v>423086.94</v>
      </c>
      <c r="I933">
        <v>2489533.21</v>
      </c>
      <c r="J933">
        <v>1</v>
      </c>
      <c r="K933">
        <v>0</v>
      </c>
      <c r="L933">
        <v>4</v>
      </c>
      <c r="M933">
        <v>0</v>
      </c>
      <c r="N933">
        <v>1</v>
      </c>
      <c r="O933">
        <v>2066446.27</v>
      </c>
      <c r="P933">
        <f>IF(C933&gt;=200000,5,IF(C933&gt;=100000,4,IF(C933&gt;=50000,3,IF(C933&gt;=10000,2,1))))</f>
        <v>5</v>
      </c>
      <c r="Q933">
        <f>IF(B933="TRANSFER",5,IF(B933="CASH_OUT",4,IF(B933="DEBIT",2,1)))</f>
        <v>4</v>
      </c>
      <c r="R933">
        <f>(P933*0.5)+(Q933*0.3)+(N933*0.1)+(M933*0.1)</f>
        <v>3.8000000000000003</v>
      </c>
      <c r="S933" t="str">
        <f t="shared" si="14"/>
        <v>HIGH</v>
      </c>
    </row>
    <row r="934" spans="1:19" x14ac:dyDescent="0.3">
      <c r="A934">
        <v>77</v>
      </c>
      <c r="B934" t="s">
        <v>15</v>
      </c>
      <c r="C934">
        <v>819048.34</v>
      </c>
      <c r="D934" t="s">
        <v>1874</v>
      </c>
      <c r="E934">
        <v>819048.34</v>
      </c>
      <c r="F934">
        <v>0</v>
      </c>
      <c r="G934" t="s">
        <v>1875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0</v>
      </c>
      <c r="N934">
        <v>1</v>
      </c>
      <c r="O934">
        <v>819048.34</v>
      </c>
      <c r="P934">
        <f>IF(C934&gt;=200000,5,IF(C934&gt;=100000,4,IF(C934&gt;=50000,3,IF(C934&gt;=10000,2,1))))</f>
        <v>5</v>
      </c>
      <c r="Q934">
        <f>IF(B934="TRANSFER",5,IF(B934="CASH_OUT",4,IF(B934="DEBIT",2,1)))</f>
        <v>5</v>
      </c>
      <c r="R934">
        <f>(P934*0.5)+(Q934*0.3)+(N934*0.1)+(M934*0.1)</f>
        <v>4.0999999999999996</v>
      </c>
      <c r="S934" t="str">
        <f t="shared" si="14"/>
        <v>HIGH</v>
      </c>
    </row>
    <row r="935" spans="1:19" x14ac:dyDescent="0.3">
      <c r="A935">
        <v>77</v>
      </c>
      <c r="B935" t="s">
        <v>18</v>
      </c>
      <c r="C935">
        <v>819048.34</v>
      </c>
      <c r="D935" t="s">
        <v>1876</v>
      </c>
      <c r="E935">
        <v>819048.34</v>
      </c>
      <c r="F935">
        <v>0</v>
      </c>
      <c r="G935" t="s">
        <v>1877</v>
      </c>
      <c r="H935">
        <v>1104098.69</v>
      </c>
      <c r="I935">
        <v>1923147.03</v>
      </c>
      <c r="J935">
        <v>1</v>
      </c>
      <c r="K935">
        <v>0</v>
      </c>
      <c r="L935">
        <v>5</v>
      </c>
      <c r="M935">
        <v>0</v>
      </c>
      <c r="N935">
        <v>1</v>
      </c>
      <c r="O935">
        <v>819048.34</v>
      </c>
      <c r="P935">
        <f>IF(C935&gt;=200000,5,IF(C935&gt;=100000,4,IF(C935&gt;=50000,3,IF(C935&gt;=10000,2,1))))</f>
        <v>5</v>
      </c>
      <c r="Q935">
        <f>IF(B935="TRANSFER",5,IF(B935="CASH_OUT",4,IF(B935="DEBIT",2,1)))</f>
        <v>4</v>
      </c>
      <c r="R935">
        <f>(P935*0.5)+(Q935*0.3)+(N935*0.1)+(M935*0.1)</f>
        <v>3.8000000000000003</v>
      </c>
      <c r="S935" t="str">
        <f t="shared" si="14"/>
        <v>HIGH</v>
      </c>
    </row>
    <row r="936" spans="1:19" x14ac:dyDescent="0.3">
      <c r="A936">
        <v>77</v>
      </c>
      <c r="B936" t="s">
        <v>15</v>
      </c>
      <c r="C936">
        <v>9039246.8200000003</v>
      </c>
      <c r="D936" t="s">
        <v>1878</v>
      </c>
      <c r="E936">
        <v>9039246.8200000003</v>
      </c>
      <c r="F936">
        <v>0</v>
      </c>
      <c r="G936" t="s">
        <v>1879</v>
      </c>
      <c r="H936">
        <v>0</v>
      </c>
      <c r="I936">
        <v>0</v>
      </c>
      <c r="J936">
        <v>1</v>
      </c>
      <c r="K936">
        <v>0</v>
      </c>
      <c r="L936">
        <v>5</v>
      </c>
      <c r="M936">
        <v>0</v>
      </c>
      <c r="N936">
        <v>1</v>
      </c>
      <c r="O936">
        <v>9039246.8200000003</v>
      </c>
      <c r="P936">
        <f>IF(C936&gt;=200000,5,IF(C936&gt;=100000,4,IF(C936&gt;=50000,3,IF(C936&gt;=10000,2,1))))</f>
        <v>5</v>
      </c>
      <c r="Q936">
        <f>IF(B936="TRANSFER",5,IF(B936="CASH_OUT",4,IF(B936="DEBIT",2,1)))</f>
        <v>5</v>
      </c>
      <c r="R936">
        <f>(P936*0.5)+(Q936*0.3)+(N936*0.1)+(M936*0.1)</f>
        <v>4.0999999999999996</v>
      </c>
      <c r="S936" t="str">
        <f t="shared" si="14"/>
        <v>HIGH</v>
      </c>
    </row>
    <row r="937" spans="1:19" x14ac:dyDescent="0.3">
      <c r="A937">
        <v>77</v>
      </c>
      <c r="B937" t="s">
        <v>18</v>
      </c>
      <c r="C937">
        <v>9039246.8200000003</v>
      </c>
      <c r="D937" t="s">
        <v>1880</v>
      </c>
      <c r="E937">
        <v>9039246.8200000003</v>
      </c>
      <c r="F937">
        <v>0</v>
      </c>
      <c r="G937" t="s">
        <v>1881</v>
      </c>
      <c r="H937">
        <v>464686.69</v>
      </c>
      <c r="I937">
        <v>9503933.5099999998</v>
      </c>
      <c r="J937">
        <v>1</v>
      </c>
      <c r="K937">
        <v>0</v>
      </c>
      <c r="L937">
        <v>5</v>
      </c>
      <c r="M937">
        <v>0</v>
      </c>
      <c r="N937">
        <v>1</v>
      </c>
      <c r="O937">
        <v>9039246.8200000003</v>
      </c>
      <c r="P937">
        <f>IF(C937&gt;=200000,5,IF(C937&gt;=100000,4,IF(C937&gt;=50000,3,IF(C937&gt;=10000,2,1))))</f>
        <v>5</v>
      </c>
      <c r="Q937">
        <f>IF(B937="TRANSFER",5,IF(B937="CASH_OUT",4,IF(B937="DEBIT",2,1)))</f>
        <v>4</v>
      </c>
      <c r="R937">
        <f>(P937*0.5)+(Q937*0.3)+(N937*0.1)+(M937*0.1)</f>
        <v>3.8000000000000003</v>
      </c>
      <c r="S937" t="str">
        <f t="shared" si="14"/>
        <v>HIGH</v>
      </c>
    </row>
    <row r="938" spans="1:19" x14ac:dyDescent="0.3">
      <c r="A938">
        <v>77</v>
      </c>
      <c r="B938" t="s">
        <v>15</v>
      </c>
      <c r="C938">
        <v>239473.85</v>
      </c>
      <c r="D938" t="s">
        <v>1882</v>
      </c>
      <c r="E938">
        <v>239473.85</v>
      </c>
      <c r="F938">
        <v>0</v>
      </c>
      <c r="G938" t="s">
        <v>1883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0</v>
      </c>
      <c r="N938">
        <v>1</v>
      </c>
      <c r="O938">
        <v>239473.85</v>
      </c>
      <c r="P938">
        <f>IF(C938&gt;=200000,5,IF(C938&gt;=100000,4,IF(C938&gt;=50000,3,IF(C938&gt;=10000,2,1))))</f>
        <v>5</v>
      </c>
      <c r="Q938">
        <f>IF(B938="TRANSFER",5,IF(B938="CASH_OUT",4,IF(B938="DEBIT",2,1)))</f>
        <v>5</v>
      </c>
      <c r="R938">
        <f>(P938*0.5)+(Q938*0.3)+(N938*0.1)+(M938*0.1)</f>
        <v>4.0999999999999996</v>
      </c>
      <c r="S938" t="str">
        <f t="shared" si="14"/>
        <v>HIGH</v>
      </c>
    </row>
    <row r="939" spans="1:19" x14ac:dyDescent="0.3">
      <c r="A939">
        <v>77</v>
      </c>
      <c r="B939" t="s">
        <v>18</v>
      </c>
      <c r="C939">
        <v>239473.85</v>
      </c>
      <c r="D939" t="s">
        <v>1884</v>
      </c>
      <c r="E939">
        <v>239473.85</v>
      </c>
      <c r="F939">
        <v>0</v>
      </c>
      <c r="G939" t="s">
        <v>1885</v>
      </c>
      <c r="H939">
        <v>729245.09</v>
      </c>
      <c r="I939">
        <v>968718.94</v>
      </c>
      <c r="J939">
        <v>1</v>
      </c>
      <c r="K939">
        <v>0</v>
      </c>
      <c r="L939">
        <v>5</v>
      </c>
      <c r="M939">
        <v>0</v>
      </c>
      <c r="N939">
        <v>1</v>
      </c>
      <c r="O939">
        <v>239473.85</v>
      </c>
      <c r="P939">
        <f>IF(C939&gt;=200000,5,IF(C939&gt;=100000,4,IF(C939&gt;=50000,3,IF(C939&gt;=10000,2,1))))</f>
        <v>5</v>
      </c>
      <c r="Q939">
        <f>IF(B939="TRANSFER",5,IF(B939="CASH_OUT",4,IF(B939="DEBIT",2,1)))</f>
        <v>4</v>
      </c>
      <c r="R939">
        <f>(P939*0.5)+(Q939*0.3)+(N939*0.1)+(M939*0.1)</f>
        <v>3.8000000000000003</v>
      </c>
      <c r="S939" t="str">
        <f t="shared" si="14"/>
        <v>HIGH</v>
      </c>
    </row>
    <row r="940" spans="1:19" x14ac:dyDescent="0.3">
      <c r="A940">
        <v>77</v>
      </c>
      <c r="B940" t="s">
        <v>15</v>
      </c>
      <c r="C940">
        <v>5715004.2999999998</v>
      </c>
      <c r="D940" t="s">
        <v>1886</v>
      </c>
      <c r="E940">
        <v>5715004.2999999998</v>
      </c>
      <c r="F940">
        <v>0</v>
      </c>
      <c r="G940" t="s">
        <v>1887</v>
      </c>
      <c r="H940">
        <v>0</v>
      </c>
      <c r="I940">
        <v>0</v>
      </c>
      <c r="J940">
        <v>1</v>
      </c>
      <c r="K940">
        <v>0</v>
      </c>
      <c r="L940">
        <v>5</v>
      </c>
      <c r="M940">
        <v>0</v>
      </c>
      <c r="N940">
        <v>1</v>
      </c>
      <c r="O940">
        <v>5715004.2999999998</v>
      </c>
      <c r="P940">
        <f>IF(C940&gt;=200000,5,IF(C940&gt;=100000,4,IF(C940&gt;=50000,3,IF(C940&gt;=10000,2,1))))</f>
        <v>5</v>
      </c>
      <c r="Q940">
        <f>IF(B940="TRANSFER",5,IF(B940="CASH_OUT",4,IF(B940="DEBIT",2,1)))</f>
        <v>5</v>
      </c>
      <c r="R940">
        <f>(P940*0.5)+(Q940*0.3)+(N940*0.1)+(M940*0.1)</f>
        <v>4.0999999999999996</v>
      </c>
      <c r="S940" t="str">
        <f t="shared" si="14"/>
        <v>HIGH</v>
      </c>
    </row>
    <row r="941" spans="1:19" x14ac:dyDescent="0.3">
      <c r="A941">
        <v>77</v>
      </c>
      <c r="B941" t="s">
        <v>18</v>
      </c>
      <c r="C941">
        <v>5715004.2999999998</v>
      </c>
      <c r="D941" t="s">
        <v>1888</v>
      </c>
      <c r="E941">
        <v>5715004.2999999998</v>
      </c>
      <c r="F941">
        <v>0</v>
      </c>
      <c r="G941" t="s">
        <v>1889</v>
      </c>
      <c r="H941">
        <v>318309.23</v>
      </c>
      <c r="I941">
        <v>6033313.5300000003</v>
      </c>
      <c r="J941">
        <v>1</v>
      </c>
      <c r="K941">
        <v>0</v>
      </c>
      <c r="L941">
        <v>5</v>
      </c>
      <c r="M941">
        <v>0</v>
      </c>
      <c r="N941">
        <v>1</v>
      </c>
      <c r="O941">
        <v>5715004.2999999998</v>
      </c>
      <c r="P941">
        <f>IF(C941&gt;=200000,5,IF(C941&gt;=100000,4,IF(C941&gt;=50000,3,IF(C941&gt;=10000,2,1))))</f>
        <v>5</v>
      </c>
      <c r="Q941">
        <f>IF(B941="TRANSFER",5,IF(B941="CASH_OUT",4,IF(B941="DEBIT",2,1)))</f>
        <v>4</v>
      </c>
      <c r="R941">
        <f>(P941*0.5)+(Q941*0.3)+(N941*0.1)+(M941*0.1)</f>
        <v>3.8000000000000003</v>
      </c>
      <c r="S941" t="str">
        <f t="shared" si="14"/>
        <v>HIGH</v>
      </c>
    </row>
    <row r="942" spans="1:19" x14ac:dyDescent="0.3">
      <c r="A942">
        <v>77</v>
      </c>
      <c r="B942" t="s">
        <v>15</v>
      </c>
      <c r="C942">
        <v>2149976.69</v>
      </c>
      <c r="D942" t="s">
        <v>1890</v>
      </c>
      <c r="E942">
        <v>2149976.69</v>
      </c>
      <c r="F942">
        <v>0</v>
      </c>
      <c r="G942" t="s">
        <v>1891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0</v>
      </c>
      <c r="N942">
        <v>1</v>
      </c>
      <c r="O942">
        <v>2149976.69</v>
      </c>
      <c r="P942">
        <f>IF(C942&gt;=200000,5,IF(C942&gt;=100000,4,IF(C942&gt;=50000,3,IF(C942&gt;=10000,2,1))))</f>
        <v>5</v>
      </c>
      <c r="Q942">
        <f>IF(B942="TRANSFER",5,IF(B942="CASH_OUT",4,IF(B942="DEBIT",2,1)))</f>
        <v>5</v>
      </c>
      <c r="R942">
        <f>(P942*0.5)+(Q942*0.3)+(N942*0.1)+(M942*0.1)</f>
        <v>4.0999999999999996</v>
      </c>
      <c r="S942" t="str">
        <f t="shared" si="14"/>
        <v>HIGH</v>
      </c>
    </row>
    <row r="943" spans="1:19" x14ac:dyDescent="0.3">
      <c r="A943">
        <v>77</v>
      </c>
      <c r="B943" t="s">
        <v>18</v>
      </c>
      <c r="C943">
        <v>2149976.69</v>
      </c>
      <c r="D943" t="s">
        <v>1892</v>
      </c>
      <c r="E943">
        <v>2149976.69</v>
      </c>
      <c r="F943">
        <v>0</v>
      </c>
      <c r="G943" t="s">
        <v>1893</v>
      </c>
      <c r="H943">
        <v>0</v>
      </c>
      <c r="I943">
        <v>2149976.69</v>
      </c>
      <c r="J943">
        <v>1</v>
      </c>
      <c r="K943">
        <v>0</v>
      </c>
      <c r="L943">
        <v>5</v>
      </c>
      <c r="M943">
        <v>0</v>
      </c>
      <c r="N943">
        <v>1</v>
      </c>
      <c r="O943">
        <v>2149976.69</v>
      </c>
      <c r="P943">
        <f>IF(C943&gt;=200000,5,IF(C943&gt;=100000,4,IF(C943&gt;=50000,3,IF(C943&gt;=10000,2,1))))</f>
        <v>5</v>
      </c>
      <c r="Q943">
        <f>IF(B943="TRANSFER",5,IF(B943="CASH_OUT",4,IF(B943="DEBIT",2,1)))</f>
        <v>4</v>
      </c>
      <c r="R943">
        <f>(P943*0.5)+(Q943*0.3)+(N943*0.1)+(M943*0.1)</f>
        <v>3.8000000000000003</v>
      </c>
      <c r="S943" t="str">
        <f t="shared" si="14"/>
        <v>HIGH</v>
      </c>
    </row>
    <row r="944" spans="1:19" x14ac:dyDescent="0.3">
      <c r="A944">
        <v>78</v>
      </c>
      <c r="B944" t="s">
        <v>15</v>
      </c>
      <c r="C944">
        <v>1321091.25</v>
      </c>
      <c r="D944" t="s">
        <v>1894</v>
      </c>
      <c r="E944">
        <v>1321091.25</v>
      </c>
      <c r="F944">
        <v>0</v>
      </c>
      <c r="G944" t="s">
        <v>1895</v>
      </c>
      <c r="H944">
        <v>0</v>
      </c>
      <c r="I944">
        <v>0</v>
      </c>
      <c r="J944">
        <v>1</v>
      </c>
      <c r="K944">
        <v>0</v>
      </c>
      <c r="L944">
        <v>6</v>
      </c>
      <c r="M944">
        <v>0</v>
      </c>
      <c r="N944">
        <v>1</v>
      </c>
      <c r="O944">
        <v>1321091.25</v>
      </c>
      <c r="P944">
        <f>IF(C944&gt;=200000,5,IF(C944&gt;=100000,4,IF(C944&gt;=50000,3,IF(C944&gt;=10000,2,1))))</f>
        <v>5</v>
      </c>
      <c r="Q944">
        <f>IF(B944="TRANSFER",5,IF(B944="CASH_OUT",4,IF(B944="DEBIT",2,1)))</f>
        <v>5</v>
      </c>
      <c r="R944">
        <f>(P944*0.5)+(Q944*0.3)+(N944*0.1)+(M944*0.1)</f>
        <v>4.0999999999999996</v>
      </c>
      <c r="S944" t="str">
        <f t="shared" si="14"/>
        <v>HIGH</v>
      </c>
    </row>
    <row r="945" spans="1:19" x14ac:dyDescent="0.3">
      <c r="A945">
        <v>78</v>
      </c>
      <c r="B945" t="s">
        <v>18</v>
      </c>
      <c r="C945">
        <v>1321091.25</v>
      </c>
      <c r="D945" t="s">
        <v>1896</v>
      </c>
      <c r="E945">
        <v>1321091.25</v>
      </c>
      <c r="F945">
        <v>0</v>
      </c>
      <c r="G945" t="s">
        <v>1897</v>
      </c>
      <c r="H945">
        <v>0</v>
      </c>
      <c r="I945">
        <v>1321091.25</v>
      </c>
      <c r="J945">
        <v>1</v>
      </c>
      <c r="K945">
        <v>0</v>
      </c>
      <c r="L945">
        <v>6</v>
      </c>
      <c r="M945">
        <v>0</v>
      </c>
      <c r="N945">
        <v>1</v>
      </c>
      <c r="O945">
        <v>1321091.25</v>
      </c>
      <c r="P945">
        <f>IF(C945&gt;=200000,5,IF(C945&gt;=100000,4,IF(C945&gt;=50000,3,IF(C945&gt;=10000,2,1))))</f>
        <v>5</v>
      </c>
      <c r="Q945">
        <f>IF(B945="TRANSFER",5,IF(B945="CASH_OUT",4,IF(B945="DEBIT",2,1)))</f>
        <v>4</v>
      </c>
      <c r="R945">
        <f>(P945*0.5)+(Q945*0.3)+(N945*0.1)+(M945*0.1)</f>
        <v>3.8000000000000003</v>
      </c>
      <c r="S945" t="str">
        <f t="shared" si="14"/>
        <v>HIGH</v>
      </c>
    </row>
    <row r="946" spans="1:19" x14ac:dyDescent="0.3">
      <c r="A946">
        <v>78</v>
      </c>
      <c r="B946" t="s">
        <v>15</v>
      </c>
      <c r="C946">
        <v>113829.89</v>
      </c>
      <c r="D946" t="s">
        <v>1898</v>
      </c>
      <c r="E946">
        <v>113829.89</v>
      </c>
      <c r="F946">
        <v>0</v>
      </c>
      <c r="G946" t="s">
        <v>1899</v>
      </c>
      <c r="H946">
        <v>0</v>
      </c>
      <c r="I946">
        <v>0</v>
      </c>
      <c r="J946">
        <v>1</v>
      </c>
      <c r="K946">
        <v>0</v>
      </c>
      <c r="L946">
        <v>6</v>
      </c>
      <c r="M946">
        <v>0</v>
      </c>
      <c r="N946">
        <v>1</v>
      </c>
      <c r="O946">
        <v>113829.89</v>
      </c>
      <c r="P946">
        <f>IF(C946&gt;=200000,5,IF(C946&gt;=100000,4,IF(C946&gt;=50000,3,IF(C946&gt;=10000,2,1))))</f>
        <v>4</v>
      </c>
      <c r="Q946">
        <f>IF(B946="TRANSFER",5,IF(B946="CASH_OUT",4,IF(B946="DEBIT",2,1)))</f>
        <v>5</v>
      </c>
      <c r="R946">
        <f>(P946*0.5)+(Q946*0.3)+(N946*0.1)+(M946*0.1)</f>
        <v>3.6</v>
      </c>
      <c r="S946" t="str">
        <f t="shared" si="14"/>
        <v>HIGH</v>
      </c>
    </row>
    <row r="947" spans="1:19" x14ac:dyDescent="0.3">
      <c r="A947">
        <v>78</v>
      </c>
      <c r="B947" t="s">
        <v>18</v>
      </c>
      <c r="C947">
        <v>113829.89</v>
      </c>
      <c r="D947" t="s">
        <v>1900</v>
      </c>
      <c r="E947">
        <v>113829.89</v>
      </c>
      <c r="F947">
        <v>0</v>
      </c>
      <c r="G947" t="s">
        <v>1901</v>
      </c>
      <c r="H947">
        <v>0</v>
      </c>
      <c r="I947">
        <v>113829.89</v>
      </c>
      <c r="J947">
        <v>1</v>
      </c>
      <c r="K947">
        <v>0</v>
      </c>
      <c r="L947">
        <v>6</v>
      </c>
      <c r="M947">
        <v>0</v>
      </c>
      <c r="N947">
        <v>1</v>
      </c>
      <c r="O947">
        <v>113829.89</v>
      </c>
      <c r="P947">
        <f>IF(C947&gt;=200000,5,IF(C947&gt;=100000,4,IF(C947&gt;=50000,3,IF(C947&gt;=10000,2,1))))</f>
        <v>4</v>
      </c>
      <c r="Q947">
        <f>IF(B947="TRANSFER",5,IF(B947="CASH_OUT",4,IF(B947="DEBIT",2,1)))</f>
        <v>4</v>
      </c>
      <c r="R947">
        <f>(P947*0.5)+(Q947*0.3)+(N947*0.1)+(M947*0.1)</f>
        <v>3.3000000000000003</v>
      </c>
      <c r="S947" t="str">
        <f t="shared" si="14"/>
        <v>HIGH</v>
      </c>
    </row>
    <row r="948" spans="1:19" x14ac:dyDescent="0.3">
      <c r="A948">
        <v>78</v>
      </c>
      <c r="B948" t="s">
        <v>15</v>
      </c>
      <c r="C948">
        <v>178569.48</v>
      </c>
      <c r="D948" t="s">
        <v>1902</v>
      </c>
      <c r="E948">
        <v>178569.48</v>
      </c>
      <c r="F948">
        <v>0</v>
      </c>
      <c r="G948" t="s">
        <v>1903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0</v>
      </c>
      <c r="N948">
        <v>1</v>
      </c>
      <c r="O948">
        <v>178569.48</v>
      </c>
      <c r="P948">
        <f>IF(C948&gt;=200000,5,IF(C948&gt;=100000,4,IF(C948&gt;=50000,3,IF(C948&gt;=10000,2,1))))</f>
        <v>4</v>
      </c>
      <c r="Q948">
        <f>IF(B948="TRANSFER",5,IF(B948="CASH_OUT",4,IF(B948="DEBIT",2,1)))</f>
        <v>5</v>
      </c>
      <c r="R948">
        <f>(P948*0.5)+(Q948*0.3)+(N948*0.1)+(M948*0.1)</f>
        <v>3.6</v>
      </c>
      <c r="S948" t="str">
        <f t="shared" si="14"/>
        <v>HIGH</v>
      </c>
    </row>
    <row r="949" spans="1:19" x14ac:dyDescent="0.3">
      <c r="A949">
        <v>78</v>
      </c>
      <c r="B949" t="s">
        <v>18</v>
      </c>
      <c r="C949">
        <v>178569.48</v>
      </c>
      <c r="D949" t="s">
        <v>1904</v>
      </c>
      <c r="E949">
        <v>178569.48</v>
      </c>
      <c r="F949">
        <v>0</v>
      </c>
      <c r="G949" t="s">
        <v>1905</v>
      </c>
      <c r="H949">
        <v>263128.53000000003</v>
      </c>
      <c r="I949">
        <v>441698.01</v>
      </c>
      <c r="J949">
        <v>1</v>
      </c>
      <c r="K949">
        <v>0</v>
      </c>
      <c r="L949">
        <v>6</v>
      </c>
      <c r="M949">
        <v>0</v>
      </c>
      <c r="N949">
        <v>1</v>
      </c>
      <c r="O949">
        <v>178569.48</v>
      </c>
      <c r="P949">
        <f>IF(C949&gt;=200000,5,IF(C949&gt;=100000,4,IF(C949&gt;=50000,3,IF(C949&gt;=10000,2,1))))</f>
        <v>4</v>
      </c>
      <c r="Q949">
        <f>IF(B949="TRANSFER",5,IF(B949="CASH_OUT",4,IF(B949="DEBIT",2,1)))</f>
        <v>4</v>
      </c>
      <c r="R949">
        <f>(P949*0.5)+(Q949*0.3)+(N949*0.1)+(M949*0.1)</f>
        <v>3.3000000000000003</v>
      </c>
      <c r="S949" t="str">
        <f t="shared" si="14"/>
        <v>HIGH</v>
      </c>
    </row>
    <row r="950" spans="1:19" x14ac:dyDescent="0.3">
      <c r="A950">
        <v>78</v>
      </c>
      <c r="B950" t="s">
        <v>15</v>
      </c>
      <c r="C950">
        <v>1735647.47</v>
      </c>
      <c r="D950" t="s">
        <v>1906</v>
      </c>
      <c r="E950">
        <v>1735647.47</v>
      </c>
      <c r="F950">
        <v>0</v>
      </c>
      <c r="G950" t="s">
        <v>1907</v>
      </c>
      <c r="H950">
        <v>0</v>
      </c>
      <c r="I950">
        <v>0</v>
      </c>
      <c r="J950">
        <v>1</v>
      </c>
      <c r="K950">
        <v>0</v>
      </c>
      <c r="L950">
        <v>6</v>
      </c>
      <c r="M950">
        <v>0</v>
      </c>
      <c r="N950">
        <v>1</v>
      </c>
      <c r="O950">
        <v>1735647.47</v>
      </c>
      <c r="P950">
        <f>IF(C950&gt;=200000,5,IF(C950&gt;=100000,4,IF(C950&gt;=50000,3,IF(C950&gt;=10000,2,1))))</f>
        <v>5</v>
      </c>
      <c r="Q950">
        <f>IF(B950="TRANSFER",5,IF(B950="CASH_OUT",4,IF(B950="DEBIT",2,1)))</f>
        <v>5</v>
      </c>
      <c r="R950">
        <f>(P950*0.5)+(Q950*0.3)+(N950*0.1)+(M950*0.1)</f>
        <v>4.0999999999999996</v>
      </c>
      <c r="S950" t="str">
        <f t="shared" si="14"/>
        <v>HIGH</v>
      </c>
    </row>
    <row r="951" spans="1:19" x14ac:dyDescent="0.3">
      <c r="A951">
        <v>78</v>
      </c>
      <c r="B951" t="s">
        <v>18</v>
      </c>
      <c r="C951">
        <v>1735647.47</v>
      </c>
      <c r="D951" t="s">
        <v>1908</v>
      </c>
      <c r="E951">
        <v>1735647.47</v>
      </c>
      <c r="F951">
        <v>0</v>
      </c>
      <c r="G951" t="s">
        <v>1909</v>
      </c>
      <c r="H951">
        <v>0</v>
      </c>
      <c r="I951">
        <v>1735647.47</v>
      </c>
      <c r="J951">
        <v>1</v>
      </c>
      <c r="K951">
        <v>0</v>
      </c>
      <c r="L951">
        <v>6</v>
      </c>
      <c r="M951">
        <v>0</v>
      </c>
      <c r="N951">
        <v>1</v>
      </c>
      <c r="O951">
        <v>1735647.47</v>
      </c>
      <c r="P951">
        <f>IF(C951&gt;=200000,5,IF(C951&gt;=100000,4,IF(C951&gt;=50000,3,IF(C951&gt;=10000,2,1))))</f>
        <v>5</v>
      </c>
      <c r="Q951">
        <f>IF(B951="TRANSFER",5,IF(B951="CASH_OUT",4,IF(B951="DEBIT",2,1)))</f>
        <v>4</v>
      </c>
      <c r="R951">
        <f>(P951*0.5)+(Q951*0.3)+(N951*0.1)+(M951*0.1)</f>
        <v>3.8000000000000003</v>
      </c>
      <c r="S951" t="str">
        <f t="shared" si="14"/>
        <v>HIGH</v>
      </c>
    </row>
    <row r="952" spans="1:19" x14ac:dyDescent="0.3">
      <c r="A952">
        <v>78</v>
      </c>
      <c r="B952" t="s">
        <v>15</v>
      </c>
      <c r="C952">
        <v>2254934.36</v>
      </c>
      <c r="D952" t="s">
        <v>1910</v>
      </c>
      <c r="E952">
        <v>2254934.36</v>
      </c>
      <c r="F952">
        <v>0</v>
      </c>
      <c r="G952" t="s">
        <v>1911</v>
      </c>
      <c r="H952">
        <v>0</v>
      </c>
      <c r="I952">
        <v>0</v>
      </c>
      <c r="J952">
        <v>1</v>
      </c>
      <c r="K952">
        <v>0</v>
      </c>
      <c r="L952">
        <v>6</v>
      </c>
      <c r="M952">
        <v>0</v>
      </c>
      <c r="N952">
        <v>1</v>
      </c>
      <c r="O952">
        <v>2254934.36</v>
      </c>
      <c r="P952">
        <f>IF(C952&gt;=200000,5,IF(C952&gt;=100000,4,IF(C952&gt;=50000,3,IF(C952&gt;=10000,2,1))))</f>
        <v>5</v>
      </c>
      <c r="Q952">
        <f>IF(B952="TRANSFER",5,IF(B952="CASH_OUT",4,IF(B952="DEBIT",2,1)))</f>
        <v>5</v>
      </c>
      <c r="R952">
        <f>(P952*0.5)+(Q952*0.3)+(N952*0.1)+(M952*0.1)</f>
        <v>4.0999999999999996</v>
      </c>
      <c r="S952" t="str">
        <f t="shared" si="14"/>
        <v>HIGH</v>
      </c>
    </row>
    <row r="953" spans="1:19" x14ac:dyDescent="0.3">
      <c r="A953">
        <v>78</v>
      </c>
      <c r="B953" t="s">
        <v>18</v>
      </c>
      <c r="C953">
        <v>2254934.36</v>
      </c>
      <c r="D953" t="s">
        <v>1912</v>
      </c>
      <c r="E953">
        <v>2254934.36</v>
      </c>
      <c r="F953">
        <v>0</v>
      </c>
      <c r="G953" t="s">
        <v>1913</v>
      </c>
      <c r="H953">
        <v>364128.61</v>
      </c>
      <c r="I953">
        <v>2619062.9700000002</v>
      </c>
      <c r="J953">
        <v>1</v>
      </c>
      <c r="K953">
        <v>0</v>
      </c>
      <c r="L953">
        <v>6</v>
      </c>
      <c r="M953">
        <v>0</v>
      </c>
      <c r="N953">
        <v>1</v>
      </c>
      <c r="O953">
        <v>2254934.36</v>
      </c>
      <c r="P953">
        <f>IF(C953&gt;=200000,5,IF(C953&gt;=100000,4,IF(C953&gt;=50000,3,IF(C953&gt;=10000,2,1))))</f>
        <v>5</v>
      </c>
      <c r="Q953">
        <f>IF(B953="TRANSFER",5,IF(B953="CASH_OUT",4,IF(B953="DEBIT",2,1)))</f>
        <v>4</v>
      </c>
      <c r="R953">
        <f>(P953*0.5)+(Q953*0.3)+(N953*0.1)+(M953*0.1)</f>
        <v>3.8000000000000003</v>
      </c>
      <c r="S953" t="str">
        <f t="shared" si="14"/>
        <v>HIGH</v>
      </c>
    </row>
    <row r="954" spans="1:19" x14ac:dyDescent="0.3">
      <c r="A954">
        <v>79</v>
      </c>
      <c r="B954" t="s">
        <v>15</v>
      </c>
      <c r="C954">
        <v>353045.35</v>
      </c>
      <c r="D954" t="s">
        <v>1914</v>
      </c>
      <c r="E954">
        <v>353045.35</v>
      </c>
      <c r="F954">
        <v>0</v>
      </c>
      <c r="G954" t="s">
        <v>1915</v>
      </c>
      <c r="H954">
        <v>0</v>
      </c>
      <c r="I954">
        <v>0</v>
      </c>
      <c r="J954">
        <v>1</v>
      </c>
      <c r="K954">
        <v>0</v>
      </c>
      <c r="L954">
        <v>7</v>
      </c>
      <c r="M954">
        <v>0</v>
      </c>
      <c r="N954">
        <v>1</v>
      </c>
      <c r="O954">
        <v>353045.35</v>
      </c>
      <c r="P954">
        <f>IF(C954&gt;=200000,5,IF(C954&gt;=100000,4,IF(C954&gt;=50000,3,IF(C954&gt;=10000,2,1))))</f>
        <v>5</v>
      </c>
      <c r="Q954">
        <f>IF(B954="TRANSFER",5,IF(B954="CASH_OUT",4,IF(B954="DEBIT",2,1)))</f>
        <v>5</v>
      </c>
      <c r="R954">
        <f>(P954*0.5)+(Q954*0.3)+(N954*0.1)+(M954*0.1)</f>
        <v>4.0999999999999996</v>
      </c>
      <c r="S954" t="str">
        <f t="shared" si="14"/>
        <v>HIGH</v>
      </c>
    </row>
    <row r="955" spans="1:19" x14ac:dyDescent="0.3">
      <c r="A955">
        <v>79</v>
      </c>
      <c r="B955" t="s">
        <v>18</v>
      </c>
      <c r="C955">
        <v>353045.35</v>
      </c>
      <c r="D955" t="s">
        <v>1916</v>
      </c>
      <c r="E955">
        <v>353045.35</v>
      </c>
      <c r="F955">
        <v>0</v>
      </c>
      <c r="G955" t="s">
        <v>1917</v>
      </c>
      <c r="H955">
        <v>981978.74</v>
      </c>
      <c r="I955">
        <v>1335024.0900000001</v>
      </c>
      <c r="J955">
        <v>1</v>
      </c>
      <c r="K955">
        <v>0</v>
      </c>
      <c r="L955">
        <v>7</v>
      </c>
      <c r="M955">
        <v>0</v>
      </c>
      <c r="N955">
        <v>1</v>
      </c>
      <c r="O955">
        <v>353045.35</v>
      </c>
      <c r="P955">
        <f>IF(C955&gt;=200000,5,IF(C955&gt;=100000,4,IF(C955&gt;=50000,3,IF(C955&gt;=10000,2,1))))</f>
        <v>5</v>
      </c>
      <c r="Q955">
        <f>IF(B955="TRANSFER",5,IF(B955="CASH_OUT",4,IF(B955="DEBIT",2,1)))</f>
        <v>4</v>
      </c>
      <c r="R955">
        <f>(P955*0.5)+(Q955*0.3)+(N955*0.1)+(M955*0.1)</f>
        <v>3.8000000000000003</v>
      </c>
      <c r="S955" t="str">
        <f t="shared" si="14"/>
        <v>HIGH</v>
      </c>
    </row>
    <row r="956" spans="1:19" x14ac:dyDescent="0.3">
      <c r="A956">
        <v>79</v>
      </c>
      <c r="B956" t="s">
        <v>15</v>
      </c>
      <c r="C956">
        <v>1619331.51</v>
      </c>
      <c r="D956" t="s">
        <v>1918</v>
      </c>
      <c r="E956">
        <v>1619331.51</v>
      </c>
      <c r="F956">
        <v>0</v>
      </c>
      <c r="G956" t="s">
        <v>1919</v>
      </c>
      <c r="H956">
        <v>0</v>
      </c>
      <c r="I956">
        <v>0</v>
      </c>
      <c r="J956">
        <v>1</v>
      </c>
      <c r="K956">
        <v>0</v>
      </c>
      <c r="L956">
        <v>7</v>
      </c>
      <c r="M956">
        <v>0</v>
      </c>
      <c r="N956">
        <v>1</v>
      </c>
      <c r="O956">
        <v>1619331.51</v>
      </c>
      <c r="P956">
        <f>IF(C956&gt;=200000,5,IF(C956&gt;=100000,4,IF(C956&gt;=50000,3,IF(C956&gt;=10000,2,1))))</f>
        <v>5</v>
      </c>
      <c r="Q956">
        <f>IF(B956="TRANSFER",5,IF(B956="CASH_OUT",4,IF(B956="DEBIT",2,1)))</f>
        <v>5</v>
      </c>
      <c r="R956">
        <f>(P956*0.5)+(Q956*0.3)+(N956*0.1)+(M956*0.1)</f>
        <v>4.0999999999999996</v>
      </c>
      <c r="S956" t="str">
        <f t="shared" si="14"/>
        <v>HIGH</v>
      </c>
    </row>
    <row r="957" spans="1:19" x14ac:dyDescent="0.3">
      <c r="A957">
        <v>79</v>
      </c>
      <c r="B957" t="s">
        <v>18</v>
      </c>
      <c r="C957">
        <v>1619331.51</v>
      </c>
      <c r="D957" t="s">
        <v>1920</v>
      </c>
      <c r="E957">
        <v>1619331.51</v>
      </c>
      <c r="F957">
        <v>0</v>
      </c>
      <c r="G957" t="s">
        <v>1921</v>
      </c>
      <c r="H957">
        <v>0</v>
      </c>
      <c r="I957">
        <v>1619331.51</v>
      </c>
      <c r="J957">
        <v>1</v>
      </c>
      <c r="K957">
        <v>0</v>
      </c>
      <c r="L957">
        <v>7</v>
      </c>
      <c r="M957">
        <v>0</v>
      </c>
      <c r="N957">
        <v>1</v>
      </c>
      <c r="O957">
        <v>1619331.51</v>
      </c>
      <c r="P957">
        <f>IF(C957&gt;=200000,5,IF(C957&gt;=100000,4,IF(C957&gt;=50000,3,IF(C957&gt;=10000,2,1))))</f>
        <v>5</v>
      </c>
      <c r="Q957">
        <f>IF(B957="TRANSFER",5,IF(B957="CASH_OUT",4,IF(B957="DEBIT",2,1)))</f>
        <v>4</v>
      </c>
      <c r="R957">
        <f>(P957*0.5)+(Q957*0.3)+(N957*0.1)+(M957*0.1)</f>
        <v>3.8000000000000003</v>
      </c>
      <c r="S957" t="str">
        <f t="shared" si="14"/>
        <v>HIGH</v>
      </c>
    </row>
    <row r="958" spans="1:19" x14ac:dyDescent="0.3">
      <c r="A958">
        <v>79</v>
      </c>
      <c r="B958" t="s">
        <v>15</v>
      </c>
      <c r="C958">
        <v>61178.51</v>
      </c>
      <c r="D958" t="s">
        <v>1922</v>
      </c>
      <c r="E958">
        <v>61178.51</v>
      </c>
      <c r="F958">
        <v>0</v>
      </c>
      <c r="G958" t="s">
        <v>1923</v>
      </c>
      <c r="H958">
        <v>0</v>
      </c>
      <c r="I958">
        <v>0</v>
      </c>
      <c r="J958">
        <v>1</v>
      </c>
      <c r="K958">
        <v>0</v>
      </c>
      <c r="L958">
        <v>7</v>
      </c>
      <c r="M958">
        <v>0</v>
      </c>
      <c r="N958">
        <v>1</v>
      </c>
      <c r="O958">
        <v>61178.51</v>
      </c>
      <c r="P958">
        <f>IF(C958&gt;=200000,5,IF(C958&gt;=100000,4,IF(C958&gt;=50000,3,IF(C958&gt;=10000,2,1))))</f>
        <v>3</v>
      </c>
      <c r="Q958">
        <f>IF(B958="TRANSFER",5,IF(B958="CASH_OUT",4,IF(B958="DEBIT",2,1)))</f>
        <v>5</v>
      </c>
      <c r="R958">
        <f>(P958*0.5)+(Q958*0.3)+(N958*0.1)+(M958*0.1)</f>
        <v>3.1</v>
      </c>
      <c r="S958" t="str">
        <f t="shared" si="14"/>
        <v>HIGH</v>
      </c>
    </row>
    <row r="959" spans="1:19" x14ac:dyDescent="0.3">
      <c r="A959">
        <v>79</v>
      </c>
      <c r="B959" t="s">
        <v>18</v>
      </c>
      <c r="C959">
        <v>61178.51</v>
      </c>
      <c r="D959" t="s">
        <v>1924</v>
      </c>
      <c r="E959">
        <v>61178.51</v>
      </c>
      <c r="F959">
        <v>0</v>
      </c>
      <c r="G959" t="s">
        <v>1925</v>
      </c>
      <c r="H959">
        <v>238787.35</v>
      </c>
      <c r="I959">
        <v>299965.86</v>
      </c>
      <c r="J959">
        <v>1</v>
      </c>
      <c r="K959">
        <v>0</v>
      </c>
      <c r="L959">
        <v>7</v>
      </c>
      <c r="M959">
        <v>0</v>
      </c>
      <c r="N959">
        <v>1</v>
      </c>
      <c r="O959">
        <v>61178.51</v>
      </c>
      <c r="P959">
        <f>IF(C959&gt;=200000,5,IF(C959&gt;=100000,4,IF(C959&gt;=50000,3,IF(C959&gt;=10000,2,1))))</f>
        <v>3</v>
      </c>
      <c r="Q959">
        <f>IF(B959="TRANSFER",5,IF(B959="CASH_OUT",4,IF(B959="DEBIT",2,1)))</f>
        <v>4</v>
      </c>
      <c r="R959">
        <f>(P959*0.5)+(Q959*0.3)+(N959*0.1)+(M959*0.1)</f>
        <v>2.8000000000000003</v>
      </c>
      <c r="S959" t="str">
        <f t="shared" si="14"/>
        <v>MEDIUM</v>
      </c>
    </row>
    <row r="960" spans="1:19" x14ac:dyDescent="0.3">
      <c r="A960">
        <v>79</v>
      </c>
      <c r="B960" t="s">
        <v>15</v>
      </c>
      <c r="C960">
        <v>664992.86</v>
      </c>
      <c r="D960" t="s">
        <v>1926</v>
      </c>
      <c r="E960">
        <v>664992.86</v>
      </c>
      <c r="F960">
        <v>0</v>
      </c>
      <c r="G960" t="s">
        <v>1927</v>
      </c>
      <c r="H960">
        <v>0</v>
      </c>
      <c r="I960">
        <v>0</v>
      </c>
      <c r="J960">
        <v>1</v>
      </c>
      <c r="K960">
        <v>0</v>
      </c>
      <c r="L960">
        <v>7</v>
      </c>
      <c r="M960">
        <v>0</v>
      </c>
      <c r="N960">
        <v>1</v>
      </c>
      <c r="O960">
        <v>664992.86</v>
      </c>
      <c r="P960">
        <f>IF(C960&gt;=200000,5,IF(C960&gt;=100000,4,IF(C960&gt;=50000,3,IF(C960&gt;=10000,2,1))))</f>
        <v>5</v>
      </c>
      <c r="Q960">
        <f>IF(B960="TRANSFER",5,IF(B960="CASH_OUT",4,IF(B960="DEBIT",2,1)))</f>
        <v>5</v>
      </c>
      <c r="R960">
        <f>(P960*0.5)+(Q960*0.3)+(N960*0.1)+(M960*0.1)</f>
        <v>4.0999999999999996</v>
      </c>
      <c r="S960" t="str">
        <f t="shared" si="14"/>
        <v>HIGH</v>
      </c>
    </row>
    <row r="961" spans="1:19" x14ac:dyDescent="0.3">
      <c r="A961">
        <v>79</v>
      </c>
      <c r="B961" t="s">
        <v>18</v>
      </c>
      <c r="C961">
        <v>664992.86</v>
      </c>
      <c r="D961" t="s">
        <v>1928</v>
      </c>
      <c r="E961">
        <v>664992.86</v>
      </c>
      <c r="F961">
        <v>0</v>
      </c>
      <c r="G961" t="s">
        <v>1929</v>
      </c>
      <c r="H961">
        <v>769363.38</v>
      </c>
      <c r="I961">
        <v>1434356.23</v>
      </c>
      <c r="J961">
        <v>1</v>
      </c>
      <c r="K961">
        <v>0</v>
      </c>
      <c r="L961">
        <v>7</v>
      </c>
      <c r="M961">
        <v>0</v>
      </c>
      <c r="N961">
        <v>1</v>
      </c>
      <c r="O961">
        <v>664992.86</v>
      </c>
      <c r="P961">
        <f>IF(C961&gt;=200000,5,IF(C961&gt;=100000,4,IF(C961&gt;=50000,3,IF(C961&gt;=10000,2,1))))</f>
        <v>5</v>
      </c>
      <c r="Q961">
        <f>IF(B961="TRANSFER",5,IF(B961="CASH_OUT",4,IF(B961="DEBIT",2,1)))</f>
        <v>4</v>
      </c>
      <c r="R961">
        <f>(P961*0.5)+(Q961*0.3)+(N961*0.1)+(M961*0.1)</f>
        <v>3.8000000000000003</v>
      </c>
      <c r="S961" t="str">
        <f t="shared" si="14"/>
        <v>HIGH</v>
      </c>
    </row>
    <row r="962" spans="1:19" x14ac:dyDescent="0.3">
      <c r="A962">
        <v>79</v>
      </c>
      <c r="B962" t="s">
        <v>15</v>
      </c>
      <c r="C962">
        <v>432254.84</v>
      </c>
      <c r="D962" t="s">
        <v>1930</v>
      </c>
      <c r="E962">
        <v>432254.84</v>
      </c>
      <c r="F962">
        <v>0</v>
      </c>
      <c r="G962" t="s">
        <v>1931</v>
      </c>
      <c r="H962">
        <v>0</v>
      </c>
      <c r="I962">
        <v>0</v>
      </c>
      <c r="J962">
        <v>1</v>
      </c>
      <c r="K962">
        <v>0</v>
      </c>
      <c r="L962">
        <v>7</v>
      </c>
      <c r="M962">
        <v>0</v>
      </c>
      <c r="N962">
        <v>1</v>
      </c>
      <c r="O962">
        <v>432254.84</v>
      </c>
      <c r="P962">
        <f>IF(C962&gt;=200000,5,IF(C962&gt;=100000,4,IF(C962&gt;=50000,3,IF(C962&gt;=10000,2,1))))</f>
        <v>5</v>
      </c>
      <c r="Q962">
        <f>IF(B962="TRANSFER",5,IF(B962="CASH_OUT",4,IF(B962="DEBIT",2,1)))</f>
        <v>5</v>
      </c>
      <c r="R962">
        <f>(P962*0.5)+(Q962*0.3)+(N962*0.1)+(M962*0.1)</f>
        <v>4.0999999999999996</v>
      </c>
      <c r="S962" t="str">
        <f t="shared" si="14"/>
        <v>HIGH</v>
      </c>
    </row>
    <row r="963" spans="1:19" x14ac:dyDescent="0.3">
      <c r="A963">
        <v>79</v>
      </c>
      <c r="B963" t="s">
        <v>18</v>
      </c>
      <c r="C963">
        <v>432254.84</v>
      </c>
      <c r="D963" t="s">
        <v>1932</v>
      </c>
      <c r="E963">
        <v>432254.84</v>
      </c>
      <c r="F963">
        <v>0</v>
      </c>
      <c r="G963" t="s">
        <v>1933</v>
      </c>
      <c r="H963">
        <v>1300115.81</v>
      </c>
      <c r="I963">
        <v>1732370.65</v>
      </c>
      <c r="J963">
        <v>1</v>
      </c>
      <c r="K963">
        <v>0</v>
      </c>
      <c r="L963">
        <v>7</v>
      </c>
      <c r="M963">
        <v>0</v>
      </c>
      <c r="N963">
        <v>1</v>
      </c>
      <c r="O963">
        <v>432254.84</v>
      </c>
      <c r="P963">
        <f>IF(C963&gt;=200000,5,IF(C963&gt;=100000,4,IF(C963&gt;=50000,3,IF(C963&gt;=10000,2,1))))</f>
        <v>5</v>
      </c>
      <c r="Q963">
        <f>IF(B963="TRANSFER",5,IF(B963="CASH_OUT",4,IF(B963="DEBIT",2,1)))</f>
        <v>4</v>
      </c>
      <c r="R963">
        <f>(P963*0.5)+(Q963*0.3)+(N963*0.1)+(M963*0.1)</f>
        <v>3.8000000000000003</v>
      </c>
      <c r="S963" t="str">
        <f t="shared" ref="S963:S1026" si="15">IF(R963&gt;=3,"HIGH",IF(R963&gt;=2,"MEDIUM","LOW"))</f>
        <v>HIGH</v>
      </c>
    </row>
    <row r="964" spans="1:19" x14ac:dyDescent="0.3">
      <c r="A964">
        <v>80</v>
      </c>
      <c r="B964" t="s">
        <v>15</v>
      </c>
      <c r="C964">
        <v>42659.39</v>
      </c>
      <c r="D964" t="s">
        <v>1934</v>
      </c>
      <c r="E964">
        <v>42659.39</v>
      </c>
      <c r="F964">
        <v>0</v>
      </c>
      <c r="G964" t="s">
        <v>1935</v>
      </c>
      <c r="H964">
        <v>0</v>
      </c>
      <c r="I964">
        <v>0</v>
      </c>
      <c r="J964">
        <v>1</v>
      </c>
      <c r="K964">
        <v>0</v>
      </c>
      <c r="L964">
        <v>8</v>
      </c>
      <c r="M964">
        <v>0</v>
      </c>
      <c r="N964">
        <v>1</v>
      </c>
      <c r="O964">
        <v>42659.39</v>
      </c>
      <c r="P964">
        <f>IF(C964&gt;=200000,5,IF(C964&gt;=100000,4,IF(C964&gt;=50000,3,IF(C964&gt;=10000,2,1))))</f>
        <v>2</v>
      </c>
      <c r="Q964">
        <f>IF(B964="TRANSFER",5,IF(B964="CASH_OUT",4,IF(B964="DEBIT",2,1)))</f>
        <v>5</v>
      </c>
      <c r="R964">
        <f>(P964*0.5)+(Q964*0.3)+(N964*0.1)+(M964*0.1)</f>
        <v>2.6</v>
      </c>
      <c r="S964" t="str">
        <f t="shared" si="15"/>
        <v>MEDIUM</v>
      </c>
    </row>
    <row r="965" spans="1:19" x14ac:dyDescent="0.3">
      <c r="A965">
        <v>80</v>
      </c>
      <c r="B965" t="s">
        <v>18</v>
      </c>
      <c r="C965">
        <v>42659.39</v>
      </c>
      <c r="D965" t="s">
        <v>1936</v>
      </c>
      <c r="E965">
        <v>42659.39</v>
      </c>
      <c r="F965">
        <v>0</v>
      </c>
      <c r="G965" t="s">
        <v>1937</v>
      </c>
      <c r="H965">
        <v>173558.43</v>
      </c>
      <c r="I965">
        <v>216217.82</v>
      </c>
      <c r="J965">
        <v>1</v>
      </c>
      <c r="K965">
        <v>0</v>
      </c>
      <c r="L965">
        <v>8</v>
      </c>
      <c r="M965">
        <v>0</v>
      </c>
      <c r="N965">
        <v>1</v>
      </c>
      <c r="O965">
        <v>42659.39</v>
      </c>
      <c r="P965">
        <f>IF(C965&gt;=200000,5,IF(C965&gt;=100000,4,IF(C965&gt;=50000,3,IF(C965&gt;=10000,2,1))))</f>
        <v>2</v>
      </c>
      <c r="Q965">
        <f>IF(B965="TRANSFER",5,IF(B965="CASH_OUT",4,IF(B965="DEBIT",2,1)))</f>
        <v>4</v>
      </c>
      <c r="R965">
        <f>(P965*0.5)+(Q965*0.3)+(N965*0.1)+(M965*0.1)</f>
        <v>2.3000000000000003</v>
      </c>
      <c r="S965" t="str">
        <f t="shared" si="15"/>
        <v>MEDIUM</v>
      </c>
    </row>
    <row r="966" spans="1:19" x14ac:dyDescent="0.3">
      <c r="A966">
        <v>80</v>
      </c>
      <c r="B966" t="s">
        <v>15</v>
      </c>
      <c r="C966">
        <v>173782.59</v>
      </c>
      <c r="D966" t="s">
        <v>1938</v>
      </c>
      <c r="E966">
        <v>173782.59</v>
      </c>
      <c r="F966">
        <v>0</v>
      </c>
      <c r="G966" t="s">
        <v>1939</v>
      </c>
      <c r="H966">
        <v>0</v>
      </c>
      <c r="I966">
        <v>0</v>
      </c>
      <c r="J966">
        <v>1</v>
      </c>
      <c r="K966">
        <v>0</v>
      </c>
      <c r="L966">
        <v>8</v>
      </c>
      <c r="M966">
        <v>0</v>
      </c>
      <c r="N966">
        <v>1</v>
      </c>
      <c r="O966">
        <v>173782.59</v>
      </c>
      <c r="P966">
        <f>IF(C966&gt;=200000,5,IF(C966&gt;=100000,4,IF(C966&gt;=50000,3,IF(C966&gt;=10000,2,1))))</f>
        <v>4</v>
      </c>
      <c r="Q966">
        <f>IF(B966="TRANSFER",5,IF(B966="CASH_OUT",4,IF(B966="DEBIT",2,1)))</f>
        <v>5</v>
      </c>
      <c r="R966">
        <f>(P966*0.5)+(Q966*0.3)+(N966*0.1)+(M966*0.1)</f>
        <v>3.6</v>
      </c>
      <c r="S966" t="str">
        <f t="shared" si="15"/>
        <v>HIGH</v>
      </c>
    </row>
    <row r="967" spans="1:19" x14ac:dyDescent="0.3">
      <c r="A967">
        <v>80</v>
      </c>
      <c r="B967" t="s">
        <v>18</v>
      </c>
      <c r="C967">
        <v>173782.59</v>
      </c>
      <c r="D967" t="s">
        <v>1940</v>
      </c>
      <c r="E967">
        <v>173782.59</v>
      </c>
      <c r="F967">
        <v>0</v>
      </c>
      <c r="G967" t="s">
        <v>1941</v>
      </c>
      <c r="H967">
        <v>3272453.63</v>
      </c>
      <c r="I967">
        <v>3446236.22</v>
      </c>
      <c r="J967">
        <v>1</v>
      </c>
      <c r="K967">
        <v>0</v>
      </c>
      <c r="L967">
        <v>8</v>
      </c>
      <c r="M967">
        <v>0</v>
      </c>
      <c r="N967">
        <v>1</v>
      </c>
      <c r="O967">
        <v>173782.59</v>
      </c>
      <c r="P967">
        <f>IF(C967&gt;=200000,5,IF(C967&gt;=100000,4,IF(C967&gt;=50000,3,IF(C967&gt;=10000,2,1))))</f>
        <v>4</v>
      </c>
      <c r="Q967">
        <f>IF(B967="TRANSFER",5,IF(B967="CASH_OUT",4,IF(B967="DEBIT",2,1)))</f>
        <v>4</v>
      </c>
      <c r="R967">
        <f>(P967*0.5)+(Q967*0.3)+(N967*0.1)+(M967*0.1)</f>
        <v>3.3000000000000003</v>
      </c>
      <c r="S967" t="str">
        <f t="shared" si="15"/>
        <v>HIGH</v>
      </c>
    </row>
    <row r="968" spans="1:19" x14ac:dyDescent="0.3">
      <c r="A968">
        <v>80</v>
      </c>
      <c r="B968" t="s">
        <v>15</v>
      </c>
      <c r="C968">
        <v>62134.33</v>
      </c>
      <c r="D968" t="s">
        <v>1942</v>
      </c>
      <c r="E968">
        <v>62134.33</v>
      </c>
      <c r="F968">
        <v>0</v>
      </c>
      <c r="G968" t="s">
        <v>1943</v>
      </c>
      <c r="H968">
        <v>0</v>
      </c>
      <c r="I968">
        <v>0</v>
      </c>
      <c r="J968">
        <v>1</v>
      </c>
      <c r="K968">
        <v>0</v>
      </c>
      <c r="L968">
        <v>8</v>
      </c>
      <c r="M968">
        <v>0</v>
      </c>
      <c r="N968">
        <v>1</v>
      </c>
      <c r="O968">
        <v>62134.33</v>
      </c>
      <c r="P968">
        <f>IF(C968&gt;=200000,5,IF(C968&gt;=100000,4,IF(C968&gt;=50000,3,IF(C968&gt;=10000,2,1))))</f>
        <v>3</v>
      </c>
      <c r="Q968">
        <f>IF(B968="TRANSFER",5,IF(B968="CASH_OUT",4,IF(B968="DEBIT",2,1)))</f>
        <v>5</v>
      </c>
      <c r="R968">
        <f>(P968*0.5)+(Q968*0.3)+(N968*0.1)+(M968*0.1)</f>
        <v>3.1</v>
      </c>
      <c r="S968" t="str">
        <f t="shared" si="15"/>
        <v>HIGH</v>
      </c>
    </row>
    <row r="969" spans="1:19" x14ac:dyDescent="0.3">
      <c r="A969">
        <v>80</v>
      </c>
      <c r="B969" t="s">
        <v>18</v>
      </c>
      <c r="C969">
        <v>62134.33</v>
      </c>
      <c r="D969" t="s">
        <v>1944</v>
      </c>
      <c r="E969">
        <v>62134.33</v>
      </c>
      <c r="F969">
        <v>0</v>
      </c>
      <c r="G969" t="s">
        <v>1945</v>
      </c>
      <c r="H969">
        <v>509204.33</v>
      </c>
      <c r="I969">
        <v>571338.66</v>
      </c>
      <c r="J969">
        <v>1</v>
      </c>
      <c r="K969">
        <v>0</v>
      </c>
      <c r="L969">
        <v>8</v>
      </c>
      <c r="M969">
        <v>0</v>
      </c>
      <c r="N969">
        <v>1</v>
      </c>
      <c r="O969">
        <v>62134.33</v>
      </c>
      <c r="P969">
        <f>IF(C969&gt;=200000,5,IF(C969&gt;=100000,4,IF(C969&gt;=50000,3,IF(C969&gt;=10000,2,1))))</f>
        <v>3</v>
      </c>
      <c r="Q969">
        <f>IF(B969="TRANSFER",5,IF(B969="CASH_OUT",4,IF(B969="DEBIT",2,1)))</f>
        <v>4</v>
      </c>
      <c r="R969">
        <f>(P969*0.5)+(Q969*0.3)+(N969*0.1)+(M969*0.1)</f>
        <v>2.8000000000000003</v>
      </c>
      <c r="S969" t="str">
        <f t="shared" si="15"/>
        <v>MEDIUM</v>
      </c>
    </row>
    <row r="970" spans="1:19" x14ac:dyDescent="0.3">
      <c r="A970">
        <v>80</v>
      </c>
      <c r="B970" t="s">
        <v>15</v>
      </c>
      <c r="C970">
        <v>972920.87</v>
      </c>
      <c r="D970" t="s">
        <v>1946</v>
      </c>
      <c r="E970">
        <v>972920.87</v>
      </c>
      <c r="F970">
        <v>0</v>
      </c>
      <c r="G970" t="s">
        <v>1947</v>
      </c>
      <c r="H970">
        <v>0</v>
      </c>
      <c r="I970">
        <v>0</v>
      </c>
      <c r="J970">
        <v>1</v>
      </c>
      <c r="K970">
        <v>0</v>
      </c>
      <c r="L970">
        <v>8</v>
      </c>
      <c r="M970">
        <v>0</v>
      </c>
      <c r="N970">
        <v>1</v>
      </c>
      <c r="O970">
        <v>972920.87</v>
      </c>
      <c r="P970">
        <f>IF(C970&gt;=200000,5,IF(C970&gt;=100000,4,IF(C970&gt;=50000,3,IF(C970&gt;=10000,2,1))))</f>
        <v>5</v>
      </c>
      <c r="Q970">
        <f>IF(B970="TRANSFER",5,IF(B970="CASH_OUT",4,IF(B970="DEBIT",2,1)))</f>
        <v>5</v>
      </c>
      <c r="R970">
        <f>(P970*0.5)+(Q970*0.3)+(N970*0.1)+(M970*0.1)</f>
        <v>4.0999999999999996</v>
      </c>
      <c r="S970" t="str">
        <f t="shared" si="15"/>
        <v>HIGH</v>
      </c>
    </row>
    <row r="971" spans="1:19" x14ac:dyDescent="0.3">
      <c r="A971">
        <v>80</v>
      </c>
      <c r="B971" t="s">
        <v>18</v>
      </c>
      <c r="C971">
        <v>972920.87</v>
      </c>
      <c r="D971" t="s">
        <v>1948</v>
      </c>
      <c r="E971">
        <v>972920.87</v>
      </c>
      <c r="F971">
        <v>0</v>
      </c>
      <c r="G971" t="s">
        <v>1949</v>
      </c>
      <c r="H971">
        <v>21030.1</v>
      </c>
      <c r="I971">
        <v>993950.97</v>
      </c>
      <c r="J971">
        <v>1</v>
      </c>
      <c r="K971">
        <v>0</v>
      </c>
      <c r="L971">
        <v>8</v>
      </c>
      <c r="M971">
        <v>0</v>
      </c>
      <c r="N971">
        <v>1</v>
      </c>
      <c r="O971">
        <v>972920.87</v>
      </c>
      <c r="P971">
        <f>IF(C971&gt;=200000,5,IF(C971&gt;=100000,4,IF(C971&gt;=50000,3,IF(C971&gt;=10000,2,1))))</f>
        <v>5</v>
      </c>
      <c r="Q971">
        <f>IF(B971="TRANSFER",5,IF(B971="CASH_OUT",4,IF(B971="DEBIT",2,1)))</f>
        <v>4</v>
      </c>
      <c r="R971">
        <f>(P971*0.5)+(Q971*0.3)+(N971*0.1)+(M971*0.1)</f>
        <v>3.8000000000000003</v>
      </c>
      <c r="S971" t="str">
        <f t="shared" si="15"/>
        <v>HIGH</v>
      </c>
    </row>
    <row r="972" spans="1:19" x14ac:dyDescent="0.3">
      <c r="A972">
        <v>80</v>
      </c>
      <c r="B972" t="s">
        <v>15</v>
      </c>
      <c r="C972">
        <v>244814.12</v>
      </c>
      <c r="D972" t="s">
        <v>1950</v>
      </c>
      <c r="E972">
        <v>244814.12</v>
      </c>
      <c r="F972">
        <v>0</v>
      </c>
      <c r="G972" t="s">
        <v>1951</v>
      </c>
      <c r="H972">
        <v>0</v>
      </c>
      <c r="I972">
        <v>0</v>
      </c>
      <c r="J972">
        <v>1</v>
      </c>
      <c r="K972">
        <v>0</v>
      </c>
      <c r="L972">
        <v>8</v>
      </c>
      <c r="M972">
        <v>0</v>
      </c>
      <c r="N972">
        <v>1</v>
      </c>
      <c r="O972">
        <v>244814.12</v>
      </c>
      <c r="P972">
        <f>IF(C972&gt;=200000,5,IF(C972&gt;=100000,4,IF(C972&gt;=50000,3,IF(C972&gt;=10000,2,1))))</f>
        <v>5</v>
      </c>
      <c r="Q972">
        <f>IF(B972="TRANSFER",5,IF(B972="CASH_OUT",4,IF(B972="DEBIT",2,1)))</f>
        <v>5</v>
      </c>
      <c r="R972">
        <f>(P972*0.5)+(Q972*0.3)+(N972*0.1)+(M972*0.1)</f>
        <v>4.0999999999999996</v>
      </c>
      <c r="S972" t="str">
        <f t="shared" si="15"/>
        <v>HIGH</v>
      </c>
    </row>
    <row r="973" spans="1:19" x14ac:dyDescent="0.3">
      <c r="A973">
        <v>80</v>
      </c>
      <c r="B973" t="s">
        <v>18</v>
      </c>
      <c r="C973">
        <v>244814.12</v>
      </c>
      <c r="D973" t="s">
        <v>1952</v>
      </c>
      <c r="E973">
        <v>244814.12</v>
      </c>
      <c r="F973">
        <v>0</v>
      </c>
      <c r="G973" t="s">
        <v>1953</v>
      </c>
      <c r="H973">
        <v>7106855.4699999997</v>
      </c>
      <c r="I973">
        <v>7351669.5899999999</v>
      </c>
      <c r="J973">
        <v>1</v>
      </c>
      <c r="K973">
        <v>0</v>
      </c>
      <c r="L973">
        <v>8</v>
      </c>
      <c r="M973">
        <v>0</v>
      </c>
      <c r="N973">
        <v>1</v>
      </c>
      <c r="O973">
        <v>244814.12</v>
      </c>
      <c r="P973">
        <f>IF(C973&gt;=200000,5,IF(C973&gt;=100000,4,IF(C973&gt;=50000,3,IF(C973&gt;=10000,2,1))))</f>
        <v>5</v>
      </c>
      <c r="Q973">
        <f>IF(B973="TRANSFER",5,IF(B973="CASH_OUT",4,IF(B973="DEBIT",2,1)))</f>
        <v>4</v>
      </c>
      <c r="R973">
        <f>(P973*0.5)+(Q973*0.3)+(N973*0.1)+(M973*0.1)</f>
        <v>3.8000000000000003</v>
      </c>
      <c r="S973" t="str">
        <f t="shared" si="15"/>
        <v>HIGH</v>
      </c>
    </row>
    <row r="974" spans="1:19" x14ac:dyDescent="0.3">
      <c r="A974">
        <v>81</v>
      </c>
      <c r="B974" t="s">
        <v>15</v>
      </c>
      <c r="C974">
        <v>82527.13</v>
      </c>
      <c r="D974" t="s">
        <v>1954</v>
      </c>
      <c r="E974">
        <v>82527.13</v>
      </c>
      <c r="F974">
        <v>0</v>
      </c>
      <c r="G974" t="s">
        <v>1955</v>
      </c>
      <c r="H974">
        <v>0</v>
      </c>
      <c r="I974">
        <v>0</v>
      </c>
      <c r="J974">
        <v>1</v>
      </c>
      <c r="K974">
        <v>0</v>
      </c>
      <c r="L974">
        <v>9</v>
      </c>
      <c r="M974">
        <v>0</v>
      </c>
      <c r="N974">
        <v>1</v>
      </c>
      <c r="O974">
        <v>82527.13</v>
      </c>
      <c r="P974">
        <f>IF(C974&gt;=200000,5,IF(C974&gt;=100000,4,IF(C974&gt;=50000,3,IF(C974&gt;=10000,2,1))))</f>
        <v>3</v>
      </c>
      <c r="Q974">
        <f>IF(B974="TRANSFER",5,IF(B974="CASH_OUT",4,IF(B974="DEBIT",2,1)))</f>
        <v>5</v>
      </c>
      <c r="R974">
        <f>(P974*0.5)+(Q974*0.3)+(N974*0.1)+(M974*0.1)</f>
        <v>3.1</v>
      </c>
      <c r="S974" t="str">
        <f t="shared" si="15"/>
        <v>HIGH</v>
      </c>
    </row>
    <row r="975" spans="1:19" x14ac:dyDescent="0.3">
      <c r="A975">
        <v>81</v>
      </c>
      <c r="B975" t="s">
        <v>18</v>
      </c>
      <c r="C975">
        <v>82527.13</v>
      </c>
      <c r="D975" t="s">
        <v>1956</v>
      </c>
      <c r="E975">
        <v>82527.13</v>
      </c>
      <c r="F975">
        <v>0</v>
      </c>
      <c r="G975" t="s">
        <v>1957</v>
      </c>
      <c r="H975">
        <v>397267.85</v>
      </c>
      <c r="I975">
        <v>479794.98</v>
      </c>
      <c r="J975">
        <v>1</v>
      </c>
      <c r="K975">
        <v>0</v>
      </c>
      <c r="L975">
        <v>9</v>
      </c>
      <c r="M975">
        <v>0</v>
      </c>
      <c r="N975">
        <v>1</v>
      </c>
      <c r="O975">
        <v>82527.13</v>
      </c>
      <c r="P975">
        <f>IF(C975&gt;=200000,5,IF(C975&gt;=100000,4,IF(C975&gt;=50000,3,IF(C975&gt;=10000,2,1))))</f>
        <v>3</v>
      </c>
      <c r="Q975">
        <f>IF(B975="TRANSFER",5,IF(B975="CASH_OUT",4,IF(B975="DEBIT",2,1)))</f>
        <v>4</v>
      </c>
      <c r="R975">
        <f>(P975*0.5)+(Q975*0.3)+(N975*0.1)+(M975*0.1)</f>
        <v>2.8000000000000003</v>
      </c>
      <c r="S975" t="str">
        <f t="shared" si="15"/>
        <v>MEDIUM</v>
      </c>
    </row>
    <row r="976" spans="1:19" x14ac:dyDescent="0.3">
      <c r="A976">
        <v>81</v>
      </c>
      <c r="B976" t="s">
        <v>15</v>
      </c>
      <c r="C976">
        <v>78028.89</v>
      </c>
      <c r="D976" t="s">
        <v>1958</v>
      </c>
      <c r="E976">
        <v>78028.89</v>
      </c>
      <c r="F976">
        <v>0</v>
      </c>
      <c r="G976" t="s">
        <v>1959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0</v>
      </c>
      <c r="N976">
        <v>1</v>
      </c>
      <c r="O976">
        <v>78028.89</v>
      </c>
      <c r="P976">
        <f>IF(C976&gt;=200000,5,IF(C976&gt;=100000,4,IF(C976&gt;=50000,3,IF(C976&gt;=10000,2,1))))</f>
        <v>3</v>
      </c>
      <c r="Q976">
        <f>IF(B976="TRANSFER",5,IF(B976="CASH_OUT",4,IF(B976="DEBIT",2,1)))</f>
        <v>5</v>
      </c>
      <c r="R976">
        <f>(P976*0.5)+(Q976*0.3)+(N976*0.1)+(M976*0.1)</f>
        <v>3.1</v>
      </c>
      <c r="S976" t="str">
        <f t="shared" si="15"/>
        <v>HIGH</v>
      </c>
    </row>
    <row r="977" spans="1:19" x14ac:dyDescent="0.3">
      <c r="A977">
        <v>81</v>
      </c>
      <c r="B977" t="s">
        <v>18</v>
      </c>
      <c r="C977">
        <v>78028.89</v>
      </c>
      <c r="D977" t="s">
        <v>1960</v>
      </c>
      <c r="E977">
        <v>78028.89</v>
      </c>
      <c r="F977">
        <v>0</v>
      </c>
      <c r="G977" t="s">
        <v>1961</v>
      </c>
      <c r="H977">
        <v>473519.42</v>
      </c>
      <c r="I977">
        <v>551548.31000000006</v>
      </c>
      <c r="J977">
        <v>1</v>
      </c>
      <c r="K977">
        <v>0</v>
      </c>
      <c r="L977">
        <v>9</v>
      </c>
      <c r="M977">
        <v>0</v>
      </c>
      <c r="N977">
        <v>1</v>
      </c>
      <c r="O977">
        <v>78028.89</v>
      </c>
      <c r="P977">
        <f>IF(C977&gt;=200000,5,IF(C977&gt;=100000,4,IF(C977&gt;=50000,3,IF(C977&gt;=10000,2,1))))</f>
        <v>3</v>
      </c>
      <c r="Q977">
        <f>IF(B977="TRANSFER",5,IF(B977="CASH_OUT",4,IF(B977="DEBIT",2,1)))</f>
        <v>4</v>
      </c>
      <c r="R977">
        <f>(P977*0.5)+(Q977*0.3)+(N977*0.1)+(M977*0.1)</f>
        <v>2.8000000000000003</v>
      </c>
      <c r="S977" t="str">
        <f t="shared" si="15"/>
        <v>MEDIUM</v>
      </c>
    </row>
    <row r="978" spans="1:19" x14ac:dyDescent="0.3">
      <c r="A978">
        <v>81</v>
      </c>
      <c r="B978" t="s">
        <v>15</v>
      </c>
      <c r="C978">
        <v>2737766.8</v>
      </c>
      <c r="D978" t="s">
        <v>1962</v>
      </c>
      <c r="E978">
        <v>2737766.8</v>
      </c>
      <c r="F978">
        <v>0</v>
      </c>
      <c r="G978" t="s">
        <v>1963</v>
      </c>
      <c r="H978">
        <v>0</v>
      </c>
      <c r="I978">
        <v>0</v>
      </c>
      <c r="J978">
        <v>1</v>
      </c>
      <c r="K978">
        <v>0</v>
      </c>
      <c r="L978">
        <v>9</v>
      </c>
      <c r="M978">
        <v>0</v>
      </c>
      <c r="N978">
        <v>1</v>
      </c>
      <c r="O978">
        <v>2737766.8</v>
      </c>
      <c r="P978">
        <f>IF(C978&gt;=200000,5,IF(C978&gt;=100000,4,IF(C978&gt;=50000,3,IF(C978&gt;=10000,2,1))))</f>
        <v>5</v>
      </c>
      <c r="Q978">
        <f>IF(B978="TRANSFER",5,IF(B978="CASH_OUT",4,IF(B978="DEBIT",2,1)))</f>
        <v>5</v>
      </c>
      <c r="R978">
        <f>(P978*0.5)+(Q978*0.3)+(N978*0.1)+(M978*0.1)</f>
        <v>4.0999999999999996</v>
      </c>
      <c r="S978" t="str">
        <f t="shared" si="15"/>
        <v>HIGH</v>
      </c>
    </row>
    <row r="979" spans="1:19" x14ac:dyDescent="0.3">
      <c r="A979">
        <v>81</v>
      </c>
      <c r="B979" t="s">
        <v>18</v>
      </c>
      <c r="C979">
        <v>2737766.8</v>
      </c>
      <c r="D979" t="s">
        <v>1964</v>
      </c>
      <c r="E979">
        <v>2737766.8</v>
      </c>
      <c r="F979">
        <v>0</v>
      </c>
      <c r="G979" t="s">
        <v>1965</v>
      </c>
      <c r="H979">
        <v>0</v>
      </c>
      <c r="I979">
        <v>2737766.8</v>
      </c>
      <c r="J979">
        <v>1</v>
      </c>
      <c r="K979">
        <v>0</v>
      </c>
      <c r="L979">
        <v>9</v>
      </c>
      <c r="M979">
        <v>0</v>
      </c>
      <c r="N979">
        <v>1</v>
      </c>
      <c r="O979">
        <v>2737766.8</v>
      </c>
      <c r="P979">
        <f>IF(C979&gt;=200000,5,IF(C979&gt;=100000,4,IF(C979&gt;=50000,3,IF(C979&gt;=10000,2,1))))</f>
        <v>5</v>
      </c>
      <c r="Q979">
        <f>IF(B979="TRANSFER",5,IF(B979="CASH_OUT",4,IF(B979="DEBIT",2,1)))</f>
        <v>4</v>
      </c>
      <c r="R979">
        <f>(P979*0.5)+(Q979*0.3)+(N979*0.1)+(M979*0.1)</f>
        <v>3.8000000000000003</v>
      </c>
      <c r="S979" t="str">
        <f t="shared" si="15"/>
        <v>HIGH</v>
      </c>
    </row>
    <row r="980" spans="1:19" x14ac:dyDescent="0.3">
      <c r="A980">
        <v>81</v>
      </c>
      <c r="B980" t="s">
        <v>15</v>
      </c>
      <c r="C980">
        <v>1980800.05</v>
      </c>
      <c r="D980" t="s">
        <v>1966</v>
      </c>
      <c r="E980">
        <v>1980800.05</v>
      </c>
      <c r="F980">
        <v>0</v>
      </c>
      <c r="G980" t="s">
        <v>1967</v>
      </c>
      <c r="H980">
        <v>0</v>
      </c>
      <c r="I980">
        <v>0</v>
      </c>
      <c r="J980">
        <v>1</v>
      </c>
      <c r="K980">
        <v>0</v>
      </c>
      <c r="L980">
        <v>9</v>
      </c>
      <c r="M980">
        <v>0</v>
      </c>
      <c r="N980">
        <v>1</v>
      </c>
      <c r="O980">
        <v>1980800.05</v>
      </c>
      <c r="P980">
        <f>IF(C980&gt;=200000,5,IF(C980&gt;=100000,4,IF(C980&gt;=50000,3,IF(C980&gt;=10000,2,1))))</f>
        <v>5</v>
      </c>
      <c r="Q980">
        <f>IF(B980="TRANSFER",5,IF(B980="CASH_OUT",4,IF(B980="DEBIT",2,1)))</f>
        <v>5</v>
      </c>
      <c r="R980">
        <f>(P980*0.5)+(Q980*0.3)+(N980*0.1)+(M980*0.1)</f>
        <v>4.0999999999999996</v>
      </c>
      <c r="S980" t="str">
        <f t="shared" si="15"/>
        <v>HIGH</v>
      </c>
    </row>
    <row r="981" spans="1:19" x14ac:dyDescent="0.3">
      <c r="A981">
        <v>81</v>
      </c>
      <c r="B981" t="s">
        <v>18</v>
      </c>
      <c r="C981">
        <v>1980800.05</v>
      </c>
      <c r="D981" t="s">
        <v>1968</v>
      </c>
      <c r="E981">
        <v>1980800.05</v>
      </c>
      <c r="F981">
        <v>0</v>
      </c>
      <c r="G981" t="s">
        <v>1969</v>
      </c>
      <c r="H981">
        <v>1779203.4</v>
      </c>
      <c r="I981">
        <v>3760003.46</v>
      </c>
      <c r="J981">
        <v>1</v>
      </c>
      <c r="K981">
        <v>0</v>
      </c>
      <c r="L981">
        <v>9</v>
      </c>
      <c r="M981">
        <v>0</v>
      </c>
      <c r="N981">
        <v>1</v>
      </c>
      <c r="O981">
        <v>1980800.05</v>
      </c>
      <c r="P981">
        <f>IF(C981&gt;=200000,5,IF(C981&gt;=100000,4,IF(C981&gt;=50000,3,IF(C981&gt;=10000,2,1))))</f>
        <v>5</v>
      </c>
      <c r="Q981">
        <f>IF(B981="TRANSFER",5,IF(B981="CASH_OUT",4,IF(B981="DEBIT",2,1)))</f>
        <v>4</v>
      </c>
      <c r="R981">
        <f>(P981*0.5)+(Q981*0.3)+(N981*0.1)+(M981*0.1)</f>
        <v>3.8000000000000003</v>
      </c>
      <c r="S981" t="str">
        <f t="shared" si="15"/>
        <v>HIGH</v>
      </c>
    </row>
    <row r="982" spans="1:19" x14ac:dyDescent="0.3">
      <c r="A982">
        <v>81</v>
      </c>
      <c r="B982" t="s">
        <v>15</v>
      </c>
      <c r="C982">
        <v>221936.6</v>
      </c>
      <c r="D982" t="s">
        <v>1970</v>
      </c>
      <c r="E982">
        <v>221936.6</v>
      </c>
      <c r="F982">
        <v>0</v>
      </c>
      <c r="G982" t="s">
        <v>1971</v>
      </c>
      <c r="H982">
        <v>0</v>
      </c>
      <c r="I982">
        <v>0</v>
      </c>
      <c r="J982">
        <v>1</v>
      </c>
      <c r="K982">
        <v>0</v>
      </c>
      <c r="L982">
        <v>9</v>
      </c>
      <c r="M982">
        <v>0</v>
      </c>
      <c r="N982">
        <v>1</v>
      </c>
      <c r="O982">
        <v>221936.6</v>
      </c>
      <c r="P982">
        <f>IF(C982&gt;=200000,5,IF(C982&gt;=100000,4,IF(C982&gt;=50000,3,IF(C982&gt;=10000,2,1))))</f>
        <v>5</v>
      </c>
      <c r="Q982">
        <f>IF(B982="TRANSFER",5,IF(B982="CASH_OUT",4,IF(B982="DEBIT",2,1)))</f>
        <v>5</v>
      </c>
      <c r="R982">
        <f>(P982*0.5)+(Q982*0.3)+(N982*0.1)+(M982*0.1)</f>
        <v>4.0999999999999996</v>
      </c>
      <c r="S982" t="str">
        <f t="shared" si="15"/>
        <v>HIGH</v>
      </c>
    </row>
    <row r="983" spans="1:19" x14ac:dyDescent="0.3">
      <c r="A983">
        <v>81</v>
      </c>
      <c r="B983" t="s">
        <v>18</v>
      </c>
      <c r="C983">
        <v>221936.6</v>
      </c>
      <c r="D983" t="s">
        <v>1972</v>
      </c>
      <c r="E983">
        <v>221936.6</v>
      </c>
      <c r="F983">
        <v>0</v>
      </c>
      <c r="G983" t="s">
        <v>1973</v>
      </c>
      <c r="H983">
        <v>1811.03</v>
      </c>
      <c r="I983">
        <v>223747.62</v>
      </c>
      <c r="J983">
        <v>1</v>
      </c>
      <c r="K983">
        <v>0</v>
      </c>
      <c r="L983">
        <v>9</v>
      </c>
      <c r="M983">
        <v>0</v>
      </c>
      <c r="N983">
        <v>1</v>
      </c>
      <c r="O983">
        <v>221936.6</v>
      </c>
      <c r="P983">
        <f>IF(C983&gt;=200000,5,IF(C983&gt;=100000,4,IF(C983&gt;=50000,3,IF(C983&gt;=10000,2,1))))</f>
        <v>5</v>
      </c>
      <c r="Q983">
        <f>IF(B983="TRANSFER",5,IF(B983="CASH_OUT",4,IF(B983="DEBIT",2,1)))</f>
        <v>4</v>
      </c>
      <c r="R983">
        <f>(P983*0.5)+(Q983*0.3)+(N983*0.1)+(M983*0.1)</f>
        <v>3.8000000000000003</v>
      </c>
      <c r="S983" t="str">
        <f t="shared" si="15"/>
        <v>HIGH</v>
      </c>
    </row>
    <row r="984" spans="1:19" x14ac:dyDescent="0.3">
      <c r="A984">
        <v>82</v>
      </c>
      <c r="B984" t="s">
        <v>15</v>
      </c>
      <c r="C984">
        <v>5338583.38</v>
      </c>
      <c r="D984" t="s">
        <v>1974</v>
      </c>
      <c r="E984">
        <v>5338583.38</v>
      </c>
      <c r="F984">
        <v>0</v>
      </c>
      <c r="G984" t="s">
        <v>1975</v>
      </c>
      <c r="H984">
        <v>0</v>
      </c>
      <c r="I984">
        <v>0</v>
      </c>
      <c r="J984">
        <v>1</v>
      </c>
      <c r="K984">
        <v>0</v>
      </c>
      <c r="L984">
        <v>10</v>
      </c>
      <c r="M984">
        <v>0</v>
      </c>
      <c r="N984">
        <v>1</v>
      </c>
      <c r="O984">
        <v>5338583.38</v>
      </c>
      <c r="P984">
        <f>IF(C984&gt;=200000,5,IF(C984&gt;=100000,4,IF(C984&gt;=50000,3,IF(C984&gt;=10000,2,1))))</f>
        <v>5</v>
      </c>
      <c r="Q984">
        <f>IF(B984="TRANSFER",5,IF(B984="CASH_OUT",4,IF(B984="DEBIT",2,1)))</f>
        <v>5</v>
      </c>
      <c r="R984">
        <f>(P984*0.5)+(Q984*0.3)+(N984*0.1)+(M984*0.1)</f>
        <v>4.0999999999999996</v>
      </c>
      <c r="S984" t="str">
        <f t="shared" si="15"/>
        <v>HIGH</v>
      </c>
    </row>
    <row r="985" spans="1:19" x14ac:dyDescent="0.3">
      <c r="A985">
        <v>82</v>
      </c>
      <c r="B985" t="s">
        <v>18</v>
      </c>
      <c r="C985">
        <v>5338583.38</v>
      </c>
      <c r="D985" t="s">
        <v>1976</v>
      </c>
      <c r="E985">
        <v>5338583.38</v>
      </c>
      <c r="F985">
        <v>0</v>
      </c>
      <c r="G985" t="s">
        <v>1977</v>
      </c>
      <c r="H985">
        <v>31250.62</v>
      </c>
      <c r="I985">
        <v>5369834</v>
      </c>
      <c r="J985">
        <v>1</v>
      </c>
      <c r="K985">
        <v>0</v>
      </c>
      <c r="L985">
        <v>10</v>
      </c>
      <c r="M985">
        <v>0</v>
      </c>
      <c r="N985">
        <v>1</v>
      </c>
      <c r="O985">
        <v>5338583.38</v>
      </c>
      <c r="P985">
        <f>IF(C985&gt;=200000,5,IF(C985&gt;=100000,4,IF(C985&gt;=50000,3,IF(C985&gt;=10000,2,1))))</f>
        <v>5</v>
      </c>
      <c r="Q985">
        <f>IF(B985="TRANSFER",5,IF(B985="CASH_OUT",4,IF(B985="DEBIT",2,1)))</f>
        <v>4</v>
      </c>
      <c r="R985">
        <f>(P985*0.5)+(Q985*0.3)+(N985*0.1)+(M985*0.1)</f>
        <v>3.8000000000000003</v>
      </c>
      <c r="S985" t="str">
        <f t="shared" si="15"/>
        <v>HIGH</v>
      </c>
    </row>
    <row r="986" spans="1:19" x14ac:dyDescent="0.3">
      <c r="A986">
        <v>82</v>
      </c>
      <c r="B986" t="s">
        <v>15</v>
      </c>
      <c r="C986">
        <v>1534985.07</v>
      </c>
      <c r="D986" t="s">
        <v>1978</v>
      </c>
      <c r="E986">
        <v>1534985.07</v>
      </c>
      <c r="F986">
        <v>0</v>
      </c>
      <c r="G986" t="s">
        <v>1979</v>
      </c>
      <c r="H986">
        <v>0</v>
      </c>
      <c r="I986">
        <v>0</v>
      </c>
      <c r="J986">
        <v>1</v>
      </c>
      <c r="K986">
        <v>0</v>
      </c>
      <c r="L986">
        <v>10</v>
      </c>
      <c r="M986">
        <v>0</v>
      </c>
      <c r="N986">
        <v>1</v>
      </c>
      <c r="O986">
        <v>1534985.07</v>
      </c>
      <c r="P986">
        <f>IF(C986&gt;=200000,5,IF(C986&gt;=100000,4,IF(C986&gt;=50000,3,IF(C986&gt;=10000,2,1))))</f>
        <v>5</v>
      </c>
      <c r="Q986">
        <f>IF(B986="TRANSFER",5,IF(B986="CASH_OUT",4,IF(B986="DEBIT",2,1)))</f>
        <v>5</v>
      </c>
      <c r="R986">
        <f>(P986*0.5)+(Q986*0.3)+(N986*0.1)+(M986*0.1)</f>
        <v>4.0999999999999996</v>
      </c>
      <c r="S986" t="str">
        <f t="shared" si="15"/>
        <v>HIGH</v>
      </c>
    </row>
    <row r="987" spans="1:19" x14ac:dyDescent="0.3">
      <c r="A987">
        <v>82</v>
      </c>
      <c r="B987" t="s">
        <v>18</v>
      </c>
      <c r="C987">
        <v>1534985.07</v>
      </c>
      <c r="D987" t="s">
        <v>1980</v>
      </c>
      <c r="E987">
        <v>1534985.07</v>
      </c>
      <c r="F987">
        <v>0</v>
      </c>
      <c r="G987" t="s">
        <v>1981</v>
      </c>
      <c r="H987">
        <v>0</v>
      </c>
      <c r="I987">
        <v>1534985.07</v>
      </c>
      <c r="J987">
        <v>1</v>
      </c>
      <c r="K987">
        <v>0</v>
      </c>
      <c r="L987">
        <v>10</v>
      </c>
      <c r="M987">
        <v>0</v>
      </c>
      <c r="N987">
        <v>1</v>
      </c>
      <c r="O987">
        <v>1534985.07</v>
      </c>
      <c r="P987">
        <f>IF(C987&gt;=200000,5,IF(C987&gt;=100000,4,IF(C987&gt;=50000,3,IF(C987&gt;=10000,2,1))))</f>
        <v>5</v>
      </c>
      <c r="Q987">
        <f>IF(B987="TRANSFER",5,IF(B987="CASH_OUT",4,IF(B987="DEBIT",2,1)))</f>
        <v>4</v>
      </c>
      <c r="R987">
        <f>(P987*0.5)+(Q987*0.3)+(N987*0.1)+(M987*0.1)</f>
        <v>3.8000000000000003</v>
      </c>
      <c r="S987" t="str">
        <f t="shared" si="15"/>
        <v>HIGH</v>
      </c>
    </row>
    <row r="988" spans="1:19" x14ac:dyDescent="0.3">
      <c r="A988">
        <v>82</v>
      </c>
      <c r="B988" t="s">
        <v>15</v>
      </c>
      <c r="C988">
        <v>45077.1</v>
      </c>
      <c r="D988" t="s">
        <v>1982</v>
      </c>
      <c r="E988">
        <v>45077.1</v>
      </c>
      <c r="F988">
        <v>0</v>
      </c>
      <c r="G988" t="s">
        <v>1983</v>
      </c>
      <c r="H988">
        <v>0</v>
      </c>
      <c r="I988">
        <v>0</v>
      </c>
      <c r="J988">
        <v>1</v>
      </c>
      <c r="K988">
        <v>0</v>
      </c>
      <c r="L988">
        <v>10</v>
      </c>
      <c r="M988">
        <v>0</v>
      </c>
      <c r="N988">
        <v>1</v>
      </c>
      <c r="O988">
        <v>45077.1</v>
      </c>
      <c r="P988">
        <f>IF(C988&gt;=200000,5,IF(C988&gt;=100000,4,IF(C988&gt;=50000,3,IF(C988&gt;=10000,2,1))))</f>
        <v>2</v>
      </c>
      <c r="Q988">
        <f>IF(B988="TRANSFER",5,IF(B988="CASH_OUT",4,IF(B988="DEBIT",2,1)))</f>
        <v>5</v>
      </c>
      <c r="R988">
        <f>(P988*0.5)+(Q988*0.3)+(N988*0.1)+(M988*0.1)</f>
        <v>2.6</v>
      </c>
      <c r="S988" t="str">
        <f t="shared" si="15"/>
        <v>MEDIUM</v>
      </c>
    </row>
    <row r="989" spans="1:19" x14ac:dyDescent="0.3">
      <c r="A989">
        <v>82</v>
      </c>
      <c r="B989" t="s">
        <v>18</v>
      </c>
      <c r="C989">
        <v>45077.1</v>
      </c>
      <c r="D989" t="s">
        <v>1984</v>
      </c>
      <c r="E989">
        <v>45077.1</v>
      </c>
      <c r="F989">
        <v>0</v>
      </c>
      <c r="G989" t="s">
        <v>1985</v>
      </c>
      <c r="H989">
        <v>126262.18</v>
      </c>
      <c r="I989">
        <v>171339.29</v>
      </c>
      <c r="J989">
        <v>1</v>
      </c>
      <c r="K989">
        <v>0</v>
      </c>
      <c r="L989">
        <v>10</v>
      </c>
      <c r="M989">
        <v>0</v>
      </c>
      <c r="N989">
        <v>1</v>
      </c>
      <c r="O989">
        <v>45077.1</v>
      </c>
      <c r="P989">
        <f>IF(C989&gt;=200000,5,IF(C989&gt;=100000,4,IF(C989&gt;=50000,3,IF(C989&gt;=10000,2,1))))</f>
        <v>2</v>
      </c>
      <c r="Q989">
        <f>IF(B989="TRANSFER",5,IF(B989="CASH_OUT",4,IF(B989="DEBIT",2,1)))</f>
        <v>4</v>
      </c>
      <c r="R989">
        <f>(P989*0.5)+(Q989*0.3)+(N989*0.1)+(M989*0.1)</f>
        <v>2.3000000000000003</v>
      </c>
      <c r="S989" t="str">
        <f t="shared" si="15"/>
        <v>MEDIUM</v>
      </c>
    </row>
    <row r="990" spans="1:19" x14ac:dyDescent="0.3">
      <c r="A990">
        <v>82</v>
      </c>
      <c r="B990" t="s">
        <v>15</v>
      </c>
      <c r="C990">
        <v>10000000</v>
      </c>
      <c r="D990" t="s">
        <v>1986</v>
      </c>
      <c r="E990">
        <v>11000000</v>
      </c>
      <c r="F990">
        <v>987591.59</v>
      </c>
      <c r="G990" t="s">
        <v>1987</v>
      </c>
      <c r="H990">
        <v>0</v>
      </c>
      <c r="I990">
        <v>0</v>
      </c>
      <c r="J990">
        <v>1</v>
      </c>
      <c r="K990">
        <v>0</v>
      </c>
      <c r="L990">
        <v>10</v>
      </c>
      <c r="M990">
        <v>1</v>
      </c>
      <c r="N990">
        <v>0</v>
      </c>
      <c r="O990">
        <v>10012408.41</v>
      </c>
      <c r="P990">
        <f>IF(C990&gt;=200000,5,IF(C990&gt;=100000,4,IF(C990&gt;=50000,3,IF(C990&gt;=10000,2,1))))</f>
        <v>5</v>
      </c>
      <c r="Q990">
        <f>IF(B990="TRANSFER",5,IF(B990="CASH_OUT",4,IF(B990="DEBIT",2,1)))</f>
        <v>5</v>
      </c>
      <c r="R990">
        <f>(P990*0.5)+(Q990*0.3)+(N990*0.1)+(M990*0.1)</f>
        <v>4.0999999999999996</v>
      </c>
      <c r="S990" t="str">
        <f t="shared" si="15"/>
        <v>HIGH</v>
      </c>
    </row>
    <row r="991" spans="1:19" x14ac:dyDescent="0.3">
      <c r="A991">
        <v>82</v>
      </c>
      <c r="B991" t="s">
        <v>18</v>
      </c>
      <c r="C991">
        <v>10000000</v>
      </c>
      <c r="D991" t="s">
        <v>1988</v>
      </c>
      <c r="E991">
        <v>10000000</v>
      </c>
      <c r="F991">
        <v>0</v>
      </c>
      <c r="G991" t="s">
        <v>1989</v>
      </c>
      <c r="H991">
        <v>373274.84</v>
      </c>
      <c r="I991">
        <v>10400000</v>
      </c>
      <c r="J991">
        <v>1</v>
      </c>
      <c r="K991">
        <v>0</v>
      </c>
      <c r="L991">
        <v>10</v>
      </c>
      <c r="M991">
        <v>1</v>
      </c>
      <c r="N991">
        <v>1</v>
      </c>
      <c r="O991">
        <v>10000000</v>
      </c>
      <c r="P991">
        <f>IF(C991&gt;=200000,5,IF(C991&gt;=100000,4,IF(C991&gt;=50000,3,IF(C991&gt;=10000,2,1))))</f>
        <v>5</v>
      </c>
      <c r="Q991">
        <f>IF(B991="TRANSFER",5,IF(B991="CASH_OUT",4,IF(B991="DEBIT",2,1)))</f>
        <v>4</v>
      </c>
      <c r="R991">
        <f>(P991*0.5)+(Q991*0.3)+(N991*0.1)+(M991*0.1)</f>
        <v>3.9000000000000004</v>
      </c>
      <c r="S991" t="str">
        <f t="shared" si="15"/>
        <v>HIGH</v>
      </c>
    </row>
    <row r="992" spans="1:19" x14ac:dyDescent="0.3">
      <c r="A992">
        <v>82</v>
      </c>
      <c r="B992" t="s">
        <v>15</v>
      </c>
      <c r="C992">
        <v>987591.59</v>
      </c>
      <c r="D992" t="s">
        <v>1990</v>
      </c>
      <c r="E992">
        <v>987591.59</v>
      </c>
      <c r="F992">
        <v>0</v>
      </c>
      <c r="G992" t="s">
        <v>1991</v>
      </c>
      <c r="H992">
        <v>0</v>
      </c>
      <c r="I992">
        <v>0</v>
      </c>
      <c r="J992">
        <v>1</v>
      </c>
      <c r="K992">
        <v>0</v>
      </c>
      <c r="L992">
        <v>10</v>
      </c>
      <c r="M992">
        <v>0</v>
      </c>
      <c r="N992">
        <v>1</v>
      </c>
      <c r="O992">
        <v>987591.59</v>
      </c>
      <c r="P992">
        <f>IF(C992&gt;=200000,5,IF(C992&gt;=100000,4,IF(C992&gt;=50000,3,IF(C992&gt;=10000,2,1))))</f>
        <v>5</v>
      </c>
      <c r="Q992">
        <f>IF(B992="TRANSFER",5,IF(B992="CASH_OUT",4,IF(B992="DEBIT",2,1)))</f>
        <v>5</v>
      </c>
      <c r="R992">
        <f>(P992*0.5)+(Q992*0.3)+(N992*0.1)+(M992*0.1)</f>
        <v>4.0999999999999996</v>
      </c>
      <c r="S992" t="str">
        <f t="shared" si="15"/>
        <v>HIGH</v>
      </c>
    </row>
    <row r="993" spans="1:19" x14ac:dyDescent="0.3">
      <c r="A993">
        <v>82</v>
      </c>
      <c r="B993" t="s">
        <v>18</v>
      </c>
      <c r="C993">
        <v>987591.59</v>
      </c>
      <c r="D993" t="s">
        <v>1992</v>
      </c>
      <c r="E993">
        <v>987591.59</v>
      </c>
      <c r="F993">
        <v>0</v>
      </c>
      <c r="G993" t="s">
        <v>1993</v>
      </c>
      <c r="H993">
        <v>0</v>
      </c>
      <c r="I993">
        <v>987591.59</v>
      </c>
      <c r="J993">
        <v>1</v>
      </c>
      <c r="K993">
        <v>0</v>
      </c>
      <c r="L993">
        <v>10</v>
      </c>
      <c r="M993">
        <v>0</v>
      </c>
      <c r="N993">
        <v>1</v>
      </c>
      <c r="O993">
        <v>987591.59</v>
      </c>
      <c r="P993">
        <f>IF(C993&gt;=200000,5,IF(C993&gt;=100000,4,IF(C993&gt;=50000,3,IF(C993&gt;=10000,2,1))))</f>
        <v>5</v>
      </c>
      <c r="Q993">
        <f>IF(B993="TRANSFER",5,IF(B993="CASH_OUT",4,IF(B993="DEBIT",2,1)))</f>
        <v>4</v>
      </c>
      <c r="R993">
        <f>(P993*0.5)+(Q993*0.3)+(N993*0.1)+(M993*0.1)</f>
        <v>3.8000000000000003</v>
      </c>
      <c r="S993" t="str">
        <f t="shared" si="15"/>
        <v>HIGH</v>
      </c>
    </row>
    <row r="994" spans="1:19" x14ac:dyDescent="0.3">
      <c r="A994">
        <v>83</v>
      </c>
      <c r="B994" t="s">
        <v>15</v>
      </c>
      <c r="C994">
        <v>1534926.96</v>
      </c>
      <c r="D994" t="s">
        <v>1994</v>
      </c>
      <c r="E994">
        <v>1534926.96</v>
      </c>
      <c r="F994">
        <v>0</v>
      </c>
      <c r="G994" t="s">
        <v>1995</v>
      </c>
      <c r="H994">
        <v>0</v>
      </c>
      <c r="I994">
        <v>0</v>
      </c>
      <c r="J994">
        <v>1</v>
      </c>
      <c r="K994">
        <v>0</v>
      </c>
      <c r="L994">
        <v>11</v>
      </c>
      <c r="M994">
        <v>0</v>
      </c>
      <c r="N994">
        <v>1</v>
      </c>
      <c r="O994">
        <v>1534926.96</v>
      </c>
      <c r="P994">
        <f>IF(C994&gt;=200000,5,IF(C994&gt;=100000,4,IF(C994&gt;=50000,3,IF(C994&gt;=10000,2,1))))</f>
        <v>5</v>
      </c>
      <c r="Q994">
        <f>IF(B994="TRANSFER",5,IF(B994="CASH_OUT",4,IF(B994="DEBIT",2,1)))</f>
        <v>5</v>
      </c>
      <c r="R994">
        <f>(P994*0.5)+(Q994*0.3)+(N994*0.1)+(M994*0.1)</f>
        <v>4.0999999999999996</v>
      </c>
      <c r="S994" t="str">
        <f t="shared" si="15"/>
        <v>HIGH</v>
      </c>
    </row>
    <row r="995" spans="1:19" x14ac:dyDescent="0.3">
      <c r="A995">
        <v>83</v>
      </c>
      <c r="B995" t="s">
        <v>18</v>
      </c>
      <c r="C995">
        <v>1534926.96</v>
      </c>
      <c r="D995" t="s">
        <v>1996</v>
      </c>
      <c r="E995">
        <v>1534926.96</v>
      </c>
      <c r="F995">
        <v>0</v>
      </c>
      <c r="G995" t="s">
        <v>1997</v>
      </c>
      <c r="H995">
        <v>0</v>
      </c>
      <c r="I995">
        <v>1534926.96</v>
      </c>
      <c r="J995">
        <v>1</v>
      </c>
      <c r="K995">
        <v>0</v>
      </c>
      <c r="L995">
        <v>11</v>
      </c>
      <c r="M995">
        <v>0</v>
      </c>
      <c r="N995">
        <v>1</v>
      </c>
      <c r="O995">
        <v>1534926.96</v>
      </c>
      <c r="P995">
        <f>IF(C995&gt;=200000,5,IF(C995&gt;=100000,4,IF(C995&gt;=50000,3,IF(C995&gt;=10000,2,1))))</f>
        <v>5</v>
      </c>
      <c r="Q995">
        <f>IF(B995="TRANSFER",5,IF(B995="CASH_OUT",4,IF(B995="DEBIT",2,1)))</f>
        <v>4</v>
      </c>
      <c r="R995">
        <f>(P995*0.5)+(Q995*0.3)+(N995*0.1)+(M995*0.1)</f>
        <v>3.8000000000000003</v>
      </c>
      <c r="S995" t="str">
        <f t="shared" si="15"/>
        <v>HIGH</v>
      </c>
    </row>
    <row r="996" spans="1:19" x14ac:dyDescent="0.3">
      <c r="A996">
        <v>83</v>
      </c>
      <c r="B996" t="s">
        <v>15</v>
      </c>
      <c r="C996">
        <v>594577.22</v>
      </c>
      <c r="D996" t="s">
        <v>1998</v>
      </c>
      <c r="E996">
        <v>594577.22</v>
      </c>
      <c r="F996">
        <v>0</v>
      </c>
      <c r="G996" t="s">
        <v>1999</v>
      </c>
      <c r="H996">
        <v>0</v>
      </c>
      <c r="I996">
        <v>0</v>
      </c>
      <c r="J996">
        <v>1</v>
      </c>
      <c r="K996">
        <v>0</v>
      </c>
      <c r="L996">
        <v>11</v>
      </c>
      <c r="M996">
        <v>0</v>
      </c>
      <c r="N996">
        <v>1</v>
      </c>
      <c r="O996">
        <v>594577.22</v>
      </c>
      <c r="P996">
        <f>IF(C996&gt;=200000,5,IF(C996&gt;=100000,4,IF(C996&gt;=50000,3,IF(C996&gt;=10000,2,1))))</f>
        <v>5</v>
      </c>
      <c r="Q996">
        <f>IF(B996="TRANSFER",5,IF(B996="CASH_OUT",4,IF(B996="DEBIT",2,1)))</f>
        <v>5</v>
      </c>
      <c r="R996">
        <f>(P996*0.5)+(Q996*0.3)+(N996*0.1)+(M996*0.1)</f>
        <v>4.0999999999999996</v>
      </c>
      <c r="S996" t="str">
        <f t="shared" si="15"/>
        <v>HIGH</v>
      </c>
    </row>
    <row r="997" spans="1:19" x14ac:dyDescent="0.3">
      <c r="A997">
        <v>83</v>
      </c>
      <c r="B997" t="s">
        <v>18</v>
      </c>
      <c r="C997">
        <v>594577.22</v>
      </c>
      <c r="D997" t="s">
        <v>2000</v>
      </c>
      <c r="E997">
        <v>594577.22</v>
      </c>
      <c r="F997">
        <v>0</v>
      </c>
      <c r="G997" t="s">
        <v>511</v>
      </c>
      <c r="H997">
        <v>685106.85</v>
      </c>
      <c r="I997">
        <v>1279684.07</v>
      </c>
      <c r="J997">
        <v>1</v>
      </c>
      <c r="K997">
        <v>0</v>
      </c>
      <c r="L997">
        <v>11</v>
      </c>
      <c r="M997">
        <v>0</v>
      </c>
      <c r="N997">
        <v>1</v>
      </c>
      <c r="O997">
        <v>594577.22</v>
      </c>
      <c r="P997">
        <f>IF(C997&gt;=200000,5,IF(C997&gt;=100000,4,IF(C997&gt;=50000,3,IF(C997&gt;=10000,2,1))))</f>
        <v>5</v>
      </c>
      <c r="Q997">
        <f>IF(B997="TRANSFER",5,IF(B997="CASH_OUT",4,IF(B997="DEBIT",2,1)))</f>
        <v>4</v>
      </c>
      <c r="R997">
        <f>(P997*0.5)+(Q997*0.3)+(N997*0.1)+(M997*0.1)</f>
        <v>3.8000000000000003</v>
      </c>
      <c r="S997" t="str">
        <f t="shared" si="15"/>
        <v>HIGH</v>
      </c>
    </row>
    <row r="998" spans="1:19" x14ac:dyDescent="0.3">
      <c r="A998">
        <v>83</v>
      </c>
      <c r="B998" t="s">
        <v>15</v>
      </c>
      <c r="C998">
        <v>24412.07</v>
      </c>
      <c r="D998" t="s">
        <v>2001</v>
      </c>
      <c r="E998">
        <v>24412.07</v>
      </c>
      <c r="F998">
        <v>0</v>
      </c>
      <c r="G998" t="s">
        <v>2002</v>
      </c>
      <c r="H998">
        <v>0</v>
      </c>
      <c r="I998">
        <v>0</v>
      </c>
      <c r="J998">
        <v>1</v>
      </c>
      <c r="K998">
        <v>0</v>
      </c>
      <c r="L998">
        <v>11</v>
      </c>
      <c r="M998">
        <v>0</v>
      </c>
      <c r="N998">
        <v>1</v>
      </c>
      <c r="O998">
        <v>24412.07</v>
      </c>
      <c r="P998">
        <f>IF(C998&gt;=200000,5,IF(C998&gt;=100000,4,IF(C998&gt;=50000,3,IF(C998&gt;=10000,2,1))))</f>
        <v>2</v>
      </c>
      <c r="Q998">
        <f>IF(B998="TRANSFER",5,IF(B998="CASH_OUT",4,IF(B998="DEBIT",2,1)))</f>
        <v>5</v>
      </c>
      <c r="R998">
        <f>(P998*0.5)+(Q998*0.3)+(N998*0.1)+(M998*0.1)</f>
        <v>2.6</v>
      </c>
      <c r="S998" t="str">
        <f t="shared" si="15"/>
        <v>MEDIUM</v>
      </c>
    </row>
    <row r="999" spans="1:19" x14ac:dyDescent="0.3">
      <c r="A999">
        <v>83</v>
      </c>
      <c r="B999" t="s">
        <v>18</v>
      </c>
      <c r="C999">
        <v>24412.07</v>
      </c>
      <c r="D999" t="s">
        <v>2003</v>
      </c>
      <c r="E999">
        <v>24412.07</v>
      </c>
      <c r="F999">
        <v>0</v>
      </c>
      <c r="G999" t="s">
        <v>2004</v>
      </c>
      <c r="H999">
        <v>1564103.49</v>
      </c>
      <c r="I999">
        <v>1588515.56</v>
      </c>
      <c r="J999">
        <v>1</v>
      </c>
      <c r="K999">
        <v>0</v>
      </c>
      <c r="L999">
        <v>11</v>
      </c>
      <c r="M999">
        <v>0</v>
      </c>
      <c r="N999">
        <v>1</v>
      </c>
      <c r="O999">
        <v>24412.07</v>
      </c>
      <c r="P999">
        <f>IF(C999&gt;=200000,5,IF(C999&gt;=100000,4,IF(C999&gt;=50000,3,IF(C999&gt;=10000,2,1))))</f>
        <v>2</v>
      </c>
      <c r="Q999">
        <f>IF(B999="TRANSFER",5,IF(B999="CASH_OUT",4,IF(B999="DEBIT",2,1)))</f>
        <v>4</v>
      </c>
      <c r="R999">
        <f>(P999*0.5)+(Q999*0.3)+(N999*0.1)+(M999*0.1)</f>
        <v>2.3000000000000003</v>
      </c>
      <c r="S999" t="str">
        <f t="shared" si="15"/>
        <v>MEDIUM</v>
      </c>
    </row>
    <row r="1000" spans="1:19" x14ac:dyDescent="0.3">
      <c r="A1000">
        <v>83</v>
      </c>
      <c r="B1000" t="s">
        <v>15</v>
      </c>
      <c r="C1000">
        <v>286769.07</v>
      </c>
      <c r="D1000" t="s">
        <v>2005</v>
      </c>
      <c r="E1000">
        <v>286769.07</v>
      </c>
      <c r="F1000">
        <v>0</v>
      </c>
      <c r="G1000" t="s">
        <v>2006</v>
      </c>
      <c r="H1000">
        <v>0</v>
      </c>
      <c r="I1000">
        <v>0</v>
      </c>
      <c r="J1000">
        <v>1</v>
      </c>
      <c r="K1000">
        <v>0</v>
      </c>
      <c r="L1000">
        <v>11</v>
      </c>
      <c r="M1000">
        <v>0</v>
      </c>
      <c r="N1000">
        <v>1</v>
      </c>
      <c r="O1000">
        <v>286769.07</v>
      </c>
      <c r="P1000">
        <f>IF(C1000&gt;=200000,5,IF(C1000&gt;=100000,4,IF(C1000&gt;=50000,3,IF(C1000&gt;=10000,2,1))))</f>
        <v>5</v>
      </c>
      <c r="Q1000">
        <f>IF(B1000="TRANSFER",5,IF(B1000="CASH_OUT",4,IF(B1000="DEBIT",2,1)))</f>
        <v>5</v>
      </c>
      <c r="R1000">
        <f>(P1000*0.5)+(Q1000*0.3)+(N1000*0.1)+(M1000*0.1)</f>
        <v>4.0999999999999996</v>
      </c>
      <c r="S1000" t="str">
        <f t="shared" si="15"/>
        <v>HIGH</v>
      </c>
    </row>
    <row r="1001" spans="1:19" x14ac:dyDescent="0.3">
      <c r="A1001">
        <v>83</v>
      </c>
      <c r="B1001" t="s">
        <v>18</v>
      </c>
      <c r="C1001">
        <v>286769.07</v>
      </c>
      <c r="D1001" t="s">
        <v>2007</v>
      </c>
      <c r="E1001">
        <v>286769.07</v>
      </c>
      <c r="F1001">
        <v>0</v>
      </c>
      <c r="G1001" t="s">
        <v>2008</v>
      </c>
      <c r="H1001">
        <v>0</v>
      </c>
      <c r="I1001">
        <v>286769.07</v>
      </c>
      <c r="J1001">
        <v>1</v>
      </c>
      <c r="K1001">
        <v>0</v>
      </c>
      <c r="L1001">
        <v>11</v>
      </c>
      <c r="M1001">
        <v>0</v>
      </c>
      <c r="N1001">
        <v>1</v>
      </c>
      <c r="O1001">
        <v>286769.07</v>
      </c>
      <c r="P1001">
        <f>IF(C1001&gt;=200000,5,IF(C1001&gt;=100000,4,IF(C1001&gt;=50000,3,IF(C1001&gt;=10000,2,1))))</f>
        <v>5</v>
      </c>
      <c r="Q1001">
        <f>IF(B1001="TRANSFER",5,IF(B1001="CASH_OUT",4,IF(B1001="DEBIT",2,1)))</f>
        <v>4</v>
      </c>
      <c r="R1001">
        <f>(P1001*0.5)+(Q1001*0.3)+(N1001*0.1)+(M1001*0.1)</f>
        <v>3.8000000000000003</v>
      </c>
      <c r="S1001" t="str">
        <f t="shared" si="15"/>
        <v>HIGH</v>
      </c>
    </row>
    <row r="1002" spans="1:19" x14ac:dyDescent="0.3">
      <c r="A1002">
        <v>83</v>
      </c>
      <c r="B1002" t="s">
        <v>15</v>
      </c>
      <c r="C1002">
        <v>365099.76</v>
      </c>
      <c r="D1002" t="s">
        <v>2009</v>
      </c>
      <c r="E1002">
        <v>365099.76</v>
      </c>
      <c r="F1002">
        <v>0</v>
      </c>
      <c r="G1002" t="s">
        <v>2010</v>
      </c>
      <c r="H1002">
        <v>0</v>
      </c>
      <c r="I1002">
        <v>0</v>
      </c>
      <c r="J1002">
        <v>1</v>
      </c>
      <c r="K1002">
        <v>0</v>
      </c>
      <c r="L1002">
        <v>11</v>
      </c>
      <c r="M1002">
        <v>0</v>
      </c>
      <c r="N1002">
        <v>1</v>
      </c>
      <c r="O1002">
        <v>365099.76</v>
      </c>
      <c r="P1002">
        <f>IF(C1002&gt;=200000,5,IF(C1002&gt;=100000,4,IF(C1002&gt;=50000,3,IF(C1002&gt;=10000,2,1))))</f>
        <v>5</v>
      </c>
      <c r="Q1002">
        <f>IF(B1002="TRANSFER",5,IF(B1002="CASH_OUT",4,IF(B1002="DEBIT",2,1)))</f>
        <v>5</v>
      </c>
      <c r="R1002">
        <f>(P1002*0.5)+(Q1002*0.3)+(N1002*0.1)+(M1002*0.1)</f>
        <v>4.0999999999999996</v>
      </c>
      <c r="S1002" t="str">
        <f t="shared" si="15"/>
        <v>HIGH</v>
      </c>
    </row>
    <row r="1003" spans="1:19" x14ac:dyDescent="0.3">
      <c r="A1003">
        <v>83</v>
      </c>
      <c r="B1003" t="s">
        <v>18</v>
      </c>
      <c r="C1003">
        <v>365099.76</v>
      </c>
      <c r="D1003" t="s">
        <v>2011</v>
      </c>
      <c r="E1003">
        <v>365099.76</v>
      </c>
      <c r="F1003">
        <v>0</v>
      </c>
      <c r="G1003" t="s">
        <v>2012</v>
      </c>
      <c r="H1003">
        <v>32745.23</v>
      </c>
      <c r="I1003">
        <v>397844.99</v>
      </c>
      <c r="J1003">
        <v>1</v>
      </c>
      <c r="K1003">
        <v>0</v>
      </c>
      <c r="L1003">
        <v>11</v>
      </c>
      <c r="M1003">
        <v>0</v>
      </c>
      <c r="N1003">
        <v>1</v>
      </c>
      <c r="O1003">
        <v>365099.76</v>
      </c>
      <c r="P1003">
        <f>IF(C1003&gt;=200000,5,IF(C1003&gt;=100000,4,IF(C1003&gt;=50000,3,IF(C1003&gt;=10000,2,1))))</f>
        <v>5</v>
      </c>
      <c r="Q1003">
        <f>IF(B1003="TRANSFER",5,IF(B1003="CASH_OUT",4,IF(B1003="DEBIT",2,1)))</f>
        <v>4</v>
      </c>
      <c r="R1003">
        <f>(P1003*0.5)+(Q1003*0.3)+(N1003*0.1)+(M1003*0.1)</f>
        <v>3.8000000000000003</v>
      </c>
      <c r="S1003" t="str">
        <f t="shared" si="15"/>
        <v>HIGH</v>
      </c>
    </row>
    <row r="1004" spans="1:19" x14ac:dyDescent="0.3">
      <c r="A1004">
        <v>83</v>
      </c>
      <c r="B1004" t="s">
        <v>15</v>
      </c>
      <c r="C1004">
        <v>2498370.12</v>
      </c>
      <c r="D1004" t="s">
        <v>2013</v>
      </c>
      <c r="E1004">
        <v>2498370.12</v>
      </c>
      <c r="F1004">
        <v>0</v>
      </c>
      <c r="G1004" t="s">
        <v>2014</v>
      </c>
      <c r="H1004">
        <v>0</v>
      </c>
      <c r="I1004">
        <v>0</v>
      </c>
      <c r="J1004">
        <v>1</v>
      </c>
      <c r="K1004">
        <v>0</v>
      </c>
      <c r="L1004">
        <v>11</v>
      </c>
      <c r="M1004">
        <v>0</v>
      </c>
      <c r="N1004">
        <v>1</v>
      </c>
      <c r="O1004">
        <v>2498370.12</v>
      </c>
      <c r="P1004">
        <f>IF(C1004&gt;=200000,5,IF(C1004&gt;=100000,4,IF(C1004&gt;=50000,3,IF(C1004&gt;=10000,2,1))))</f>
        <v>5</v>
      </c>
      <c r="Q1004">
        <f>IF(B1004="TRANSFER",5,IF(B1004="CASH_OUT",4,IF(B1004="DEBIT",2,1)))</f>
        <v>5</v>
      </c>
      <c r="R1004">
        <f>(P1004*0.5)+(Q1004*0.3)+(N1004*0.1)+(M1004*0.1)</f>
        <v>4.0999999999999996</v>
      </c>
      <c r="S1004" t="str">
        <f t="shared" si="15"/>
        <v>HIGH</v>
      </c>
    </row>
    <row r="1005" spans="1:19" x14ac:dyDescent="0.3">
      <c r="A1005">
        <v>83</v>
      </c>
      <c r="B1005" t="s">
        <v>18</v>
      </c>
      <c r="C1005">
        <v>2498370.12</v>
      </c>
      <c r="D1005" t="s">
        <v>2015</v>
      </c>
      <c r="E1005">
        <v>2498370.12</v>
      </c>
      <c r="F1005">
        <v>0</v>
      </c>
      <c r="G1005" t="s">
        <v>2016</v>
      </c>
      <c r="H1005">
        <v>2343446.7400000002</v>
      </c>
      <c r="I1005">
        <v>4841816.8600000003</v>
      </c>
      <c r="J1005">
        <v>1</v>
      </c>
      <c r="K1005">
        <v>0</v>
      </c>
      <c r="L1005">
        <v>11</v>
      </c>
      <c r="M1005">
        <v>0</v>
      </c>
      <c r="N1005">
        <v>1</v>
      </c>
      <c r="O1005">
        <v>2498370.12</v>
      </c>
      <c r="P1005">
        <f>IF(C1005&gt;=200000,5,IF(C1005&gt;=100000,4,IF(C1005&gt;=50000,3,IF(C1005&gt;=10000,2,1))))</f>
        <v>5</v>
      </c>
      <c r="Q1005">
        <f>IF(B1005="TRANSFER",5,IF(B1005="CASH_OUT",4,IF(B1005="DEBIT",2,1)))</f>
        <v>4</v>
      </c>
      <c r="R1005">
        <f>(P1005*0.5)+(Q1005*0.3)+(N1005*0.1)+(M1005*0.1)</f>
        <v>3.8000000000000003</v>
      </c>
      <c r="S1005" t="str">
        <f t="shared" si="15"/>
        <v>HIGH</v>
      </c>
    </row>
    <row r="1006" spans="1:19" x14ac:dyDescent="0.3">
      <c r="A1006">
        <v>84</v>
      </c>
      <c r="B1006" t="s">
        <v>15</v>
      </c>
      <c r="C1006">
        <v>8380.7900000000009</v>
      </c>
      <c r="D1006" t="s">
        <v>2017</v>
      </c>
      <c r="E1006">
        <v>8380.7900000000009</v>
      </c>
      <c r="F1006">
        <v>0</v>
      </c>
      <c r="G1006" t="s">
        <v>2018</v>
      </c>
      <c r="H1006">
        <v>0</v>
      </c>
      <c r="I1006">
        <v>0</v>
      </c>
      <c r="J1006">
        <v>1</v>
      </c>
      <c r="K1006">
        <v>0</v>
      </c>
      <c r="L1006">
        <v>12</v>
      </c>
      <c r="M1006">
        <v>0</v>
      </c>
      <c r="N1006">
        <v>1</v>
      </c>
      <c r="O1006">
        <v>8380.7900000000009</v>
      </c>
      <c r="P1006">
        <f>IF(C1006&gt;=200000,5,IF(C1006&gt;=100000,4,IF(C1006&gt;=50000,3,IF(C1006&gt;=10000,2,1))))</f>
        <v>1</v>
      </c>
      <c r="Q1006">
        <f>IF(B1006="TRANSFER",5,IF(B1006="CASH_OUT",4,IF(B1006="DEBIT",2,1)))</f>
        <v>5</v>
      </c>
      <c r="R1006">
        <f>(P1006*0.5)+(Q1006*0.3)+(N1006*0.1)+(M1006*0.1)</f>
        <v>2.1</v>
      </c>
      <c r="S1006" t="str">
        <f t="shared" si="15"/>
        <v>MEDIUM</v>
      </c>
    </row>
    <row r="1007" spans="1:19" x14ac:dyDescent="0.3">
      <c r="A1007">
        <v>84</v>
      </c>
      <c r="B1007" t="s">
        <v>18</v>
      </c>
      <c r="C1007">
        <v>8380.7900000000009</v>
      </c>
      <c r="D1007" t="s">
        <v>2019</v>
      </c>
      <c r="E1007">
        <v>8380.7900000000009</v>
      </c>
      <c r="F1007">
        <v>0</v>
      </c>
      <c r="G1007" t="s">
        <v>2020</v>
      </c>
      <c r="H1007">
        <v>0</v>
      </c>
      <c r="I1007">
        <v>8380.7900000000009</v>
      </c>
      <c r="J1007">
        <v>1</v>
      </c>
      <c r="K1007">
        <v>0</v>
      </c>
      <c r="L1007">
        <v>12</v>
      </c>
      <c r="M1007">
        <v>0</v>
      </c>
      <c r="N1007">
        <v>1</v>
      </c>
      <c r="O1007">
        <v>8380.7900000000009</v>
      </c>
      <c r="P1007">
        <f>IF(C1007&gt;=200000,5,IF(C1007&gt;=100000,4,IF(C1007&gt;=50000,3,IF(C1007&gt;=10000,2,1))))</f>
        <v>1</v>
      </c>
      <c r="Q1007">
        <f>IF(B1007="TRANSFER",5,IF(B1007="CASH_OUT",4,IF(B1007="DEBIT",2,1)))</f>
        <v>4</v>
      </c>
      <c r="R1007">
        <f>(P1007*0.5)+(Q1007*0.3)+(N1007*0.1)+(M1007*0.1)</f>
        <v>1.8</v>
      </c>
      <c r="S1007" t="str">
        <f t="shared" si="15"/>
        <v>LOW</v>
      </c>
    </row>
    <row r="1008" spans="1:19" x14ac:dyDescent="0.3">
      <c r="A1008">
        <v>84</v>
      </c>
      <c r="B1008" t="s">
        <v>15</v>
      </c>
      <c r="C1008">
        <v>2627070.5</v>
      </c>
      <c r="D1008" t="s">
        <v>2021</v>
      </c>
      <c r="E1008">
        <v>2627070.5</v>
      </c>
      <c r="F1008">
        <v>0</v>
      </c>
      <c r="G1008" t="s">
        <v>2022</v>
      </c>
      <c r="H1008">
        <v>0</v>
      </c>
      <c r="I1008">
        <v>0</v>
      </c>
      <c r="J1008">
        <v>1</v>
      </c>
      <c r="K1008">
        <v>0</v>
      </c>
      <c r="L1008">
        <v>12</v>
      </c>
      <c r="M1008">
        <v>0</v>
      </c>
      <c r="N1008">
        <v>1</v>
      </c>
      <c r="O1008">
        <v>2627070.5</v>
      </c>
      <c r="P1008">
        <f>IF(C1008&gt;=200000,5,IF(C1008&gt;=100000,4,IF(C1008&gt;=50000,3,IF(C1008&gt;=10000,2,1))))</f>
        <v>5</v>
      </c>
      <c r="Q1008">
        <f>IF(B1008="TRANSFER",5,IF(B1008="CASH_OUT",4,IF(B1008="DEBIT",2,1)))</f>
        <v>5</v>
      </c>
      <c r="R1008">
        <f>(P1008*0.5)+(Q1008*0.3)+(N1008*0.1)+(M1008*0.1)</f>
        <v>4.0999999999999996</v>
      </c>
      <c r="S1008" t="str">
        <f t="shared" si="15"/>
        <v>HIGH</v>
      </c>
    </row>
    <row r="1009" spans="1:19" x14ac:dyDescent="0.3">
      <c r="A1009">
        <v>84</v>
      </c>
      <c r="B1009" t="s">
        <v>18</v>
      </c>
      <c r="C1009">
        <v>2627070.5</v>
      </c>
      <c r="D1009" t="s">
        <v>2023</v>
      </c>
      <c r="E1009">
        <v>2627070.5</v>
      </c>
      <c r="F1009">
        <v>0</v>
      </c>
      <c r="G1009" t="s">
        <v>2024</v>
      </c>
      <c r="H1009">
        <v>463083.63</v>
      </c>
      <c r="I1009">
        <v>3090154.12</v>
      </c>
      <c r="J1009">
        <v>1</v>
      </c>
      <c r="K1009">
        <v>0</v>
      </c>
      <c r="L1009">
        <v>12</v>
      </c>
      <c r="M1009">
        <v>0</v>
      </c>
      <c r="N1009">
        <v>1</v>
      </c>
      <c r="O1009">
        <v>2627070.5</v>
      </c>
      <c r="P1009">
        <f>IF(C1009&gt;=200000,5,IF(C1009&gt;=100000,4,IF(C1009&gt;=50000,3,IF(C1009&gt;=10000,2,1))))</f>
        <v>5</v>
      </c>
      <c r="Q1009">
        <f>IF(B1009="TRANSFER",5,IF(B1009="CASH_OUT",4,IF(B1009="DEBIT",2,1)))</f>
        <v>4</v>
      </c>
      <c r="R1009">
        <f>(P1009*0.5)+(Q1009*0.3)+(N1009*0.1)+(M1009*0.1)</f>
        <v>3.8000000000000003</v>
      </c>
      <c r="S1009" t="str">
        <f t="shared" si="15"/>
        <v>HIGH</v>
      </c>
    </row>
    <row r="1010" spans="1:19" x14ac:dyDescent="0.3">
      <c r="A1010">
        <v>84</v>
      </c>
      <c r="B1010" t="s">
        <v>15</v>
      </c>
      <c r="C1010">
        <v>39379.449999999997</v>
      </c>
      <c r="D1010" t="s">
        <v>2025</v>
      </c>
      <c r="E1010">
        <v>39379.449999999997</v>
      </c>
      <c r="F1010">
        <v>0</v>
      </c>
      <c r="G1010" t="s">
        <v>2026</v>
      </c>
      <c r="H1010">
        <v>0</v>
      </c>
      <c r="I1010">
        <v>0</v>
      </c>
      <c r="J1010">
        <v>1</v>
      </c>
      <c r="K1010">
        <v>0</v>
      </c>
      <c r="L1010">
        <v>12</v>
      </c>
      <c r="M1010">
        <v>0</v>
      </c>
      <c r="N1010">
        <v>1</v>
      </c>
      <c r="O1010">
        <v>39379.449999999997</v>
      </c>
      <c r="P1010">
        <f>IF(C1010&gt;=200000,5,IF(C1010&gt;=100000,4,IF(C1010&gt;=50000,3,IF(C1010&gt;=10000,2,1))))</f>
        <v>2</v>
      </c>
      <c r="Q1010">
        <f>IF(B1010="TRANSFER",5,IF(B1010="CASH_OUT",4,IF(B1010="DEBIT",2,1)))</f>
        <v>5</v>
      </c>
      <c r="R1010">
        <f>(P1010*0.5)+(Q1010*0.3)+(N1010*0.1)+(M1010*0.1)</f>
        <v>2.6</v>
      </c>
      <c r="S1010" t="str">
        <f t="shared" si="15"/>
        <v>MEDIUM</v>
      </c>
    </row>
    <row r="1011" spans="1:19" x14ac:dyDescent="0.3">
      <c r="A1011">
        <v>84</v>
      </c>
      <c r="B1011" t="s">
        <v>18</v>
      </c>
      <c r="C1011">
        <v>39379.449999999997</v>
      </c>
      <c r="D1011" t="s">
        <v>2027</v>
      </c>
      <c r="E1011">
        <v>39379.449999999997</v>
      </c>
      <c r="F1011">
        <v>0</v>
      </c>
      <c r="G1011" t="s">
        <v>2028</v>
      </c>
      <c r="H1011">
        <v>188532.97</v>
      </c>
      <c r="I1011">
        <v>227912.43</v>
      </c>
      <c r="J1011">
        <v>1</v>
      </c>
      <c r="K1011">
        <v>0</v>
      </c>
      <c r="L1011">
        <v>12</v>
      </c>
      <c r="M1011">
        <v>0</v>
      </c>
      <c r="N1011">
        <v>1</v>
      </c>
      <c r="O1011">
        <v>39379.449999999997</v>
      </c>
      <c r="P1011">
        <f>IF(C1011&gt;=200000,5,IF(C1011&gt;=100000,4,IF(C1011&gt;=50000,3,IF(C1011&gt;=10000,2,1))))</f>
        <v>2</v>
      </c>
      <c r="Q1011">
        <f>IF(B1011="TRANSFER",5,IF(B1011="CASH_OUT",4,IF(B1011="DEBIT",2,1)))</f>
        <v>4</v>
      </c>
      <c r="R1011">
        <f>(P1011*0.5)+(Q1011*0.3)+(N1011*0.1)+(M1011*0.1)</f>
        <v>2.3000000000000003</v>
      </c>
      <c r="S1011" t="str">
        <f t="shared" si="15"/>
        <v>MEDIUM</v>
      </c>
    </row>
    <row r="1012" spans="1:19" x14ac:dyDescent="0.3">
      <c r="A1012">
        <v>84</v>
      </c>
      <c r="B1012" t="s">
        <v>15</v>
      </c>
      <c r="C1012">
        <v>296349.8</v>
      </c>
      <c r="D1012" t="s">
        <v>2029</v>
      </c>
      <c r="E1012">
        <v>296349.8</v>
      </c>
      <c r="F1012">
        <v>0</v>
      </c>
      <c r="G1012" t="s">
        <v>2030</v>
      </c>
      <c r="H1012">
        <v>0</v>
      </c>
      <c r="I1012">
        <v>0</v>
      </c>
      <c r="J1012">
        <v>1</v>
      </c>
      <c r="K1012">
        <v>0</v>
      </c>
      <c r="L1012">
        <v>12</v>
      </c>
      <c r="M1012">
        <v>0</v>
      </c>
      <c r="N1012">
        <v>1</v>
      </c>
      <c r="O1012">
        <v>296349.8</v>
      </c>
      <c r="P1012">
        <f>IF(C1012&gt;=200000,5,IF(C1012&gt;=100000,4,IF(C1012&gt;=50000,3,IF(C1012&gt;=10000,2,1))))</f>
        <v>5</v>
      </c>
      <c r="Q1012">
        <f>IF(B1012="TRANSFER",5,IF(B1012="CASH_OUT",4,IF(B1012="DEBIT",2,1)))</f>
        <v>5</v>
      </c>
      <c r="R1012">
        <f>(P1012*0.5)+(Q1012*0.3)+(N1012*0.1)+(M1012*0.1)</f>
        <v>4.0999999999999996</v>
      </c>
      <c r="S1012" t="str">
        <f t="shared" si="15"/>
        <v>HIGH</v>
      </c>
    </row>
    <row r="1013" spans="1:19" x14ac:dyDescent="0.3">
      <c r="A1013">
        <v>84</v>
      </c>
      <c r="B1013" t="s">
        <v>18</v>
      </c>
      <c r="C1013">
        <v>296349.8</v>
      </c>
      <c r="D1013" t="s">
        <v>2031</v>
      </c>
      <c r="E1013">
        <v>296349.8</v>
      </c>
      <c r="F1013">
        <v>0</v>
      </c>
      <c r="G1013" t="s">
        <v>2032</v>
      </c>
      <c r="H1013">
        <v>0</v>
      </c>
      <c r="I1013">
        <v>296349.8</v>
      </c>
      <c r="J1013">
        <v>1</v>
      </c>
      <c r="K1013">
        <v>0</v>
      </c>
      <c r="L1013">
        <v>12</v>
      </c>
      <c r="M1013">
        <v>0</v>
      </c>
      <c r="N1013">
        <v>1</v>
      </c>
      <c r="O1013">
        <v>296349.8</v>
      </c>
      <c r="P1013">
        <f>IF(C1013&gt;=200000,5,IF(C1013&gt;=100000,4,IF(C1013&gt;=50000,3,IF(C1013&gt;=10000,2,1))))</f>
        <v>5</v>
      </c>
      <c r="Q1013">
        <f>IF(B1013="TRANSFER",5,IF(B1013="CASH_OUT",4,IF(B1013="DEBIT",2,1)))</f>
        <v>4</v>
      </c>
      <c r="R1013">
        <f>(P1013*0.5)+(Q1013*0.3)+(N1013*0.1)+(M1013*0.1)</f>
        <v>3.8000000000000003</v>
      </c>
      <c r="S1013" t="str">
        <f t="shared" si="15"/>
        <v>HIGH</v>
      </c>
    </row>
    <row r="1014" spans="1:19" x14ac:dyDescent="0.3">
      <c r="A1014">
        <v>84</v>
      </c>
      <c r="B1014" t="s">
        <v>15</v>
      </c>
      <c r="C1014">
        <v>152331.26</v>
      </c>
      <c r="D1014" t="s">
        <v>2033</v>
      </c>
      <c r="E1014">
        <v>152331.26</v>
      </c>
      <c r="F1014">
        <v>0</v>
      </c>
      <c r="G1014" t="s">
        <v>2034</v>
      </c>
      <c r="H1014">
        <v>0</v>
      </c>
      <c r="I1014">
        <v>0</v>
      </c>
      <c r="J1014">
        <v>1</v>
      </c>
      <c r="K1014">
        <v>0</v>
      </c>
      <c r="L1014">
        <v>12</v>
      </c>
      <c r="M1014">
        <v>0</v>
      </c>
      <c r="N1014">
        <v>1</v>
      </c>
      <c r="O1014">
        <v>152331.26</v>
      </c>
      <c r="P1014">
        <f>IF(C1014&gt;=200000,5,IF(C1014&gt;=100000,4,IF(C1014&gt;=50000,3,IF(C1014&gt;=10000,2,1))))</f>
        <v>4</v>
      </c>
      <c r="Q1014">
        <f>IF(B1014="TRANSFER",5,IF(B1014="CASH_OUT",4,IF(B1014="DEBIT",2,1)))</f>
        <v>5</v>
      </c>
      <c r="R1014">
        <f>(P1014*0.5)+(Q1014*0.3)+(N1014*0.1)+(M1014*0.1)</f>
        <v>3.6</v>
      </c>
      <c r="S1014" t="str">
        <f t="shared" si="15"/>
        <v>HIGH</v>
      </c>
    </row>
    <row r="1015" spans="1:19" x14ac:dyDescent="0.3">
      <c r="A1015">
        <v>84</v>
      </c>
      <c r="B1015" t="s">
        <v>18</v>
      </c>
      <c r="C1015">
        <v>152331.26</v>
      </c>
      <c r="D1015" t="s">
        <v>2035</v>
      </c>
      <c r="E1015">
        <v>152331.26</v>
      </c>
      <c r="F1015">
        <v>0</v>
      </c>
      <c r="G1015" t="s">
        <v>2036</v>
      </c>
      <c r="H1015">
        <v>676868.23</v>
      </c>
      <c r="I1015">
        <v>829199.49</v>
      </c>
      <c r="J1015">
        <v>1</v>
      </c>
      <c r="K1015">
        <v>0</v>
      </c>
      <c r="L1015">
        <v>12</v>
      </c>
      <c r="M1015">
        <v>0</v>
      </c>
      <c r="N1015">
        <v>1</v>
      </c>
      <c r="O1015">
        <v>152331.26</v>
      </c>
      <c r="P1015">
        <f>IF(C1015&gt;=200000,5,IF(C1015&gt;=100000,4,IF(C1015&gt;=50000,3,IF(C1015&gt;=10000,2,1))))</f>
        <v>4</v>
      </c>
      <c r="Q1015">
        <f>IF(B1015="TRANSFER",5,IF(B1015="CASH_OUT",4,IF(B1015="DEBIT",2,1)))</f>
        <v>4</v>
      </c>
      <c r="R1015">
        <f>(P1015*0.5)+(Q1015*0.3)+(N1015*0.1)+(M1015*0.1)</f>
        <v>3.3000000000000003</v>
      </c>
      <c r="S1015" t="str">
        <f t="shared" si="15"/>
        <v>HIGH</v>
      </c>
    </row>
    <row r="1016" spans="1:19" x14ac:dyDescent="0.3">
      <c r="A1016">
        <v>84</v>
      </c>
      <c r="B1016" t="s">
        <v>15</v>
      </c>
      <c r="C1016">
        <v>10000000</v>
      </c>
      <c r="D1016" t="s">
        <v>2037</v>
      </c>
      <c r="E1016">
        <v>14800000</v>
      </c>
      <c r="F1016">
        <v>4830219.1500000004</v>
      </c>
      <c r="G1016" t="s">
        <v>2038</v>
      </c>
      <c r="H1016">
        <v>0</v>
      </c>
      <c r="I1016">
        <v>0</v>
      </c>
      <c r="J1016">
        <v>1</v>
      </c>
      <c r="K1016">
        <v>0</v>
      </c>
      <c r="L1016">
        <v>12</v>
      </c>
      <c r="M1016">
        <v>1</v>
      </c>
      <c r="N1016">
        <v>0</v>
      </c>
      <c r="O1016">
        <v>9969780.8499999996</v>
      </c>
      <c r="P1016">
        <f>IF(C1016&gt;=200000,5,IF(C1016&gt;=100000,4,IF(C1016&gt;=50000,3,IF(C1016&gt;=10000,2,1))))</f>
        <v>5</v>
      </c>
      <c r="Q1016">
        <f>IF(B1016="TRANSFER",5,IF(B1016="CASH_OUT",4,IF(B1016="DEBIT",2,1)))</f>
        <v>5</v>
      </c>
      <c r="R1016">
        <f>(P1016*0.5)+(Q1016*0.3)+(N1016*0.1)+(M1016*0.1)</f>
        <v>4.0999999999999996</v>
      </c>
      <c r="S1016" t="str">
        <f t="shared" si="15"/>
        <v>HIGH</v>
      </c>
    </row>
    <row r="1017" spans="1:19" x14ac:dyDescent="0.3">
      <c r="A1017">
        <v>84</v>
      </c>
      <c r="B1017" t="s">
        <v>18</v>
      </c>
      <c r="C1017">
        <v>10000000</v>
      </c>
      <c r="D1017" t="s">
        <v>2039</v>
      </c>
      <c r="E1017">
        <v>10000000</v>
      </c>
      <c r="F1017">
        <v>0</v>
      </c>
      <c r="G1017" t="s">
        <v>2040</v>
      </c>
      <c r="H1017">
        <v>0</v>
      </c>
      <c r="I1017">
        <v>10000000</v>
      </c>
      <c r="J1017">
        <v>1</v>
      </c>
      <c r="K1017">
        <v>0</v>
      </c>
      <c r="L1017">
        <v>12</v>
      </c>
      <c r="M1017">
        <v>1</v>
      </c>
      <c r="N1017">
        <v>1</v>
      </c>
      <c r="O1017">
        <v>10000000</v>
      </c>
      <c r="P1017">
        <f>IF(C1017&gt;=200000,5,IF(C1017&gt;=100000,4,IF(C1017&gt;=50000,3,IF(C1017&gt;=10000,2,1))))</f>
        <v>5</v>
      </c>
      <c r="Q1017">
        <f>IF(B1017="TRANSFER",5,IF(B1017="CASH_OUT",4,IF(B1017="DEBIT",2,1)))</f>
        <v>4</v>
      </c>
      <c r="R1017">
        <f>(P1017*0.5)+(Q1017*0.3)+(N1017*0.1)+(M1017*0.1)</f>
        <v>3.9000000000000004</v>
      </c>
      <c r="S1017" t="str">
        <f t="shared" si="15"/>
        <v>HIGH</v>
      </c>
    </row>
    <row r="1018" spans="1:19" x14ac:dyDescent="0.3">
      <c r="A1018">
        <v>84</v>
      </c>
      <c r="B1018" t="s">
        <v>15</v>
      </c>
      <c r="C1018">
        <v>4830219.1500000004</v>
      </c>
      <c r="D1018" t="s">
        <v>2041</v>
      </c>
      <c r="E1018">
        <v>4830219.1500000004</v>
      </c>
      <c r="F1018">
        <v>0</v>
      </c>
      <c r="G1018" t="s">
        <v>2042</v>
      </c>
      <c r="H1018">
        <v>0</v>
      </c>
      <c r="I1018">
        <v>0</v>
      </c>
      <c r="J1018">
        <v>1</v>
      </c>
      <c r="K1018">
        <v>0</v>
      </c>
      <c r="L1018">
        <v>12</v>
      </c>
      <c r="M1018">
        <v>0</v>
      </c>
      <c r="N1018">
        <v>1</v>
      </c>
      <c r="O1018">
        <v>4830219.1500000004</v>
      </c>
      <c r="P1018">
        <f>IF(C1018&gt;=200000,5,IF(C1018&gt;=100000,4,IF(C1018&gt;=50000,3,IF(C1018&gt;=10000,2,1))))</f>
        <v>5</v>
      </c>
      <c r="Q1018">
        <f>IF(B1018="TRANSFER",5,IF(B1018="CASH_OUT",4,IF(B1018="DEBIT",2,1)))</f>
        <v>5</v>
      </c>
      <c r="R1018">
        <f>(P1018*0.5)+(Q1018*0.3)+(N1018*0.1)+(M1018*0.1)</f>
        <v>4.0999999999999996</v>
      </c>
      <c r="S1018" t="str">
        <f t="shared" si="15"/>
        <v>HIGH</v>
      </c>
    </row>
    <row r="1019" spans="1:19" x14ac:dyDescent="0.3">
      <c r="A1019">
        <v>84</v>
      </c>
      <c r="B1019" t="s">
        <v>18</v>
      </c>
      <c r="C1019">
        <v>4830219.1500000004</v>
      </c>
      <c r="D1019" t="s">
        <v>2043</v>
      </c>
      <c r="E1019">
        <v>4830219.1500000004</v>
      </c>
      <c r="F1019">
        <v>0</v>
      </c>
      <c r="G1019" t="s">
        <v>2044</v>
      </c>
      <c r="H1019">
        <v>0</v>
      </c>
      <c r="I1019">
        <v>4830219.1500000004</v>
      </c>
      <c r="J1019">
        <v>1</v>
      </c>
      <c r="K1019">
        <v>0</v>
      </c>
      <c r="L1019">
        <v>12</v>
      </c>
      <c r="M1019">
        <v>0</v>
      </c>
      <c r="N1019">
        <v>1</v>
      </c>
      <c r="O1019">
        <v>4830219.1500000004</v>
      </c>
      <c r="P1019">
        <f>IF(C1019&gt;=200000,5,IF(C1019&gt;=100000,4,IF(C1019&gt;=50000,3,IF(C1019&gt;=10000,2,1))))</f>
        <v>5</v>
      </c>
      <c r="Q1019">
        <f>IF(B1019="TRANSFER",5,IF(B1019="CASH_OUT",4,IF(B1019="DEBIT",2,1)))</f>
        <v>4</v>
      </c>
      <c r="R1019">
        <f>(P1019*0.5)+(Q1019*0.3)+(N1019*0.1)+(M1019*0.1)</f>
        <v>3.8000000000000003</v>
      </c>
      <c r="S1019" t="str">
        <f t="shared" si="15"/>
        <v>HIGH</v>
      </c>
    </row>
    <row r="1020" spans="1:19" x14ac:dyDescent="0.3">
      <c r="A1020">
        <v>84</v>
      </c>
      <c r="B1020" t="s">
        <v>15</v>
      </c>
      <c r="C1020">
        <v>351912.04</v>
      </c>
      <c r="D1020" t="s">
        <v>2045</v>
      </c>
      <c r="E1020">
        <v>351912.04</v>
      </c>
      <c r="F1020">
        <v>0</v>
      </c>
      <c r="G1020" t="s">
        <v>2046</v>
      </c>
      <c r="H1020">
        <v>0</v>
      </c>
      <c r="I1020">
        <v>0</v>
      </c>
      <c r="J1020">
        <v>1</v>
      </c>
      <c r="K1020">
        <v>0</v>
      </c>
      <c r="L1020">
        <v>12</v>
      </c>
      <c r="M1020">
        <v>0</v>
      </c>
      <c r="N1020">
        <v>1</v>
      </c>
      <c r="O1020">
        <v>351912.04</v>
      </c>
      <c r="P1020">
        <f>IF(C1020&gt;=200000,5,IF(C1020&gt;=100000,4,IF(C1020&gt;=50000,3,IF(C1020&gt;=10000,2,1))))</f>
        <v>5</v>
      </c>
      <c r="Q1020">
        <f>IF(B1020="TRANSFER",5,IF(B1020="CASH_OUT",4,IF(B1020="DEBIT",2,1)))</f>
        <v>5</v>
      </c>
      <c r="R1020">
        <f>(P1020*0.5)+(Q1020*0.3)+(N1020*0.1)+(M1020*0.1)</f>
        <v>4.0999999999999996</v>
      </c>
      <c r="S1020" t="str">
        <f t="shared" si="15"/>
        <v>HIGH</v>
      </c>
    </row>
    <row r="1021" spans="1:19" x14ac:dyDescent="0.3">
      <c r="A1021">
        <v>84</v>
      </c>
      <c r="B1021" t="s">
        <v>18</v>
      </c>
      <c r="C1021">
        <v>351912.04</v>
      </c>
      <c r="D1021" t="s">
        <v>2047</v>
      </c>
      <c r="E1021">
        <v>351912.04</v>
      </c>
      <c r="F1021">
        <v>0</v>
      </c>
      <c r="G1021" t="s">
        <v>2048</v>
      </c>
      <c r="H1021">
        <v>196753.09</v>
      </c>
      <c r="I1021">
        <v>548665.13</v>
      </c>
      <c r="J1021">
        <v>1</v>
      </c>
      <c r="K1021">
        <v>0</v>
      </c>
      <c r="L1021">
        <v>12</v>
      </c>
      <c r="M1021">
        <v>0</v>
      </c>
      <c r="N1021">
        <v>1</v>
      </c>
      <c r="O1021">
        <v>351912.04</v>
      </c>
      <c r="P1021">
        <f>IF(C1021&gt;=200000,5,IF(C1021&gt;=100000,4,IF(C1021&gt;=50000,3,IF(C1021&gt;=10000,2,1))))</f>
        <v>5</v>
      </c>
      <c r="Q1021">
        <f>IF(B1021="TRANSFER",5,IF(B1021="CASH_OUT",4,IF(B1021="DEBIT",2,1)))</f>
        <v>4</v>
      </c>
      <c r="R1021">
        <f>(P1021*0.5)+(Q1021*0.3)+(N1021*0.1)+(M1021*0.1)</f>
        <v>3.8000000000000003</v>
      </c>
      <c r="S1021" t="str">
        <f t="shared" si="15"/>
        <v>HIGH</v>
      </c>
    </row>
    <row r="1022" spans="1:19" x14ac:dyDescent="0.3">
      <c r="A1022">
        <v>85</v>
      </c>
      <c r="B1022" t="s">
        <v>15</v>
      </c>
      <c r="C1022">
        <v>64344.59</v>
      </c>
      <c r="D1022" t="s">
        <v>2049</v>
      </c>
      <c r="E1022">
        <v>64344.59</v>
      </c>
      <c r="F1022">
        <v>0</v>
      </c>
      <c r="G1022" t="s">
        <v>2050</v>
      </c>
      <c r="H1022">
        <v>0</v>
      </c>
      <c r="I1022">
        <v>0</v>
      </c>
      <c r="J1022">
        <v>1</v>
      </c>
      <c r="K1022">
        <v>0</v>
      </c>
      <c r="L1022">
        <v>13</v>
      </c>
      <c r="M1022">
        <v>0</v>
      </c>
      <c r="N1022">
        <v>1</v>
      </c>
      <c r="O1022">
        <v>64344.59</v>
      </c>
      <c r="P1022">
        <f>IF(C1022&gt;=200000,5,IF(C1022&gt;=100000,4,IF(C1022&gt;=50000,3,IF(C1022&gt;=10000,2,1))))</f>
        <v>3</v>
      </c>
      <c r="Q1022">
        <f>IF(B1022="TRANSFER",5,IF(B1022="CASH_OUT",4,IF(B1022="DEBIT",2,1)))</f>
        <v>5</v>
      </c>
      <c r="R1022">
        <f>(P1022*0.5)+(Q1022*0.3)+(N1022*0.1)+(M1022*0.1)</f>
        <v>3.1</v>
      </c>
      <c r="S1022" t="str">
        <f t="shared" si="15"/>
        <v>HIGH</v>
      </c>
    </row>
    <row r="1023" spans="1:19" x14ac:dyDescent="0.3">
      <c r="A1023">
        <v>85</v>
      </c>
      <c r="B1023" t="s">
        <v>18</v>
      </c>
      <c r="C1023">
        <v>64344.59</v>
      </c>
      <c r="D1023" t="s">
        <v>2051</v>
      </c>
      <c r="E1023">
        <v>64344.59</v>
      </c>
      <c r="F1023">
        <v>0</v>
      </c>
      <c r="G1023" t="s">
        <v>2052</v>
      </c>
      <c r="H1023">
        <v>0</v>
      </c>
      <c r="I1023">
        <v>64344.59</v>
      </c>
      <c r="J1023">
        <v>1</v>
      </c>
      <c r="K1023">
        <v>0</v>
      </c>
      <c r="L1023">
        <v>13</v>
      </c>
      <c r="M1023">
        <v>0</v>
      </c>
      <c r="N1023">
        <v>1</v>
      </c>
      <c r="O1023">
        <v>64344.59</v>
      </c>
      <c r="P1023">
        <f>IF(C1023&gt;=200000,5,IF(C1023&gt;=100000,4,IF(C1023&gt;=50000,3,IF(C1023&gt;=10000,2,1))))</f>
        <v>3</v>
      </c>
      <c r="Q1023">
        <f>IF(B1023="TRANSFER",5,IF(B1023="CASH_OUT",4,IF(B1023="DEBIT",2,1)))</f>
        <v>4</v>
      </c>
      <c r="R1023">
        <f>(P1023*0.5)+(Q1023*0.3)+(N1023*0.1)+(M1023*0.1)</f>
        <v>2.8000000000000003</v>
      </c>
      <c r="S1023" t="str">
        <f t="shared" si="15"/>
        <v>MEDIUM</v>
      </c>
    </row>
    <row r="1024" spans="1:19" x14ac:dyDescent="0.3">
      <c r="A1024">
        <v>85</v>
      </c>
      <c r="B1024" t="s">
        <v>15</v>
      </c>
      <c r="C1024">
        <v>4094.07</v>
      </c>
      <c r="D1024" t="s">
        <v>2053</v>
      </c>
      <c r="E1024">
        <v>4094.07</v>
      </c>
      <c r="F1024">
        <v>0</v>
      </c>
      <c r="G1024" t="s">
        <v>2054</v>
      </c>
      <c r="H1024">
        <v>0</v>
      </c>
      <c r="I1024">
        <v>0</v>
      </c>
      <c r="J1024">
        <v>1</v>
      </c>
      <c r="K1024">
        <v>0</v>
      </c>
      <c r="L1024">
        <v>13</v>
      </c>
      <c r="M1024">
        <v>0</v>
      </c>
      <c r="N1024">
        <v>1</v>
      </c>
      <c r="O1024">
        <v>4094.07</v>
      </c>
      <c r="P1024">
        <f>IF(C1024&gt;=200000,5,IF(C1024&gt;=100000,4,IF(C1024&gt;=50000,3,IF(C1024&gt;=10000,2,1))))</f>
        <v>1</v>
      </c>
      <c r="Q1024">
        <f>IF(B1024="TRANSFER",5,IF(B1024="CASH_OUT",4,IF(B1024="DEBIT",2,1)))</f>
        <v>5</v>
      </c>
      <c r="R1024">
        <f>(P1024*0.5)+(Q1024*0.3)+(N1024*0.1)+(M1024*0.1)</f>
        <v>2.1</v>
      </c>
      <c r="S1024" t="str">
        <f t="shared" si="15"/>
        <v>MEDIUM</v>
      </c>
    </row>
    <row r="1025" spans="1:19" x14ac:dyDescent="0.3">
      <c r="A1025">
        <v>85</v>
      </c>
      <c r="B1025" t="s">
        <v>18</v>
      </c>
      <c r="C1025">
        <v>4094.07</v>
      </c>
      <c r="D1025" t="s">
        <v>2055</v>
      </c>
      <c r="E1025">
        <v>4094.07</v>
      </c>
      <c r="F1025">
        <v>0</v>
      </c>
      <c r="G1025" t="s">
        <v>2056</v>
      </c>
      <c r="H1025">
        <v>296534.2</v>
      </c>
      <c r="I1025">
        <v>300628.27</v>
      </c>
      <c r="J1025">
        <v>1</v>
      </c>
      <c r="K1025">
        <v>0</v>
      </c>
      <c r="L1025">
        <v>13</v>
      </c>
      <c r="M1025">
        <v>0</v>
      </c>
      <c r="N1025">
        <v>1</v>
      </c>
      <c r="O1025">
        <v>4094.07</v>
      </c>
      <c r="P1025">
        <f>IF(C1025&gt;=200000,5,IF(C1025&gt;=100000,4,IF(C1025&gt;=50000,3,IF(C1025&gt;=10000,2,1))))</f>
        <v>1</v>
      </c>
      <c r="Q1025">
        <f>IF(B1025="TRANSFER",5,IF(B1025="CASH_OUT",4,IF(B1025="DEBIT",2,1)))</f>
        <v>4</v>
      </c>
      <c r="R1025">
        <f>(P1025*0.5)+(Q1025*0.3)+(N1025*0.1)+(M1025*0.1)</f>
        <v>1.8</v>
      </c>
      <c r="S1025" t="str">
        <f t="shared" si="15"/>
        <v>LOW</v>
      </c>
    </row>
    <row r="1026" spans="1:19" x14ac:dyDescent="0.3">
      <c r="A1026">
        <v>85</v>
      </c>
      <c r="B1026" t="s">
        <v>15</v>
      </c>
      <c r="C1026">
        <v>167679.26999999999</v>
      </c>
      <c r="D1026" t="s">
        <v>2057</v>
      </c>
      <c r="E1026">
        <v>167679.26999999999</v>
      </c>
      <c r="F1026">
        <v>0</v>
      </c>
      <c r="G1026" t="s">
        <v>2058</v>
      </c>
      <c r="H1026">
        <v>0</v>
      </c>
      <c r="I1026">
        <v>0</v>
      </c>
      <c r="J1026">
        <v>1</v>
      </c>
      <c r="K1026">
        <v>0</v>
      </c>
      <c r="L1026">
        <v>13</v>
      </c>
      <c r="M1026">
        <v>0</v>
      </c>
      <c r="N1026">
        <v>1</v>
      </c>
      <c r="O1026">
        <v>167679.26999999999</v>
      </c>
      <c r="P1026">
        <f>IF(C1026&gt;=200000,5,IF(C1026&gt;=100000,4,IF(C1026&gt;=50000,3,IF(C1026&gt;=10000,2,1))))</f>
        <v>4</v>
      </c>
      <c r="Q1026">
        <f>IF(B1026="TRANSFER",5,IF(B1026="CASH_OUT",4,IF(B1026="DEBIT",2,1)))</f>
        <v>5</v>
      </c>
      <c r="R1026">
        <f>(P1026*0.5)+(Q1026*0.3)+(N1026*0.1)+(M1026*0.1)</f>
        <v>3.6</v>
      </c>
      <c r="S1026" t="str">
        <f t="shared" si="15"/>
        <v>HIGH</v>
      </c>
    </row>
    <row r="1027" spans="1:19" x14ac:dyDescent="0.3">
      <c r="A1027">
        <v>85</v>
      </c>
      <c r="B1027" t="s">
        <v>18</v>
      </c>
      <c r="C1027">
        <v>167679.26999999999</v>
      </c>
      <c r="D1027" t="s">
        <v>2059</v>
      </c>
      <c r="E1027">
        <v>167679.26999999999</v>
      </c>
      <c r="F1027">
        <v>0</v>
      </c>
      <c r="G1027" t="s">
        <v>2060</v>
      </c>
      <c r="H1027">
        <v>165580.60999999999</v>
      </c>
      <c r="I1027">
        <v>333259.88</v>
      </c>
      <c r="J1027">
        <v>1</v>
      </c>
      <c r="K1027">
        <v>0</v>
      </c>
      <c r="L1027">
        <v>13</v>
      </c>
      <c r="M1027">
        <v>0</v>
      </c>
      <c r="N1027">
        <v>1</v>
      </c>
      <c r="O1027">
        <v>167679.26999999999</v>
      </c>
      <c r="P1027">
        <f>IF(C1027&gt;=200000,5,IF(C1027&gt;=100000,4,IF(C1027&gt;=50000,3,IF(C1027&gt;=10000,2,1))))</f>
        <v>4</v>
      </c>
      <c r="Q1027">
        <f>IF(B1027="TRANSFER",5,IF(B1027="CASH_OUT",4,IF(B1027="DEBIT",2,1)))</f>
        <v>4</v>
      </c>
      <c r="R1027">
        <f>(P1027*0.5)+(Q1027*0.3)+(N1027*0.1)+(M1027*0.1)</f>
        <v>3.3000000000000003</v>
      </c>
      <c r="S1027" t="str">
        <f t="shared" ref="S1027:S1090" si="16">IF(R1027&gt;=3,"HIGH",IF(R1027&gt;=2,"MEDIUM","LOW"))</f>
        <v>HIGH</v>
      </c>
    </row>
    <row r="1028" spans="1:19" x14ac:dyDescent="0.3">
      <c r="A1028">
        <v>85</v>
      </c>
      <c r="B1028" t="s">
        <v>15</v>
      </c>
      <c r="C1028">
        <v>678058.75</v>
      </c>
      <c r="D1028" t="s">
        <v>2061</v>
      </c>
      <c r="E1028">
        <v>678058.75</v>
      </c>
      <c r="F1028">
        <v>0</v>
      </c>
      <c r="G1028" t="s">
        <v>2062</v>
      </c>
      <c r="H1028">
        <v>0</v>
      </c>
      <c r="I1028">
        <v>0</v>
      </c>
      <c r="J1028">
        <v>1</v>
      </c>
      <c r="K1028">
        <v>0</v>
      </c>
      <c r="L1028">
        <v>13</v>
      </c>
      <c r="M1028">
        <v>0</v>
      </c>
      <c r="N1028">
        <v>1</v>
      </c>
      <c r="O1028">
        <v>678058.75</v>
      </c>
      <c r="P1028">
        <f>IF(C1028&gt;=200000,5,IF(C1028&gt;=100000,4,IF(C1028&gt;=50000,3,IF(C1028&gt;=10000,2,1))))</f>
        <v>5</v>
      </c>
      <c r="Q1028">
        <f>IF(B1028="TRANSFER",5,IF(B1028="CASH_OUT",4,IF(B1028="DEBIT",2,1)))</f>
        <v>5</v>
      </c>
      <c r="R1028">
        <f>(P1028*0.5)+(Q1028*0.3)+(N1028*0.1)+(M1028*0.1)</f>
        <v>4.0999999999999996</v>
      </c>
      <c r="S1028" t="str">
        <f t="shared" si="16"/>
        <v>HIGH</v>
      </c>
    </row>
    <row r="1029" spans="1:19" x14ac:dyDescent="0.3">
      <c r="A1029">
        <v>85</v>
      </c>
      <c r="B1029" t="s">
        <v>18</v>
      </c>
      <c r="C1029">
        <v>678058.75</v>
      </c>
      <c r="D1029" t="s">
        <v>2063</v>
      </c>
      <c r="E1029">
        <v>678058.75</v>
      </c>
      <c r="F1029">
        <v>0</v>
      </c>
      <c r="G1029" t="s">
        <v>2064</v>
      </c>
      <c r="H1029">
        <v>7175958.3600000003</v>
      </c>
      <c r="I1029">
        <v>7854017.1100000003</v>
      </c>
      <c r="J1029">
        <v>1</v>
      </c>
      <c r="K1029">
        <v>0</v>
      </c>
      <c r="L1029">
        <v>13</v>
      </c>
      <c r="M1029">
        <v>0</v>
      </c>
      <c r="N1029">
        <v>1</v>
      </c>
      <c r="O1029">
        <v>678058.75</v>
      </c>
      <c r="P1029">
        <f>IF(C1029&gt;=200000,5,IF(C1029&gt;=100000,4,IF(C1029&gt;=50000,3,IF(C1029&gt;=10000,2,1))))</f>
        <v>5</v>
      </c>
      <c r="Q1029">
        <f>IF(B1029="TRANSFER",5,IF(B1029="CASH_OUT",4,IF(B1029="DEBIT",2,1)))</f>
        <v>4</v>
      </c>
      <c r="R1029">
        <f>(P1029*0.5)+(Q1029*0.3)+(N1029*0.1)+(M1029*0.1)</f>
        <v>3.8000000000000003</v>
      </c>
      <c r="S1029" t="str">
        <f t="shared" si="16"/>
        <v>HIGH</v>
      </c>
    </row>
    <row r="1030" spans="1:19" x14ac:dyDescent="0.3">
      <c r="A1030">
        <v>85</v>
      </c>
      <c r="B1030" t="s">
        <v>15</v>
      </c>
      <c r="C1030">
        <v>1529614.71</v>
      </c>
      <c r="D1030" t="s">
        <v>2065</v>
      </c>
      <c r="E1030">
        <v>1529614.71</v>
      </c>
      <c r="F1030">
        <v>0</v>
      </c>
      <c r="G1030" t="s">
        <v>2066</v>
      </c>
      <c r="H1030">
        <v>0</v>
      </c>
      <c r="I1030">
        <v>0</v>
      </c>
      <c r="J1030">
        <v>1</v>
      </c>
      <c r="K1030">
        <v>0</v>
      </c>
      <c r="L1030">
        <v>13</v>
      </c>
      <c r="M1030">
        <v>0</v>
      </c>
      <c r="N1030">
        <v>1</v>
      </c>
      <c r="O1030">
        <v>1529614.71</v>
      </c>
      <c r="P1030">
        <f>IF(C1030&gt;=200000,5,IF(C1030&gt;=100000,4,IF(C1030&gt;=50000,3,IF(C1030&gt;=10000,2,1))))</f>
        <v>5</v>
      </c>
      <c r="Q1030">
        <f>IF(B1030="TRANSFER",5,IF(B1030="CASH_OUT",4,IF(B1030="DEBIT",2,1)))</f>
        <v>5</v>
      </c>
      <c r="R1030">
        <f>(P1030*0.5)+(Q1030*0.3)+(N1030*0.1)+(M1030*0.1)</f>
        <v>4.0999999999999996</v>
      </c>
      <c r="S1030" t="str">
        <f t="shared" si="16"/>
        <v>HIGH</v>
      </c>
    </row>
    <row r="1031" spans="1:19" x14ac:dyDescent="0.3">
      <c r="A1031">
        <v>85</v>
      </c>
      <c r="B1031" t="s">
        <v>18</v>
      </c>
      <c r="C1031">
        <v>1529614.71</v>
      </c>
      <c r="D1031" t="s">
        <v>2067</v>
      </c>
      <c r="E1031">
        <v>1529614.71</v>
      </c>
      <c r="F1031">
        <v>0</v>
      </c>
      <c r="G1031" t="s">
        <v>2068</v>
      </c>
      <c r="H1031">
        <v>0</v>
      </c>
      <c r="I1031">
        <v>1529614.71</v>
      </c>
      <c r="J1031">
        <v>1</v>
      </c>
      <c r="K1031">
        <v>0</v>
      </c>
      <c r="L1031">
        <v>13</v>
      </c>
      <c r="M1031">
        <v>0</v>
      </c>
      <c r="N1031">
        <v>1</v>
      </c>
      <c r="O1031">
        <v>1529614.71</v>
      </c>
      <c r="P1031">
        <f>IF(C1031&gt;=200000,5,IF(C1031&gt;=100000,4,IF(C1031&gt;=50000,3,IF(C1031&gt;=10000,2,1))))</f>
        <v>5</v>
      </c>
      <c r="Q1031">
        <f>IF(B1031="TRANSFER",5,IF(B1031="CASH_OUT",4,IF(B1031="DEBIT",2,1)))</f>
        <v>4</v>
      </c>
      <c r="R1031">
        <f>(P1031*0.5)+(Q1031*0.3)+(N1031*0.1)+(M1031*0.1)</f>
        <v>3.8000000000000003</v>
      </c>
      <c r="S1031" t="str">
        <f t="shared" si="16"/>
        <v>HIGH</v>
      </c>
    </row>
    <row r="1032" spans="1:19" x14ac:dyDescent="0.3">
      <c r="A1032">
        <v>85</v>
      </c>
      <c r="B1032" t="s">
        <v>15</v>
      </c>
      <c r="C1032">
        <v>1440705.58</v>
      </c>
      <c r="D1032" t="s">
        <v>2069</v>
      </c>
      <c r="E1032">
        <v>1440705.58</v>
      </c>
      <c r="F1032">
        <v>0</v>
      </c>
      <c r="G1032" t="s">
        <v>2070</v>
      </c>
      <c r="H1032">
        <v>0</v>
      </c>
      <c r="I1032">
        <v>0</v>
      </c>
      <c r="J1032">
        <v>1</v>
      </c>
      <c r="K1032">
        <v>0</v>
      </c>
      <c r="L1032">
        <v>13</v>
      </c>
      <c r="M1032">
        <v>0</v>
      </c>
      <c r="N1032">
        <v>1</v>
      </c>
      <c r="O1032">
        <v>1440705.58</v>
      </c>
      <c r="P1032">
        <f>IF(C1032&gt;=200000,5,IF(C1032&gt;=100000,4,IF(C1032&gt;=50000,3,IF(C1032&gt;=10000,2,1))))</f>
        <v>5</v>
      </c>
      <c r="Q1032">
        <f>IF(B1032="TRANSFER",5,IF(B1032="CASH_OUT",4,IF(B1032="DEBIT",2,1)))</f>
        <v>5</v>
      </c>
      <c r="R1032">
        <f>(P1032*0.5)+(Q1032*0.3)+(N1032*0.1)+(M1032*0.1)</f>
        <v>4.0999999999999996</v>
      </c>
      <c r="S1032" t="str">
        <f t="shared" si="16"/>
        <v>HIGH</v>
      </c>
    </row>
    <row r="1033" spans="1:19" x14ac:dyDescent="0.3">
      <c r="A1033">
        <v>85</v>
      </c>
      <c r="B1033" t="s">
        <v>18</v>
      </c>
      <c r="C1033">
        <v>1440705.58</v>
      </c>
      <c r="D1033" t="s">
        <v>2071</v>
      </c>
      <c r="E1033">
        <v>1440705.58</v>
      </c>
      <c r="F1033">
        <v>0</v>
      </c>
      <c r="G1033" t="s">
        <v>2072</v>
      </c>
      <c r="H1033">
        <v>0</v>
      </c>
      <c r="I1033">
        <v>1440705.58</v>
      </c>
      <c r="J1033">
        <v>1</v>
      </c>
      <c r="K1033">
        <v>0</v>
      </c>
      <c r="L1033">
        <v>13</v>
      </c>
      <c r="M1033">
        <v>0</v>
      </c>
      <c r="N1033">
        <v>1</v>
      </c>
      <c r="O1033">
        <v>1440705.58</v>
      </c>
      <c r="P1033">
        <f>IF(C1033&gt;=200000,5,IF(C1033&gt;=100000,4,IF(C1033&gt;=50000,3,IF(C1033&gt;=10000,2,1))))</f>
        <v>5</v>
      </c>
      <c r="Q1033">
        <f>IF(B1033="TRANSFER",5,IF(B1033="CASH_OUT",4,IF(B1033="DEBIT",2,1)))</f>
        <v>4</v>
      </c>
      <c r="R1033">
        <f>(P1033*0.5)+(Q1033*0.3)+(N1033*0.1)+(M1033*0.1)</f>
        <v>3.8000000000000003</v>
      </c>
      <c r="S1033" t="str">
        <f t="shared" si="16"/>
        <v>HIGH</v>
      </c>
    </row>
    <row r="1034" spans="1:19" x14ac:dyDescent="0.3">
      <c r="A1034">
        <v>85</v>
      </c>
      <c r="B1034" t="s">
        <v>15</v>
      </c>
      <c r="C1034">
        <v>8924971.5899999999</v>
      </c>
      <c r="D1034" t="s">
        <v>2073</v>
      </c>
      <c r="E1034">
        <v>8924971.5899999999</v>
      </c>
      <c r="F1034">
        <v>0</v>
      </c>
      <c r="G1034" t="s">
        <v>2074</v>
      </c>
      <c r="H1034">
        <v>0</v>
      </c>
      <c r="I1034">
        <v>0</v>
      </c>
      <c r="J1034">
        <v>1</v>
      </c>
      <c r="K1034">
        <v>0</v>
      </c>
      <c r="L1034">
        <v>13</v>
      </c>
      <c r="M1034">
        <v>0</v>
      </c>
      <c r="N1034">
        <v>1</v>
      </c>
      <c r="O1034">
        <v>8924971.5899999999</v>
      </c>
      <c r="P1034">
        <f>IF(C1034&gt;=200000,5,IF(C1034&gt;=100000,4,IF(C1034&gt;=50000,3,IF(C1034&gt;=10000,2,1))))</f>
        <v>5</v>
      </c>
      <c r="Q1034">
        <f>IF(B1034="TRANSFER",5,IF(B1034="CASH_OUT",4,IF(B1034="DEBIT",2,1)))</f>
        <v>5</v>
      </c>
      <c r="R1034">
        <f>(P1034*0.5)+(Q1034*0.3)+(N1034*0.1)+(M1034*0.1)</f>
        <v>4.0999999999999996</v>
      </c>
      <c r="S1034" t="str">
        <f t="shared" si="16"/>
        <v>HIGH</v>
      </c>
    </row>
    <row r="1035" spans="1:19" x14ac:dyDescent="0.3">
      <c r="A1035">
        <v>85</v>
      </c>
      <c r="B1035" t="s">
        <v>18</v>
      </c>
      <c r="C1035">
        <v>8924971.5899999999</v>
      </c>
      <c r="D1035" t="s">
        <v>2075</v>
      </c>
      <c r="E1035">
        <v>8924971.5899999999</v>
      </c>
      <c r="F1035">
        <v>0</v>
      </c>
      <c r="G1035" t="s">
        <v>2076</v>
      </c>
      <c r="H1035">
        <v>59990.3</v>
      </c>
      <c r="I1035">
        <v>8984961.8900000006</v>
      </c>
      <c r="J1035">
        <v>1</v>
      </c>
      <c r="K1035">
        <v>0</v>
      </c>
      <c r="L1035">
        <v>13</v>
      </c>
      <c r="M1035">
        <v>0</v>
      </c>
      <c r="N1035">
        <v>1</v>
      </c>
      <c r="O1035">
        <v>8924971.5899999999</v>
      </c>
      <c r="P1035">
        <f>IF(C1035&gt;=200000,5,IF(C1035&gt;=100000,4,IF(C1035&gt;=50000,3,IF(C1035&gt;=10000,2,1))))</f>
        <v>5</v>
      </c>
      <c r="Q1035">
        <f>IF(B1035="TRANSFER",5,IF(B1035="CASH_OUT",4,IF(B1035="DEBIT",2,1)))</f>
        <v>4</v>
      </c>
      <c r="R1035">
        <f>(P1035*0.5)+(Q1035*0.3)+(N1035*0.1)+(M1035*0.1)</f>
        <v>3.8000000000000003</v>
      </c>
      <c r="S1035" t="str">
        <f t="shared" si="16"/>
        <v>HIGH</v>
      </c>
    </row>
    <row r="1036" spans="1:19" x14ac:dyDescent="0.3">
      <c r="A1036">
        <v>86</v>
      </c>
      <c r="B1036" t="s">
        <v>15</v>
      </c>
      <c r="C1036">
        <v>305817.12</v>
      </c>
      <c r="D1036" t="s">
        <v>2077</v>
      </c>
      <c r="E1036">
        <v>305817.12</v>
      </c>
      <c r="F1036">
        <v>0</v>
      </c>
      <c r="G1036" t="s">
        <v>2078</v>
      </c>
      <c r="H1036">
        <v>0</v>
      </c>
      <c r="I1036">
        <v>0</v>
      </c>
      <c r="J1036">
        <v>1</v>
      </c>
      <c r="K1036">
        <v>0</v>
      </c>
      <c r="L1036">
        <v>14</v>
      </c>
      <c r="M1036">
        <v>0</v>
      </c>
      <c r="N1036">
        <v>1</v>
      </c>
      <c r="O1036">
        <v>305817.12</v>
      </c>
      <c r="P1036">
        <f>IF(C1036&gt;=200000,5,IF(C1036&gt;=100000,4,IF(C1036&gt;=50000,3,IF(C1036&gt;=10000,2,1))))</f>
        <v>5</v>
      </c>
      <c r="Q1036">
        <f>IF(B1036="TRANSFER",5,IF(B1036="CASH_OUT",4,IF(B1036="DEBIT",2,1)))</f>
        <v>5</v>
      </c>
      <c r="R1036">
        <f>(P1036*0.5)+(Q1036*0.3)+(N1036*0.1)+(M1036*0.1)</f>
        <v>4.0999999999999996</v>
      </c>
      <c r="S1036" t="str">
        <f t="shared" si="16"/>
        <v>HIGH</v>
      </c>
    </row>
    <row r="1037" spans="1:19" x14ac:dyDescent="0.3">
      <c r="A1037">
        <v>86</v>
      </c>
      <c r="B1037" t="s">
        <v>18</v>
      </c>
      <c r="C1037">
        <v>305817.12</v>
      </c>
      <c r="D1037" t="s">
        <v>2079</v>
      </c>
      <c r="E1037">
        <v>305817.12</v>
      </c>
      <c r="F1037">
        <v>0</v>
      </c>
      <c r="G1037" t="s">
        <v>2080</v>
      </c>
      <c r="H1037">
        <v>0</v>
      </c>
      <c r="I1037">
        <v>305817.12</v>
      </c>
      <c r="J1037">
        <v>1</v>
      </c>
      <c r="K1037">
        <v>0</v>
      </c>
      <c r="L1037">
        <v>14</v>
      </c>
      <c r="M1037">
        <v>0</v>
      </c>
      <c r="N1037">
        <v>1</v>
      </c>
      <c r="O1037">
        <v>305817.12</v>
      </c>
      <c r="P1037">
        <f>IF(C1037&gt;=200000,5,IF(C1037&gt;=100000,4,IF(C1037&gt;=50000,3,IF(C1037&gt;=10000,2,1))))</f>
        <v>5</v>
      </c>
      <c r="Q1037">
        <f>IF(B1037="TRANSFER",5,IF(B1037="CASH_OUT",4,IF(B1037="DEBIT",2,1)))</f>
        <v>4</v>
      </c>
      <c r="R1037">
        <f>(P1037*0.5)+(Q1037*0.3)+(N1037*0.1)+(M1037*0.1)</f>
        <v>3.8000000000000003</v>
      </c>
      <c r="S1037" t="str">
        <f t="shared" si="16"/>
        <v>HIGH</v>
      </c>
    </row>
    <row r="1038" spans="1:19" x14ac:dyDescent="0.3">
      <c r="A1038">
        <v>86</v>
      </c>
      <c r="B1038" t="s">
        <v>15</v>
      </c>
      <c r="C1038">
        <v>10000000</v>
      </c>
      <c r="D1038" t="s">
        <v>2081</v>
      </c>
      <c r="E1038">
        <v>18900000</v>
      </c>
      <c r="F1038">
        <v>8931607.8900000006</v>
      </c>
      <c r="G1038" t="s">
        <v>2082</v>
      </c>
      <c r="H1038">
        <v>0</v>
      </c>
      <c r="I1038">
        <v>0</v>
      </c>
      <c r="J1038">
        <v>1</v>
      </c>
      <c r="K1038">
        <v>0</v>
      </c>
      <c r="L1038">
        <v>14</v>
      </c>
      <c r="M1038">
        <v>1</v>
      </c>
      <c r="N1038">
        <v>0</v>
      </c>
      <c r="O1038">
        <v>9968392.1099999994</v>
      </c>
      <c r="P1038">
        <f>IF(C1038&gt;=200000,5,IF(C1038&gt;=100000,4,IF(C1038&gt;=50000,3,IF(C1038&gt;=10000,2,1))))</f>
        <v>5</v>
      </c>
      <c r="Q1038">
        <f>IF(B1038="TRANSFER",5,IF(B1038="CASH_OUT",4,IF(B1038="DEBIT",2,1)))</f>
        <v>5</v>
      </c>
      <c r="R1038">
        <f>(P1038*0.5)+(Q1038*0.3)+(N1038*0.1)+(M1038*0.1)</f>
        <v>4.0999999999999996</v>
      </c>
      <c r="S1038" t="str">
        <f t="shared" si="16"/>
        <v>HIGH</v>
      </c>
    </row>
    <row r="1039" spans="1:19" x14ac:dyDescent="0.3">
      <c r="A1039">
        <v>86</v>
      </c>
      <c r="B1039" t="s">
        <v>18</v>
      </c>
      <c r="C1039">
        <v>10000000</v>
      </c>
      <c r="D1039" t="s">
        <v>2083</v>
      </c>
      <c r="E1039">
        <v>10000000</v>
      </c>
      <c r="F1039">
        <v>0</v>
      </c>
      <c r="G1039" t="s">
        <v>2084</v>
      </c>
      <c r="H1039">
        <v>0</v>
      </c>
      <c r="I1039">
        <v>10000000</v>
      </c>
      <c r="J1039">
        <v>1</v>
      </c>
      <c r="K1039">
        <v>0</v>
      </c>
      <c r="L1039">
        <v>14</v>
      </c>
      <c r="M1039">
        <v>1</v>
      </c>
      <c r="N1039">
        <v>1</v>
      </c>
      <c r="O1039">
        <v>10000000</v>
      </c>
      <c r="P1039">
        <f>IF(C1039&gt;=200000,5,IF(C1039&gt;=100000,4,IF(C1039&gt;=50000,3,IF(C1039&gt;=10000,2,1))))</f>
        <v>5</v>
      </c>
      <c r="Q1039">
        <f>IF(B1039="TRANSFER",5,IF(B1039="CASH_OUT",4,IF(B1039="DEBIT",2,1)))</f>
        <v>4</v>
      </c>
      <c r="R1039">
        <f>(P1039*0.5)+(Q1039*0.3)+(N1039*0.1)+(M1039*0.1)</f>
        <v>3.9000000000000004</v>
      </c>
      <c r="S1039" t="str">
        <f t="shared" si="16"/>
        <v>HIGH</v>
      </c>
    </row>
    <row r="1040" spans="1:19" x14ac:dyDescent="0.3">
      <c r="A1040">
        <v>86</v>
      </c>
      <c r="B1040" t="s">
        <v>15</v>
      </c>
      <c r="C1040">
        <v>8931607.8900000006</v>
      </c>
      <c r="D1040" t="s">
        <v>2085</v>
      </c>
      <c r="E1040">
        <v>8931607.8900000006</v>
      </c>
      <c r="F1040">
        <v>0</v>
      </c>
      <c r="G1040" t="s">
        <v>2086</v>
      </c>
      <c r="H1040">
        <v>0</v>
      </c>
      <c r="I1040">
        <v>0</v>
      </c>
      <c r="J1040">
        <v>1</v>
      </c>
      <c r="K1040">
        <v>0</v>
      </c>
      <c r="L1040">
        <v>14</v>
      </c>
      <c r="M1040">
        <v>0</v>
      </c>
      <c r="N1040">
        <v>1</v>
      </c>
      <c r="O1040">
        <v>8931607.8900000006</v>
      </c>
      <c r="P1040">
        <f>IF(C1040&gt;=200000,5,IF(C1040&gt;=100000,4,IF(C1040&gt;=50000,3,IF(C1040&gt;=10000,2,1))))</f>
        <v>5</v>
      </c>
      <c r="Q1040">
        <f>IF(B1040="TRANSFER",5,IF(B1040="CASH_OUT",4,IF(B1040="DEBIT",2,1)))</f>
        <v>5</v>
      </c>
      <c r="R1040">
        <f>(P1040*0.5)+(Q1040*0.3)+(N1040*0.1)+(M1040*0.1)</f>
        <v>4.0999999999999996</v>
      </c>
      <c r="S1040" t="str">
        <f t="shared" si="16"/>
        <v>HIGH</v>
      </c>
    </row>
    <row r="1041" spans="1:19" x14ac:dyDescent="0.3">
      <c r="A1041">
        <v>86</v>
      </c>
      <c r="B1041" t="s">
        <v>18</v>
      </c>
      <c r="C1041">
        <v>8931607.8900000006</v>
      </c>
      <c r="D1041" t="s">
        <v>2087</v>
      </c>
      <c r="E1041">
        <v>8931607.8900000006</v>
      </c>
      <c r="F1041">
        <v>0</v>
      </c>
      <c r="G1041" t="s">
        <v>2088</v>
      </c>
      <c r="H1041">
        <v>141515.57</v>
      </c>
      <c r="I1041">
        <v>9073123.4600000009</v>
      </c>
      <c r="J1041">
        <v>1</v>
      </c>
      <c r="K1041">
        <v>0</v>
      </c>
      <c r="L1041">
        <v>14</v>
      </c>
      <c r="M1041">
        <v>0</v>
      </c>
      <c r="N1041">
        <v>1</v>
      </c>
      <c r="O1041">
        <v>8931607.8900000006</v>
      </c>
      <c r="P1041">
        <f>IF(C1041&gt;=200000,5,IF(C1041&gt;=100000,4,IF(C1041&gt;=50000,3,IF(C1041&gt;=10000,2,1))))</f>
        <v>5</v>
      </c>
      <c r="Q1041">
        <f>IF(B1041="TRANSFER",5,IF(B1041="CASH_OUT",4,IF(B1041="DEBIT",2,1)))</f>
        <v>4</v>
      </c>
      <c r="R1041">
        <f>(P1041*0.5)+(Q1041*0.3)+(N1041*0.1)+(M1041*0.1)</f>
        <v>3.8000000000000003</v>
      </c>
      <c r="S1041" t="str">
        <f t="shared" si="16"/>
        <v>HIGH</v>
      </c>
    </row>
    <row r="1042" spans="1:19" x14ac:dyDescent="0.3">
      <c r="A1042">
        <v>86</v>
      </c>
      <c r="B1042" t="s">
        <v>15</v>
      </c>
      <c r="C1042">
        <v>21829.31</v>
      </c>
      <c r="D1042" t="s">
        <v>2089</v>
      </c>
      <c r="E1042">
        <v>21829.31</v>
      </c>
      <c r="F1042">
        <v>0</v>
      </c>
      <c r="G1042" t="s">
        <v>2090</v>
      </c>
      <c r="H1042">
        <v>0</v>
      </c>
      <c r="I1042">
        <v>0</v>
      </c>
      <c r="J1042">
        <v>1</v>
      </c>
      <c r="K1042">
        <v>0</v>
      </c>
      <c r="L1042">
        <v>14</v>
      </c>
      <c r="M1042">
        <v>0</v>
      </c>
      <c r="N1042">
        <v>1</v>
      </c>
      <c r="O1042">
        <v>21829.31</v>
      </c>
      <c r="P1042">
        <f>IF(C1042&gt;=200000,5,IF(C1042&gt;=100000,4,IF(C1042&gt;=50000,3,IF(C1042&gt;=10000,2,1))))</f>
        <v>2</v>
      </c>
      <c r="Q1042">
        <f>IF(B1042="TRANSFER",5,IF(B1042="CASH_OUT",4,IF(B1042="DEBIT",2,1)))</f>
        <v>5</v>
      </c>
      <c r="R1042">
        <f>(P1042*0.5)+(Q1042*0.3)+(N1042*0.1)+(M1042*0.1)</f>
        <v>2.6</v>
      </c>
      <c r="S1042" t="str">
        <f t="shared" si="16"/>
        <v>MEDIUM</v>
      </c>
    </row>
    <row r="1043" spans="1:19" x14ac:dyDescent="0.3">
      <c r="A1043">
        <v>86</v>
      </c>
      <c r="B1043" t="s">
        <v>18</v>
      </c>
      <c r="C1043">
        <v>21829.31</v>
      </c>
      <c r="D1043" t="s">
        <v>2091</v>
      </c>
      <c r="E1043">
        <v>21829.31</v>
      </c>
      <c r="F1043">
        <v>0</v>
      </c>
      <c r="G1043" t="s">
        <v>2092</v>
      </c>
      <c r="H1043">
        <v>357009.54</v>
      </c>
      <c r="I1043">
        <v>378838.85</v>
      </c>
      <c r="J1043">
        <v>1</v>
      </c>
      <c r="K1043">
        <v>0</v>
      </c>
      <c r="L1043">
        <v>14</v>
      </c>
      <c r="M1043">
        <v>0</v>
      </c>
      <c r="N1043">
        <v>1</v>
      </c>
      <c r="O1043">
        <v>21829.31</v>
      </c>
      <c r="P1043">
        <f>IF(C1043&gt;=200000,5,IF(C1043&gt;=100000,4,IF(C1043&gt;=50000,3,IF(C1043&gt;=10000,2,1))))</f>
        <v>2</v>
      </c>
      <c r="Q1043">
        <f>IF(B1043="TRANSFER",5,IF(B1043="CASH_OUT",4,IF(B1043="DEBIT",2,1)))</f>
        <v>4</v>
      </c>
      <c r="R1043">
        <f>(P1043*0.5)+(Q1043*0.3)+(N1043*0.1)+(M1043*0.1)</f>
        <v>2.3000000000000003</v>
      </c>
      <c r="S1043" t="str">
        <f t="shared" si="16"/>
        <v>MEDIUM</v>
      </c>
    </row>
    <row r="1044" spans="1:19" x14ac:dyDescent="0.3">
      <c r="A1044">
        <v>86</v>
      </c>
      <c r="B1044" t="s">
        <v>15</v>
      </c>
      <c r="C1044">
        <v>6972164.9699999997</v>
      </c>
      <c r="D1044" t="s">
        <v>2093</v>
      </c>
      <c r="E1044">
        <v>6972164.9699999997</v>
      </c>
      <c r="F1044">
        <v>0</v>
      </c>
      <c r="G1044" t="s">
        <v>2094</v>
      </c>
      <c r="H1044">
        <v>0</v>
      </c>
      <c r="I1044">
        <v>0</v>
      </c>
      <c r="J1044">
        <v>1</v>
      </c>
      <c r="K1044">
        <v>0</v>
      </c>
      <c r="L1044">
        <v>14</v>
      </c>
      <c r="M1044">
        <v>0</v>
      </c>
      <c r="N1044">
        <v>1</v>
      </c>
      <c r="O1044">
        <v>6972164.9699999997</v>
      </c>
      <c r="P1044">
        <f>IF(C1044&gt;=200000,5,IF(C1044&gt;=100000,4,IF(C1044&gt;=50000,3,IF(C1044&gt;=10000,2,1))))</f>
        <v>5</v>
      </c>
      <c r="Q1044">
        <f>IF(B1044="TRANSFER",5,IF(B1044="CASH_OUT",4,IF(B1044="DEBIT",2,1)))</f>
        <v>5</v>
      </c>
      <c r="R1044">
        <f>(P1044*0.5)+(Q1044*0.3)+(N1044*0.1)+(M1044*0.1)</f>
        <v>4.0999999999999996</v>
      </c>
      <c r="S1044" t="str">
        <f t="shared" si="16"/>
        <v>HIGH</v>
      </c>
    </row>
    <row r="1045" spans="1:19" x14ac:dyDescent="0.3">
      <c r="A1045">
        <v>86</v>
      </c>
      <c r="B1045" t="s">
        <v>18</v>
      </c>
      <c r="C1045">
        <v>6972164.9699999997</v>
      </c>
      <c r="D1045" t="s">
        <v>2095</v>
      </c>
      <c r="E1045">
        <v>6972164.9699999997</v>
      </c>
      <c r="F1045">
        <v>0</v>
      </c>
      <c r="G1045" t="s">
        <v>2096</v>
      </c>
      <c r="H1045">
        <v>5680.28</v>
      </c>
      <c r="I1045">
        <v>6977845.25</v>
      </c>
      <c r="J1045">
        <v>1</v>
      </c>
      <c r="K1045">
        <v>0</v>
      </c>
      <c r="L1045">
        <v>14</v>
      </c>
      <c r="M1045">
        <v>0</v>
      </c>
      <c r="N1045">
        <v>1</v>
      </c>
      <c r="O1045">
        <v>6972164.9699999997</v>
      </c>
      <c r="P1045">
        <f>IF(C1045&gt;=200000,5,IF(C1045&gt;=100000,4,IF(C1045&gt;=50000,3,IF(C1045&gt;=10000,2,1))))</f>
        <v>5</v>
      </c>
      <c r="Q1045">
        <f>IF(B1045="TRANSFER",5,IF(B1045="CASH_OUT",4,IF(B1045="DEBIT",2,1)))</f>
        <v>4</v>
      </c>
      <c r="R1045">
        <f>(P1045*0.5)+(Q1045*0.3)+(N1045*0.1)+(M1045*0.1)</f>
        <v>3.8000000000000003</v>
      </c>
      <c r="S1045" t="str">
        <f t="shared" si="16"/>
        <v>HIGH</v>
      </c>
    </row>
    <row r="1046" spans="1:19" x14ac:dyDescent="0.3">
      <c r="A1046">
        <v>86</v>
      </c>
      <c r="B1046" t="s">
        <v>15</v>
      </c>
      <c r="C1046">
        <v>17822.02</v>
      </c>
      <c r="D1046" t="s">
        <v>2097</v>
      </c>
      <c r="E1046">
        <v>17822.02</v>
      </c>
      <c r="F1046">
        <v>0</v>
      </c>
      <c r="G1046" t="s">
        <v>2098</v>
      </c>
      <c r="H1046">
        <v>0</v>
      </c>
      <c r="I1046">
        <v>0</v>
      </c>
      <c r="J1046">
        <v>1</v>
      </c>
      <c r="K1046">
        <v>0</v>
      </c>
      <c r="L1046">
        <v>14</v>
      </c>
      <c r="M1046">
        <v>0</v>
      </c>
      <c r="N1046">
        <v>1</v>
      </c>
      <c r="O1046">
        <v>17822.02</v>
      </c>
      <c r="P1046">
        <f>IF(C1046&gt;=200000,5,IF(C1046&gt;=100000,4,IF(C1046&gt;=50000,3,IF(C1046&gt;=10000,2,1))))</f>
        <v>2</v>
      </c>
      <c r="Q1046">
        <f>IF(B1046="TRANSFER",5,IF(B1046="CASH_OUT",4,IF(B1046="DEBIT",2,1)))</f>
        <v>5</v>
      </c>
      <c r="R1046">
        <f>(P1046*0.5)+(Q1046*0.3)+(N1046*0.1)+(M1046*0.1)</f>
        <v>2.6</v>
      </c>
      <c r="S1046" t="str">
        <f t="shared" si="16"/>
        <v>MEDIUM</v>
      </c>
    </row>
    <row r="1047" spans="1:19" x14ac:dyDescent="0.3">
      <c r="A1047">
        <v>86</v>
      </c>
      <c r="B1047" t="s">
        <v>18</v>
      </c>
      <c r="C1047">
        <v>17822.02</v>
      </c>
      <c r="D1047" t="s">
        <v>2099</v>
      </c>
      <c r="E1047">
        <v>17822.02</v>
      </c>
      <c r="F1047">
        <v>0</v>
      </c>
      <c r="G1047" t="s">
        <v>2100</v>
      </c>
      <c r="H1047">
        <v>2619609.5299999998</v>
      </c>
      <c r="I1047">
        <v>2637431.5499999998</v>
      </c>
      <c r="J1047">
        <v>1</v>
      </c>
      <c r="K1047">
        <v>0</v>
      </c>
      <c r="L1047">
        <v>14</v>
      </c>
      <c r="M1047">
        <v>0</v>
      </c>
      <c r="N1047">
        <v>1</v>
      </c>
      <c r="O1047">
        <v>17822.02</v>
      </c>
      <c r="P1047">
        <f>IF(C1047&gt;=200000,5,IF(C1047&gt;=100000,4,IF(C1047&gt;=50000,3,IF(C1047&gt;=10000,2,1))))</f>
        <v>2</v>
      </c>
      <c r="Q1047">
        <f>IF(B1047="TRANSFER",5,IF(B1047="CASH_OUT",4,IF(B1047="DEBIT",2,1)))</f>
        <v>4</v>
      </c>
      <c r="R1047">
        <f>(P1047*0.5)+(Q1047*0.3)+(N1047*0.1)+(M1047*0.1)</f>
        <v>2.3000000000000003</v>
      </c>
      <c r="S1047" t="str">
        <f t="shared" si="16"/>
        <v>MEDIUM</v>
      </c>
    </row>
    <row r="1048" spans="1:19" x14ac:dyDescent="0.3">
      <c r="A1048">
        <v>86</v>
      </c>
      <c r="B1048" t="s">
        <v>15</v>
      </c>
      <c r="C1048">
        <v>88649.1</v>
      </c>
      <c r="D1048" t="s">
        <v>2101</v>
      </c>
      <c r="E1048">
        <v>88649.1</v>
      </c>
      <c r="F1048">
        <v>0</v>
      </c>
      <c r="G1048" t="s">
        <v>2102</v>
      </c>
      <c r="H1048">
        <v>0</v>
      </c>
      <c r="I1048">
        <v>0</v>
      </c>
      <c r="J1048">
        <v>1</v>
      </c>
      <c r="K1048">
        <v>0</v>
      </c>
      <c r="L1048">
        <v>14</v>
      </c>
      <c r="M1048">
        <v>0</v>
      </c>
      <c r="N1048">
        <v>1</v>
      </c>
      <c r="O1048">
        <v>88649.1</v>
      </c>
      <c r="P1048">
        <f>IF(C1048&gt;=200000,5,IF(C1048&gt;=100000,4,IF(C1048&gt;=50000,3,IF(C1048&gt;=10000,2,1))))</f>
        <v>3</v>
      </c>
      <c r="Q1048">
        <f>IF(B1048="TRANSFER",5,IF(B1048="CASH_OUT",4,IF(B1048="DEBIT",2,1)))</f>
        <v>5</v>
      </c>
      <c r="R1048">
        <f>(P1048*0.5)+(Q1048*0.3)+(N1048*0.1)+(M1048*0.1)</f>
        <v>3.1</v>
      </c>
      <c r="S1048" t="str">
        <f t="shared" si="16"/>
        <v>HIGH</v>
      </c>
    </row>
    <row r="1049" spans="1:19" x14ac:dyDescent="0.3">
      <c r="A1049">
        <v>86</v>
      </c>
      <c r="B1049" t="s">
        <v>18</v>
      </c>
      <c r="C1049">
        <v>88649.1</v>
      </c>
      <c r="D1049" t="s">
        <v>2103</v>
      </c>
      <c r="E1049">
        <v>88649.1</v>
      </c>
      <c r="F1049">
        <v>0</v>
      </c>
      <c r="G1049" t="s">
        <v>2104</v>
      </c>
      <c r="H1049">
        <v>2239755.86</v>
      </c>
      <c r="I1049">
        <v>2328404.96</v>
      </c>
      <c r="J1049">
        <v>1</v>
      </c>
      <c r="K1049">
        <v>0</v>
      </c>
      <c r="L1049">
        <v>14</v>
      </c>
      <c r="M1049">
        <v>0</v>
      </c>
      <c r="N1049">
        <v>1</v>
      </c>
      <c r="O1049">
        <v>88649.1</v>
      </c>
      <c r="P1049">
        <f>IF(C1049&gt;=200000,5,IF(C1049&gt;=100000,4,IF(C1049&gt;=50000,3,IF(C1049&gt;=10000,2,1))))</f>
        <v>3</v>
      </c>
      <c r="Q1049">
        <f>IF(B1049="TRANSFER",5,IF(B1049="CASH_OUT",4,IF(B1049="DEBIT",2,1)))</f>
        <v>4</v>
      </c>
      <c r="R1049">
        <f>(P1049*0.5)+(Q1049*0.3)+(N1049*0.1)+(M1049*0.1)</f>
        <v>2.8000000000000003</v>
      </c>
      <c r="S1049" t="str">
        <f t="shared" si="16"/>
        <v>MEDIUM</v>
      </c>
    </row>
    <row r="1050" spans="1:19" x14ac:dyDescent="0.3">
      <c r="A1050">
        <v>86</v>
      </c>
      <c r="B1050" t="s">
        <v>15</v>
      </c>
      <c r="C1050">
        <v>372344.58</v>
      </c>
      <c r="D1050" t="s">
        <v>2105</v>
      </c>
      <c r="E1050">
        <v>372344.58</v>
      </c>
      <c r="F1050">
        <v>0</v>
      </c>
      <c r="G1050" t="s">
        <v>2106</v>
      </c>
      <c r="H1050">
        <v>0</v>
      </c>
      <c r="I1050">
        <v>0</v>
      </c>
      <c r="J1050">
        <v>1</v>
      </c>
      <c r="K1050">
        <v>0</v>
      </c>
      <c r="L1050">
        <v>14</v>
      </c>
      <c r="M1050">
        <v>0</v>
      </c>
      <c r="N1050">
        <v>1</v>
      </c>
      <c r="O1050">
        <v>372344.58</v>
      </c>
      <c r="P1050">
        <f>IF(C1050&gt;=200000,5,IF(C1050&gt;=100000,4,IF(C1050&gt;=50000,3,IF(C1050&gt;=10000,2,1))))</f>
        <v>5</v>
      </c>
      <c r="Q1050">
        <f>IF(B1050="TRANSFER",5,IF(B1050="CASH_OUT",4,IF(B1050="DEBIT",2,1)))</f>
        <v>5</v>
      </c>
      <c r="R1050">
        <f>(P1050*0.5)+(Q1050*0.3)+(N1050*0.1)+(M1050*0.1)</f>
        <v>4.0999999999999996</v>
      </c>
      <c r="S1050" t="str">
        <f t="shared" si="16"/>
        <v>HIGH</v>
      </c>
    </row>
    <row r="1051" spans="1:19" x14ac:dyDescent="0.3">
      <c r="A1051">
        <v>86</v>
      </c>
      <c r="B1051" t="s">
        <v>18</v>
      </c>
      <c r="C1051">
        <v>372344.58</v>
      </c>
      <c r="D1051" t="s">
        <v>2107</v>
      </c>
      <c r="E1051">
        <v>372344.58</v>
      </c>
      <c r="F1051">
        <v>0</v>
      </c>
      <c r="G1051" t="s">
        <v>2108</v>
      </c>
      <c r="H1051">
        <v>0</v>
      </c>
      <c r="I1051">
        <v>372344.58</v>
      </c>
      <c r="J1051">
        <v>1</v>
      </c>
      <c r="K1051">
        <v>0</v>
      </c>
      <c r="L1051">
        <v>14</v>
      </c>
      <c r="M1051">
        <v>0</v>
      </c>
      <c r="N1051">
        <v>1</v>
      </c>
      <c r="O1051">
        <v>372344.58</v>
      </c>
      <c r="P1051">
        <f>IF(C1051&gt;=200000,5,IF(C1051&gt;=100000,4,IF(C1051&gt;=50000,3,IF(C1051&gt;=10000,2,1))))</f>
        <v>5</v>
      </c>
      <c r="Q1051">
        <f>IF(B1051="TRANSFER",5,IF(B1051="CASH_OUT",4,IF(B1051="DEBIT",2,1)))</f>
        <v>4</v>
      </c>
      <c r="R1051">
        <f>(P1051*0.5)+(Q1051*0.3)+(N1051*0.1)+(M1051*0.1)</f>
        <v>3.8000000000000003</v>
      </c>
      <c r="S1051" t="str">
        <f t="shared" si="16"/>
        <v>HIGH</v>
      </c>
    </row>
    <row r="1052" spans="1:19" x14ac:dyDescent="0.3">
      <c r="A1052">
        <v>86</v>
      </c>
      <c r="B1052" t="s">
        <v>15</v>
      </c>
      <c r="C1052">
        <v>72547.289999999994</v>
      </c>
      <c r="D1052" t="s">
        <v>2109</v>
      </c>
      <c r="E1052">
        <v>72547.289999999994</v>
      </c>
      <c r="F1052">
        <v>0</v>
      </c>
      <c r="G1052" t="s">
        <v>2110</v>
      </c>
      <c r="H1052">
        <v>0</v>
      </c>
      <c r="I1052">
        <v>0</v>
      </c>
      <c r="J1052">
        <v>1</v>
      </c>
      <c r="K1052">
        <v>0</v>
      </c>
      <c r="L1052">
        <v>14</v>
      </c>
      <c r="M1052">
        <v>0</v>
      </c>
      <c r="N1052">
        <v>1</v>
      </c>
      <c r="O1052">
        <v>72547.289999999994</v>
      </c>
      <c r="P1052">
        <f>IF(C1052&gt;=200000,5,IF(C1052&gt;=100000,4,IF(C1052&gt;=50000,3,IF(C1052&gt;=10000,2,1))))</f>
        <v>3</v>
      </c>
      <c r="Q1052">
        <f>IF(B1052="TRANSFER",5,IF(B1052="CASH_OUT",4,IF(B1052="DEBIT",2,1)))</f>
        <v>5</v>
      </c>
      <c r="R1052">
        <f>(P1052*0.5)+(Q1052*0.3)+(N1052*0.1)+(M1052*0.1)</f>
        <v>3.1</v>
      </c>
      <c r="S1052" t="str">
        <f t="shared" si="16"/>
        <v>HIGH</v>
      </c>
    </row>
    <row r="1053" spans="1:19" x14ac:dyDescent="0.3">
      <c r="A1053">
        <v>86</v>
      </c>
      <c r="B1053" t="s">
        <v>18</v>
      </c>
      <c r="C1053">
        <v>72547.289999999994</v>
      </c>
      <c r="D1053" t="s">
        <v>2111</v>
      </c>
      <c r="E1053">
        <v>72547.289999999994</v>
      </c>
      <c r="F1053">
        <v>0</v>
      </c>
      <c r="G1053" t="s">
        <v>2112</v>
      </c>
      <c r="H1053">
        <v>79736.28</v>
      </c>
      <c r="I1053">
        <v>152283.57</v>
      </c>
      <c r="J1053">
        <v>1</v>
      </c>
      <c r="K1053">
        <v>0</v>
      </c>
      <c r="L1053">
        <v>14</v>
      </c>
      <c r="M1053">
        <v>0</v>
      </c>
      <c r="N1053">
        <v>1</v>
      </c>
      <c r="O1053">
        <v>72547.289999999994</v>
      </c>
      <c r="P1053">
        <f>IF(C1053&gt;=200000,5,IF(C1053&gt;=100000,4,IF(C1053&gt;=50000,3,IF(C1053&gt;=10000,2,1))))</f>
        <v>3</v>
      </c>
      <c r="Q1053">
        <f>IF(B1053="TRANSFER",5,IF(B1053="CASH_OUT",4,IF(B1053="DEBIT",2,1)))</f>
        <v>4</v>
      </c>
      <c r="R1053">
        <f>(P1053*0.5)+(Q1053*0.3)+(N1053*0.1)+(M1053*0.1)</f>
        <v>2.8000000000000003</v>
      </c>
      <c r="S1053" t="str">
        <f t="shared" si="16"/>
        <v>MEDIUM</v>
      </c>
    </row>
    <row r="1054" spans="1:19" x14ac:dyDescent="0.3">
      <c r="A1054">
        <v>87</v>
      </c>
      <c r="B1054" t="s">
        <v>15</v>
      </c>
      <c r="C1054">
        <v>114339.1</v>
      </c>
      <c r="D1054" t="s">
        <v>2113</v>
      </c>
      <c r="E1054">
        <v>114339.1</v>
      </c>
      <c r="F1054">
        <v>0</v>
      </c>
      <c r="G1054" t="s">
        <v>2114</v>
      </c>
      <c r="H1054">
        <v>0</v>
      </c>
      <c r="I1054">
        <v>0</v>
      </c>
      <c r="J1054">
        <v>1</v>
      </c>
      <c r="K1054">
        <v>0</v>
      </c>
      <c r="L1054">
        <v>15</v>
      </c>
      <c r="M1054">
        <v>0</v>
      </c>
      <c r="N1054">
        <v>1</v>
      </c>
      <c r="O1054">
        <v>114339.1</v>
      </c>
      <c r="P1054">
        <f>IF(C1054&gt;=200000,5,IF(C1054&gt;=100000,4,IF(C1054&gt;=50000,3,IF(C1054&gt;=10000,2,1))))</f>
        <v>4</v>
      </c>
      <c r="Q1054">
        <f>IF(B1054="TRANSFER",5,IF(B1054="CASH_OUT",4,IF(B1054="DEBIT",2,1)))</f>
        <v>5</v>
      </c>
      <c r="R1054">
        <f>(P1054*0.5)+(Q1054*0.3)+(N1054*0.1)+(M1054*0.1)</f>
        <v>3.6</v>
      </c>
      <c r="S1054" t="str">
        <f t="shared" si="16"/>
        <v>HIGH</v>
      </c>
    </row>
    <row r="1055" spans="1:19" x14ac:dyDescent="0.3">
      <c r="A1055">
        <v>87</v>
      </c>
      <c r="B1055" t="s">
        <v>18</v>
      </c>
      <c r="C1055">
        <v>114339.1</v>
      </c>
      <c r="D1055" t="s">
        <v>2115</v>
      </c>
      <c r="E1055">
        <v>114339.1</v>
      </c>
      <c r="F1055">
        <v>0</v>
      </c>
      <c r="G1055" t="s">
        <v>2116</v>
      </c>
      <c r="H1055">
        <v>41413.230000000003</v>
      </c>
      <c r="I1055">
        <v>155752.32999999999</v>
      </c>
      <c r="J1055">
        <v>1</v>
      </c>
      <c r="K1055">
        <v>0</v>
      </c>
      <c r="L1055">
        <v>15</v>
      </c>
      <c r="M1055">
        <v>0</v>
      </c>
      <c r="N1055">
        <v>1</v>
      </c>
      <c r="O1055">
        <v>114339.1</v>
      </c>
      <c r="P1055">
        <f>IF(C1055&gt;=200000,5,IF(C1055&gt;=100000,4,IF(C1055&gt;=50000,3,IF(C1055&gt;=10000,2,1))))</f>
        <v>4</v>
      </c>
      <c r="Q1055">
        <f>IF(B1055="TRANSFER",5,IF(B1055="CASH_OUT",4,IF(B1055="DEBIT",2,1)))</f>
        <v>4</v>
      </c>
      <c r="R1055">
        <f>(P1055*0.5)+(Q1055*0.3)+(N1055*0.1)+(M1055*0.1)</f>
        <v>3.3000000000000003</v>
      </c>
      <c r="S1055" t="str">
        <f t="shared" si="16"/>
        <v>HIGH</v>
      </c>
    </row>
    <row r="1056" spans="1:19" x14ac:dyDescent="0.3">
      <c r="A1056">
        <v>87</v>
      </c>
      <c r="B1056" t="s">
        <v>15</v>
      </c>
      <c r="C1056">
        <v>1083860.21</v>
      </c>
      <c r="D1056" t="s">
        <v>2117</v>
      </c>
      <c r="E1056">
        <v>1083860.21</v>
      </c>
      <c r="F1056">
        <v>0</v>
      </c>
      <c r="G1056" t="s">
        <v>2118</v>
      </c>
      <c r="H1056">
        <v>0</v>
      </c>
      <c r="I1056">
        <v>0</v>
      </c>
      <c r="J1056">
        <v>1</v>
      </c>
      <c r="K1056">
        <v>0</v>
      </c>
      <c r="L1056">
        <v>15</v>
      </c>
      <c r="M1056">
        <v>0</v>
      </c>
      <c r="N1056">
        <v>1</v>
      </c>
      <c r="O1056">
        <v>1083860.21</v>
      </c>
      <c r="P1056">
        <f>IF(C1056&gt;=200000,5,IF(C1056&gt;=100000,4,IF(C1056&gt;=50000,3,IF(C1056&gt;=10000,2,1))))</f>
        <v>5</v>
      </c>
      <c r="Q1056">
        <f>IF(B1056="TRANSFER",5,IF(B1056="CASH_OUT",4,IF(B1056="DEBIT",2,1)))</f>
        <v>5</v>
      </c>
      <c r="R1056">
        <f>(P1056*0.5)+(Q1056*0.3)+(N1056*0.1)+(M1056*0.1)</f>
        <v>4.0999999999999996</v>
      </c>
      <c r="S1056" t="str">
        <f t="shared" si="16"/>
        <v>HIGH</v>
      </c>
    </row>
    <row r="1057" spans="1:19" x14ac:dyDescent="0.3">
      <c r="A1057">
        <v>87</v>
      </c>
      <c r="B1057" t="s">
        <v>18</v>
      </c>
      <c r="C1057">
        <v>1083860.21</v>
      </c>
      <c r="D1057" t="s">
        <v>2119</v>
      </c>
      <c r="E1057">
        <v>1083860.21</v>
      </c>
      <c r="F1057">
        <v>0</v>
      </c>
      <c r="G1057" t="s">
        <v>2120</v>
      </c>
      <c r="H1057">
        <v>0</v>
      </c>
      <c r="I1057">
        <v>1083860.21</v>
      </c>
      <c r="J1057">
        <v>1</v>
      </c>
      <c r="K1057">
        <v>0</v>
      </c>
      <c r="L1057">
        <v>15</v>
      </c>
      <c r="M1057">
        <v>0</v>
      </c>
      <c r="N1057">
        <v>1</v>
      </c>
      <c r="O1057">
        <v>1083860.21</v>
      </c>
      <c r="P1057">
        <f>IF(C1057&gt;=200000,5,IF(C1057&gt;=100000,4,IF(C1057&gt;=50000,3,IF(C1057&gt;=10000,2,1))))</f>
        <v>5</v>
      </c>
      <c r="Q1057">
        <f>IF(B1057="TRANSFER",5,IF(B1057="CASH_OUT",4,IF(B1057="DEBIT",2,1)))</f>
        <v>4</v>
      </c>
      <c r="R1057">
        <f>(P1057*0.5)+(Q1057*0.3)+(N1057*0.1)+(M1057*0.1)</f>
        <v>3.8000000000000003</v>
      </c>
      <c r="S1057" t="str">
        <f t="shared" si="16"/>
        <v>HIGH</v>
      </c>
    </row>
    <row r="1058" spans="1:19" x14ac:dyDescent="0.3">
      <c r="A1058">
        <v>87</v>
      </c>
      <c r="B1058" t="s">
        <v>15</v>
      </c>
      <c r="C1058">
        <v>115461.48</v>
      </c>
      <c r="D1058" t="s">
        <v>2121</v>
      </c>
      <c r="E1058">
        <v>115461.48</v>
      </c>
      <c r="F1058">
        <v>0</v>
      </c>
      <c r="G1058" t="s">
        <v>2122</v>
      </c>
      <c r="H1058">
        <v>0</v>
      </c>
      <c r="I1058">
        <v>0</v>
      </c>
      <c r="J1058">
        <v>1</v>
      </c>
      <c r="K1058">
        <v>0</v>
      </c>
      <c r="L1058">
        <v>15</v>
      </c>
      <c r="M1058">
        <v>0</v>
      </c>
      <c r="N1058">
        <v>1</v>
      </c>
      <c r="O1058">
        <v>115461.48</v>
      </c>
      <c r="P1058">
        <f>IF(C1058&gt;=200000,5,IF(C1058&gt;=100000,4,IF(C1058&gt;=50000,3,IF(C1058&gt;=10000,2,1))))</f>
        <v>4</v>
      </c>
      <c r="Q1058">
        <f>IF(B1058="TRANSFER",5,IF(B1058="CASH_OUT",4,IF(B1058="DEBIT",2,1)))</f>
        <v>5</v>
      </c>
      <c r="R1058">
        <f>(P1058*0.5)+(Q1058*0.3)+(N1058*0.1)+(M1058*0.1)</f>
        <v>3.6</v>
      </c>
      <c r="S1058" t="str">
        <f t="shared" si="16"/>
        <v>HIGH</v>
      </c>
    </row>
    <row r="1059" spans="1:19" x14ac:dyDescent="0.3">
      <c r="A1059">
        <v>87</v>
      </c>
      <c r="B1059" t="s">
        <v>18</v>
      </c>
      <c r="C1059">
        <v>115461.48</v>
      </c>
      <c r="D1059" t="s">
        <v>2123</v>
      </c>
      <c r="E1059">
        <v>115461.48</v>
      </c>
      <c r="F1059">
        <v>0</v>
      </c>
      <c r="G1059" t="s">
        <v>2124</v>
      </c>
      <c r="H1059">
        <v>21619.279999999999</v>
      </c>
      <c r="I1059">
        <v>137080.75</v>
      </c>
      <c r="J1059">
        <v>1</v>
      </c>
      <c r="K1059">
        <v>0</v>
      </c>
      <c r="L1059">
        <v>15</v>
      </c>
      <c r="M1059">
        <v>0</v>
      </c>
      <c r="N1059">
        <v>1</v>
      </c>
      <c r="O1059">
        <v>115461.48</v>
      </c>
      <c r="P1059">
        <f>IF(C1059&gt;=200000,5,IF(C1059&gt;=100000,4,IF(C1059&gt;=50000,3,IF(C1059&gt;=10000,2,1))))</f>
        <v>4</v>
      </c>
      <c r="Q1059">
        <f>IF(B1059="TRANSFER",5,IF(B1059="CASH_OUT",4,IF(B1059="DEBIT",2,1)))</f>
        <v>4</v>
      </c>
      <c r="R1059">
        <f>(P1059*0.5)+(Q1059*0.3)+(N1059*0.1)+(M1059*0.1)</f>
        <v>3.3000000000000003</v>
      </c>
      <c r="S1059" t="str">
        <f t="shared" si="16"/>
        <v>HIGH</v>
      </c>
    </row>
    <row r="1060" spans="1:19" x14ac:dyDescent="0.3">
      <c r="A1060">
        <v>88</v>
      </c>
      <c r="B1060" t="s">
        <v>15</v>
      </c>
      <c r="C1060">
        <v>9345700.0700000003</v>
      </c>
      <c r="D1060" t="s">
        <v>2125</v>
      </c>
      <c r="E1060">
        <v>9345700.0700000003</v>
      </c>
      <c r="F1060">
        <v>0</v>
      </c>
      <c r="G1060" t="s">
        <v>2126</v>
      </c>
      <c r="H1060">
        <v>0</v>
      </c>
      <c r="I1060">
        <v>0</v>
      </c>
      <c r="J1060">
        <v>1</v>
      </c>
      <c r="K1060">
        <v>0</v>
      </c>
      <c r="L1060">
        <v>16</v>
      </c>
      <c r="M1060">
        <v>0</v>
      </c>
      <c r="N1060">
        <v>1</v>
      </c>
      <c r="O1060">
        <v>9345700.0700000003</v>
      </c>
      <c r="P1060">
        <f>IF(C1060&gt;=200000,5,IF(C1060&gt;=100000,4,IF(C1060&gt;=50000,3,IF(C1060&gt;=10000,2,1))))</f>
        <v>5</v>
      </c>
      <c r="Q1060">
        <f>IF(B1060="TRANSFER",5,IF(B1060="CASH_OUT",4,IF(B1060="DEBIT",2,1)))</f>
        <v>5</v>
      </c>
      <c r="R1060">
        <f>(P1060*0.5)+(Q1060*0.3)+(N1060*0.1)+(M1060*0.1)</f>
        <v>4.0999999999999996</v>
      </c>
      <c r="S1060" t="str">
        <f t="shared" si="16"/>
        <v>HIGH</v>
      </c>
    </row>
    <row r="1061" spans="1:19" x14ac:dyDescent="0.3">
      <c r="A1061">
        <v>88</v>
      </c>
      <c r="B1061" t="s">
        <v>18</v>
      </c>
      <c r="C1061">
        <v>9345700.0700000003</v>
      </c>
      <c r="D1061" t="s">
        <v>2127</v>
      </c>
      <c r="E1061">
        <v>9345700.0700000003</v>
      </c>
      <c r="F1061">
        <v>0</v>
      </c>
      <c r="G1061" t="s">
        <v>2128</v>
      </c>
      <c r="H1061">
        <v>8922060.4299999997</v>
      </c>
      <c r="I1061">
        <v>18300000</v>
      </c>
      <c r="J1061">
        <v>1</v>
      </c>
      <c r="K1061">
        <v>0</v>
      </c>
      <c r="L1061">
        <v>16</v>
      </c>
      <c r="M1061">
        <v>0</v>
      </c>
      <c r="N1061">
        <v>1</v>
      </c>
      <c r="O1061">
        <v>9345700.0700000003</v>
      </c>
      <c r="P1061">
        <f>IF(C1061&gt;=200000,5,IF(C1061&gt;=100000,4,IF(C1061&gt;=50000,3,IF(C1061&gt;=10000,2,1))))</f>
        <v>5</v>
      </c>
      <c r="Q1061">
        <f>IF(B1061="TRANSFER",5,IF(B1061="CASH_OUT",4,IF(B1061="DEBIT",2,1)))</f>
        <v>4</v>
      </c>
      <c r="R1061">
        <f>(P1061*0.5)+(Q1061*0.3)+(N1061*0.1)+(M1061*0.1)</f>
        <v>3.8000000000000003</v>
      </c>
      <c r="S1061" t="str">
        <f t="shared" si="16"/>
        <v>HIGH</v>
      </c>
    </row>
    <row r="1062" spans="1:19" x14ac:dyDescent="0.3">
      <c r="A1062">
        <v>88</v>
      </c>
      <c r="B1062" t="s">
        <v>15</v>
      </c>
      <c r="C1062">
        <v>337994.64</v>
      </c>
      <c r="D1062" t="s">
        <v>2129</v>
      </c>
      <c r="E1062">
        <v>337994.64</v>
      </c>
      <c r="F1062">
        <v>0</v>
      </c>
      <c r="G1062" t="s">
        <v>2130</v>
      </c>
      <c r="H1062">
        <v>0</v>
      </c>
      <c r="I1062">
        <v>0</v>
      </c>
      <c r="J1062">
        <v>1</v>
      </c>
      <c r="K1062">
        <v>0</v>
      </c>
      <c r="L1062">
        <v>16</v>
      </c>
      <c r="M1062">
        <v>0</v>
      </c>
      <c r="N1062">
        <v>1</v>
      </c>
      <c r="O1062">
        <v>337994.64</v>
      </c>
      <c r="P1062">
        <f>IF(C1062&gt;=200000,5,IF(C1062&gt;=100000,4,IF(C1062&gt;=50000,3,IF(C1062&gt;=10000,2,1))))</f>
        <v>5</v>
      </c>
      <c r="Q1062">
        <f>IF(B1062="TRANSFER",5,IF(B1062="CASH_OUT",4,IF(B1062="DEBIT",2,1)))</f>
        <v>5</v>
      </c>
      <c r="R1062">
        <f>(P1062*0.5)+(Q1062*0.3)+(N1062*0.1)+(M1062*0.1)</f>
        <v>4.0999999999999996</v>
      </c>
      <c r="S1062" t="str">
        <f t="shared" si="16"/>
        <v>HIGH</v>
      </c>
    </row>
    <row r="1063" spans="1:19" x14ac:dyDescent="0.3">
      <c r="A1063">
        <v>88</v>
      </c>
      <c r="B1063" t="s">
        <v>18</v>
      </c>
      <c r="C1063">
        <v>337994.64</v>
      </c>
      <c r="D1063" t="s">
        <v>2131</v>
      </c>
      <c r="E1063">
        <v>337994.64</v>
      </c>
      <c r="F1063">
        <v>0</v>
      </c>
      <c r="G1063" t="s">
        <v>2132</v>
      </c>
      <c r="H1063">
        <v>0</v>
      </c>
      <c r="I1063">
        <v>337994.64</v>
      </c>
      <c r="J1063">
        <v>1</v>
      </c>
      <c r="K1063">
        <v>0</v>
      </c>
      <c r="L1063">
        <v>16</v>
      </c>
      <c r="M1063">
        <v>0</v>
      </c>
      <c r="N1063">
        <v>1</v>
      </c>
      <c r="O1063">
        <v>337994.64</v>
      </c>
      <c r="P1063">
        <f>IF(C1063&gt;=200000,5,IF(C1063&gt;=100000,4,IF(C1063&gt;=50000,3,IF(C1063&gt;=10000,2,1))))</f>
        <v>5</v>
      </c>
      <c r="Q1063">
        <f>IF(B1063="TRANSFER",5,IF(B1063="CASH_OUT",4,IF(B1063="DEBIT",2,1)))</f>
        <v>4</v>
      </c>
      <c r="R1063">
        <f>(P1063*0.5)+(Q1063*0.3)+(N1063*0.1)+(M1063*0.1)</f>
        <v>3.8000000000000003</v>
      </c>
      <c r="S1063" t="str">
        <f t="shared" si="16"/>
        <v>HIGH</v>
      </c>
    </row>
    <row r="1064" spans="1:19" x14ac:dyDescent="0.3">
      <c r="A1064">
        <v>88</v>
      </c>
      <c r="B1064" t="s">
        <v>15</v>
      </c>
      <c r="C1064">
        <v>4022408.76</v>
      </c>
      <c r="D1064" t="s">
        <v>2133</v>
      </c>
      <c r="E1064">
        <v>4022408.76</v>
      </c>
      <c r="F1064">
        <v>0</v>
      </c>
      <c r="G1064" t="s">
        <v>2134</v>
      </c>
      <c r="H1064">
        <v>0</v>
      </c>
      <c r="I1064">
        <v>0</v>
      </c>
      <c r="J1064">
        <v>1</v>
      </c>
      <c r="K1064">
        <v>0</v>
      </c>
      <c r="L1064">
        <v>16</v>
      </c>
      <c r="M1064">
        <v>0</v>
      </c>
      <c r="N1064">
        <v>1</v>
      </c>
      <c r="O1064">
        <v>4022408.76</v>
      </c>
      <c r="P1064">
        <f>IF(C1064&gt;=200000,5,IF(C1064&gt;=100000,4,IF(C1064&gt;=50000,3,IF(C1064&gt;=10000,2,1))))</f>
        <v>5</v>
      </c>
      <c r="Q1064">
        <f>IF(B1064="TRANSFER",5,IF(B1064="CASH_OUT",4,IF(B1064="DEBIT",2,1)))</f>
        <v>5</v>
      </c>
      <c r="R1064">
        <f>(P1064*0.5)+(Q1064*0.3)+(N1064*0.1)+(M1064*0.1)</f>
        <v>4.0999999999999996</v>
      </c>
      <c r="S1064" t="str">
        <f t="shared" si="16"/>
        <v>HIGH</v>
      </c>
    </row>
    <row r="1065" spans="1:19" x14ac:dyDescent="0.3">
      <c r="A1065">
        <v>88</v>
      </c>
      <c r="B1065" t="s">
        <v>18</v>
      </c>
      <c r="C1065">
        <v>4022408.76</v>
      </c>
      <c r="D1065" t="s">
        <v>2135</v>
      </c>
      <c r="E1065">
        <v>4022408.76</v>
      </c>
      <c r="F1065">
        <v>0</v>
      </c>
      <c r="G1065" t="s">
        <v>1782</v>
      </c>
      <c r="H1065">
        <v>4542879.5</v>
      </c>
      <c r="I1065">
        <v>8565288.2599999998</v>
      </c>
      <c r="J1065">
        <v>1</v>
      </c>
      <c r="K1065">
        <v>0</v>
      </c>
      <c r="L1065">
        <v>16</v>
      </c>
      <c r="M1065">
        <v>0</v>
      </c>
      <c r="N1065">
        <v>1</v>
      </c>
      <c r="O1065">
        <v>4022408.76</v>
      </c>
      <c r="P1065">
        <f>IF(C1065&gt;=200000,5,IF(C1065&gt;=100000,4,IF(C1065&gt;=50000,3,IF(C1065&gt;=10000,2,1))))</f>
        <v>5</v>
      </c>
      <c r="Q1065">
        <f>IF(B1065="TRANSFER",5,IF(B1065="CASH_OUT",4,IF(B1065="DEBIT",2,1)))</f>
        <v>4</v>
      </c>
      <c r="R1065">
        <f>(P1065*0.5)+(Q1065*0.3)+(N1065*0.1)+(M1065*0.1)</f>
        <v>3.8000000000000003</v>
      </c>
      <c r="S1065" t="str">
        <f t="shared" si="16"/>
        <v>HIGH</v>
      </c>
    </row>
    <row r="1066" spans="1:19" x14ac:dyDescent="0.3">
      <c r="A1066">
        <v>88</v>
      </c>
      <c r="B1066" t="s">
        <v>15</v>
      </c>
      <c r="C1066">
        <v>3607917.73</v>
      </c>
      <c r="D1066" t="s">
        <v>2136</v>
      </c>
      <c r="E1066">
        <v>3607917.73</v>
      </c>
      <c r="F1066">
        <v>0</v>
      </c>
      <c r="G1066" t="s">
        <v>2137</v>
      </c>
      <c r="H1066">
        <v>0</v>
      </c>
      <c r="I1066">
        <v>0</v>
      </c>
      <c r="J1066">
        <v>1</v>
      </c>
      <c r="K1066">
        <v>0</v>
      </c>
      <c r="L1066">
        <v>16</v>
      </c>
      <c r="M1066">
        <v>0</v>
      </c>
      <c r="N1066">
        <v>1</v>
      </c>
      <c r="O1066">
        <v>3607917.73</v>
      </c>
      <c r="P1066">
        <f>IF(C1066&gt;=200000,5,IF(C1066&gt;=100000,4,IF(C1066&gt;=50000,3,IF(C1066&gt;=10000,2,1))))</f>
        <v>5</v>
      </c>
      <c r="Q1066">
        <f>IF(B1066="TRANSFER",5,IF(B1066="CASH_OUT",4,IF(B1066="DEBIT",2,1)))</f>
        <v>5</v>
      </c>
      <c r="R1066">
        <f>(P1066*0.5)+(Q1066*0.3)+(N1066*0.1)+(M1066*0.1)</f>
        <v>4.0999999999999996</v>
      </c>
      <c r="S1066" t="str">
        <f t="shared" si="16"/>
        <v>HIGH</v>
      </c>
    </row>
    <row r="1067" spans="1:19" x14ac:dyDescent="0.3">
      <c r="A1067">
        <v>88</v>
      </c>
      <c r="B1067" t="s">
        <v>18</v>
      </c>
      <c r="C1067">
        <v>3607917.73</v>
      </c>
      <c r="D1067" t="s">
        <v>2138</v>
      </c>
      <c r="E1067">
        <v>3607917.73</v>
      </c>
      <c r="F1067">
        <v>0</v>
      </c>
      <c r="G1067" t="s">
        <v>2139</v>
      </c>
      <c r="H1067">
        <v>8391754.1300000008</v>
      </c>
      <c r="I1067">
        <v>12000000</v>
      </c>
      <c r="J1067">
        <v>1</v>
      </c>
      <c r="K1067">
        <v>0</v>
      </c>
      <c r="L1067">
        <v>16</v>
      </c>
      <c r="M1067">
        <v>0</v>
      </c>
      <c r="N1067">
        <v>1</v>
      </c>
      <c r="O1067">
        <v>3607917.73</v>
      </c>
      <c r="P1067">
        <f>IF(C1067&gt;=200000,5,IF(C1067&gt;=100000,4,IF(C1067&gt;=50000,3,IF(C1067&gt;=10000,2,1))))</f>
        <v>5</v>
      </c>
      <c r="Q1067">
        <f>IF(B1067="TRANSFER",5,IF(B1067="CASH_OUT",4,IF(B1067="DEBIT",2,1)))</f>
        <v>4</v>
      </c>
      <c r="R1067">
        <f>(P1067*0.5)+(Q1067*0.3)+(N1067*0.1)+(M1067*0.1)</f>
        <v>3.8000000000000003</v>
      </c>
      <c r="S1067" t="str">
        <f t="shared" si="16"/>
        <v>HIGH</v>
      </c>
    </row>
    <row r="1068" spans="1:19" x14ac:dyDescent="0.3">
      <c r="A1068">
        <v>89</v>
      </c>
      <c r="B1068" t="s">
        <v>15</v>
      </c>
      <c r="C1068">
        <v>766631.82</v>
      </c>
      <c r="D1068" t="s">
        <v>2140</v>
      </c>
      <c r="E1068">
        <v>766631.82</v>
      </c>
      <c r="F1068">
        <v>0</v>
      </c>
      <c r="G1068" t="s">
        <v>2141</v>
      </c>
      <c r="H1068">
        <v>0</v>
      </c>
      <c r="I1068">
        <v>0</v>
      </c>
      <c r="J1068">
        <v>1</v>
      </c>
      <c r="K1068">
        <v>0</v>
      </c>
      <c r="L1068">
        <v>17</v>
      </c>
      <c r="M1068">
        <v>0</v>
      </c>
      <c r="N1068">
        <v>1</v>
      </c>
      <c r="O1068">
        <v>766631.82</v>
      </c>
      <c r="P1068">
        <f>IF(C1068&gt;=200000,5,IF(C1068&gt;=100000,4,IF(C1068&gt;=50000,3,IF(C1068&gt;=10000,2,1))))</f>
        <v>5</v>
      </c>
      <c r="Q1068">
        <f>IF(B1068="TRANSFER",5,IF(B1068="CASH_OUT",4,IF(B1068="DEBIT",2,1)))</f>
        <v>5</v>
      </c>
      <c r="R1068">
        <f>(P1068*0.5)+(Q1068*0.3)+(N1068*0.1)+(M1068*0.1)</f>
        <v>4.0999999999999996</v>
      </c>
      <c r="S1068" t="str">
        <f t="shared" si="16"/>
        <v>HIGH</v>
      </c>
    </row>
    <row r="1069" spans="1:19" x14ac:dyDescent="0.3">
      <c r="A1069">
        <v>89</v>
      </c>
      <c r="B1069" t="s">
        <v>18</v>
      </c>
      <c r="C1069">
        <v>766631.82</v>
      </c>
      <c r="D1069" t="s">
        <v>2142</v>
      </c>
      <c r="E1069">
        <v>766631.82</v>
      </c>
      <c r="F1069">
        <v>0</v>
      </c>
      <c r="G1069" t="s">
        <v>2143</v>
      </c>
      <c r="H1069">
        <v>0</v>
      </c>
      <c r="I1069">
        <v>766631.82</v>
      </c>
      <c r="J1069">
        <v>1</v>
      </c>
      <c r="K1069">
        <v>0</v>
      </c>
      <c r="L1069">
        <v>17</v>
      </c>
      <c r="M1069">
        <v>0</v>
      </c>
      <c r="N1069">
        <v>1</v>
      </c>
      <c r="O1069">
        <v>766631.82</v>
      </c>
      <c r="P1069">
        <f>IF(C1069&gt;=200000,5,IF(C1069&gt;=100000,4,IF(C1069&gt;=50000,3,IF(C1069&gt;=10000,2,1))))</f>
        <v>5</v>
      </c>
      <c r="Q1069">
        <f>IF(B1069="TRANSFER",5,IF(B1069="CASH_OUT",4,IF(B1069="DEBIT",2,1)))</f>
        <v>4</v>
      </c>
      <c r="R1069">
        <f>(P1069*0.5)+(Q1069*0.3)+(N1069*0.1)+(M1069*0.1)</f>
        <v>3.8000000000000003</v>
      </c>
      <c r="S1069" t="str">
        <f t="shared" si="16"/>
        <v>HIGH</v>
      </c>
    </row>
    <row r="1070" spans="1:19" x14ac:dyDescent="0.3">
      <c r="A1070">
        <v>89</v>
      </c>
      <c r="B1070" t="s">
        <v>15</v>
      </c>
      <c r="C1070">
        <v>43928.31</v>
      </c>
      <c r="D1070" t="s">
        <v>2144</v>
      </c>
      <c r="E1070">
        <v>43928.31</v>
      </c>
      <c r="F1070">
        <v>0</v>
      </c>
      <c r="G1070" t="s">
        <v>2145</v>
      </c>
      <c r="H1070">
        <v>0</v>
      </c>
      <c r="I1070">
        <v>0</v>
      </c>
      <c r="J1070">
        <v>1</v>
      </c>
      <c r="K1070">
        <v>0</v>
      </c>
      <c r="L1070">
        <v>17</v>
      </c>
      <c r="M1070">
        <v>0</v>
      </c>
      <c r="N1070">
        <v>1</v>
      </c>
      <c r="O1070">
        <v>43928.31</v>
      </c>
      <c r="P1070">
        <f>IF(C1070&gt;=200000,5,IF(C1070&gt;=100000,4,IF(C1070&gt;=50000,3,IF(C1070&gt;=10000,2,1))))</f>
        <v>2</v>
      </c>
      <c r="Q1070">
        <f>IF(B1070="TRANSFER",5,IF(B1070="CASH_OUT",4,IF(B1070="DEBIT",2,1)))</f>
        <v>5</v>
      </c>
      <c r="R1070">
        <f>(P1070*0.5)+(Q1070*0.3)+(N1070*0.1)+(M1070*0.1)</f>
        <v>2.6</v>
      </c>
      <c r="S1070" t="str">
        <f t="shared" si="16"/>
        <v>MEDIUM</v>
      </c>
    </row>
    <row r="1071" spans="1:19" x14ac:dyDescent="0.3">
      <c r="A1071">
        <v>89</v>
      </c>
      <c r="B1071" t="s">
        <v>18</v>
      </c>
      <c r="C1071">
        <v>43928.31</v>
      </c>
      <c r="D1071" t="s">
        <v>2146</v>
      </c>
      <c r="E1071">
        <v>43928.31</v>
      </c>
      <c r="F1071">
        <v>0</v>
      </c>
      <c r="G1071" t="s">
        <v>2147</v>
      </c>
      <c r="H1071">
        <v>0</v>
      </c>
      <c r="I1071">
        <v>43928.31</v>
      </c>
      <c r="J1071">
        <v>1</v>
      </c>
      <c r="K1071">
        <v>0</v>
      </c>
      <c r="L1071">
        <v>17</v>
      </c>
      <c r="M1071">
        <v>0</v>
      </c>
      <c r="N1071">
        <v>1</v>
      </c>
      <c r="O1071">
        <v>43928.31</v>
      </c>
      <c r="P1071">
        <f>IF(C1071&gt;=200000,5,IF(C1071&gt;=100000,4,IF(C1071&gt;=50000,3,IF(C1071&gt;=10000,2,1))))</f>
        <v>2</v>
      </c>
      <c r="Q1071">
        <f>IF(B1071="TRANSFER",5,IF(B1071="CASH_OUT",4,IF(B1071="DEBIT",2,1)))</f>
        <v>4</v>
      </c>
      <c r="R1071">
        <f>(P1071*0.5)+(Q1071*0.3)+(N1071*0.1)+(M1071*0.1)</f>
        <v>2.3000000000000003</v>
      </c>
      <c r="S1071" t="str">
        <f t="shared" si="16"/>
        <v>MEDIUM</v>
      </c>
    </row>
    <row r="1072" spans="1:19" x14ac:dyDescent="0.3">
      <c r="A1072">
        <v>89</v>
      </c>
      <c r="B1072" t="s">
        <v>15</v>
      </c>
      <c r="C1072">
        <v>268230.43</v>
      </c>
      <c r="D1072" t="s">
        <v>2148</v>
      </c>
      <c r="E1072">
        <v>268230.43</v>
      </c>
      <c r="F1072">
        <v>0</v>
      </c>
      <c r="G1072" t="s">
        <v>2149</v>
      </c>
      <c r="H1072">
        <v>0</v>
      </c>
      <c r="I1072">
        <v>0</v>
      </c>
      <c r="J1072">
        <v>1</v>
      </c>
      <c r="K1072">
        <v>0</v>
      </c>
      <c r="L1072">
        <v>17</v>
      </c>
      <c r="M1072">
        <v>0</v>
      </c>
      <c r="N1072">
        <v>1</v>
      </c>
      <c r="O1072">
        <v>268230.43</v>
      </c>
      <c r="P1072">
        <f>IF(C1072&gt;=200000,5,IF(C1072&gt;=100000,4,IF(C1072&gt;=50000,3,IF(C1072&gt;=10000,2,1))))</f>
        <v>5</v>
      </c>
      <c r="Q1072">
        <f>IF(B1072="TRANSFER",5,IF(B1072="CASH_OUT",4,IF(B1072="DEBIT",2,1)))</f>
        <v>5</v>
      </c>
      <c r="R1072">
        <f>(P1072*0.5)+(Q1072*0.3)+(N1072*0.1)+(M1072*0.1)</f>
        <v>4.0999999999999996</v>
      </c>
      <c r="S1072" t="str">
        <f t="shared" si="16"/>
        <v>HIGH</v>
      </c>
    </row>
    <row r="1073" spans="1:19" x14ac:dyDescent="0.3">
      <c r="A1073">
        <v>89</v>
      </c>
      <c r="B1073" t="s">
        <v>18</v>
      </c>
      <c r="C1073">
        <v>268230.43</v>
      </c>
      <c r="D1073" t="s">
        <v>2150</v>
      </c>
      <c r="E1073">
        <v>268230.43</v>
      </c>
      <c r="F1073">
        <v>0</v>
      </c>
      <c r="G1073" t="s">
        <v>2151</v>
      </c>
      <c r="H1073">
        <v>0</v>
      </c>
      <c r="I1073">
        <v>268230.43</v>
      </c>
      <c r="J1073">
        <v>1</v>
      </c>
      <c r="K1073">
        <v>0</v>
      </c>
      <c r="L1073">
        <v>17</v>
      </c>
      <c r="M1073">
        <v>0</v>
      </c>
      <c r="N1073">
        <v>1</v>
      </c>
      <c r="O1073">
        <v>268230.43</v>
      </c>
      <c r="P1073">
        <f>IF(C1073&gt;=200000,5,IF(C1073&gt;=100000,4,IF(C1073&gt;=50000,3,IF(C1073&gt;=10000,2,1))))</f>
        <v>5</v>
      </c>
      <c r="Q1073">
        <f>IF(B1073="TRANSFER",5,IF(B1073="CASH_OUT",4,IF(B1073="DEBIT",2,1)))</f>
        <v>4</v>
      </c>
      <c r="R1073">
        <f>(P1073*0.5)+(Q1073*0.3)+(N1073*0.1)+(M1073*0.1)</f>
        <v>3.8000000000000003</v>
      </c>
      <c r="S1073" t="str">
        <f t="shared" si="16"/>
        <v>HIGH</v>
      </c>
    </row>
    <row r="1074" spans="1:19" x14ac:dyDescent="0.3">
      <c r="A1074">
        <v>90</v>
      </c>
      <c r="B1074" t="s">
        <v>15</v>
      </c>
      <c r="C1074">
        <v>1182557.97</v>
      </c>
      <c r="D1074" t="s">
        <v>2152</v>
      </c>
      <c r="E1074">
        <v>1182557.97</v>
      </c>
      <c r="F1074">
        <v>0</v>
      </c>
      <c r="G1074" t="s">
        <v>2153</v>
      </c>
      <c r="H1074">
        <v>0</v>
      </c>
      <c r="I1074">
        <v>0</v>
      </c>
      <c r="J1074">
        <v>1</v>
      </c>
      <c r="K1074">
        <v>0</v>
      </c>
      <c r="L1074">
        <v>18</v>
      </c>
      <c r="M1074">
        <v>0</v>
      </c>
      <c r="N1074">
        <v>1</v>
      </c>
      <c r="O1074">
        <v>1182557.97</v>
      </c>
      <c r="P1074">
        <f>IF(C1074&gt;=200000,5,IF(C1074&gt;=100000,4,IF(C1074&gt;=50000,3,IF(C1074&gt;=10000,2,1))))</f>
        <v>5</v>
      </c>
      <c r="Q1074">
        <f>IF(B1074="TRANSFER",5,IF(B1074="CASH_OUT",4,IF(B1074="DEBIT",2,1)))</f>
        <v>5</v>
      </c>
      <c r="R1074">
        <f>(P1074*0.5)+(Q1074*0.3)+(N1074*0.1)+(M1074*0.1)</f>
        <v>4.0999999999999996</v>
      </c>
      <c r="S1074" t="str">
        <f t="shared" si="16"/>
        <v>HIGH</v>
      </c>
    </row>
    <row r="1075" spans="1:19" x14ac:dyDescent="0.3">
      <c r="A1075">
        <v>90</v>
      </c>
      <c r="B1075" t="s">
        <v>18</v>
      </c>
      <c r="C1075">
        <v>1182557.97</v>
      </c>
      <c r="D1075" t="s">
        <v>2154</v>
      </c>
      <c r="E1075">
        <v>1182557.97</v>
      </c>
      <c r="F1075">
        <v>0</v>
      </c>
      <c r="G1075" t="s">
        <v>2155</v>
      </c>
      <c r="H1075">
        <v>141273.74</v>
      </c>
      <c r="I1075">
        <v>1323831.71</v>
      </c>
      <c r="J1075">
        <v>1</v>
      </c>
      <c r="K1075">
        <v>0</v>
      </c>
      <c r="L1075">
        <v>18</v>
      </c>
      <c r="M1075">
        <v>0</v>
      </c>
      <c r="N1075">
        <v>1</v>
      </c>
      <c r="O1075">
        <v>1182557.97</v>
      </c>
      <c r="P1075">
        <f>IF(C1075&gt;=200000,5,IF(C1075&gt;=100000,4,IF(C1075&gt;=50000,3,IF(C1075&gt;=10000,2,1))))</f>
        <v>5</v>
      </c>
      <c r="Q1075">
        <f>IF(B1075="TRANSFER",5,IF(B1075="CASH_OUT",4,IF(B1075="DEBIT",2,1)))</f>
        <v>4</v>
      </c>
      <c r="R1075">
        <f>(P1075*0.5)+(Q1075*0.3)+(N1075*0.1)+(M1075*0.1)</f>
        <v>3.8000000000000003</v>
      </c>
      <c r="S1075" t="str">
        <f t="shared" si="16"/>
        <v>HIGH</v>
      </c>
    </row>
    <row r="1076" spans="1:19" x14ac:dyDescent="0.3">
      <c r="A1076">
        <v>90</v>
      </c>
      <c r="B1076" t="s">
        <v>15</v>
      </c>
      <c r="C1076">
        <v>113309.55</v>
      </c>
      <c r="D1076" t="s">
        <v>2156</v>
      </c>
      <c r="E1076">
        <v>113309.55</v>
      </c>
      <c r="F1076">
        <v>0</v>
      </c>
      <c r="G1076" t="s">
        <v>2157</v>
      </c>
      <c r="H1076">
        <v>0</v>
      </c>
      <c r="I1076">
        <v>0</v>
      </c>
      <c r="J1076">
        <v>1</v>
      </c>
      <c r="K1076">
        <v>0</v>
      </c>
      <c r="L1076">
        <v>18</v>
      </c>
      <c r="M1076">
        <v>0</v>
      </c>
      <c r="N1076">
        <v>1</v>
      </c>
      <c r="O1076">
        <v>113309.55</v>
      </c>
      <c r="P1076">
        <f>IF(C1076&gt;=200000,5,IF(C1076&gt;=100000,4,IF(C1076&gt;=50000,3,IF(C1076&gt;=10000,2,1))))</f>
        <v>4</v>
      </c>
      <c r="Q1076">
        <f>IF(B1076="TRANSFER",5,IF(B1076="CASH_OUT",4,IF(B1076="DEBIT",2,1)))</f>
        <v>5</v>
      </c>
      <c r="R1076">
        <f>(P1076*0.5)+(Q1076*0.3)+(N1076*0.1)+(M1076*0.1)</f>
        <v>3.6</v>
      </c>
      <c r="S1076" t="str">
        <f t="shared" si="16"/>
        <v>HIGH</v>
      </c>
    </row>
    <row r="1077" spans="1:19" x14ac:dyDescent="0.3">
      <c r="A1077">
        <v>90</v>
      </c>
      <c r="B1077" t="s">
        <v>18</v>
      </c>
      <c r="C1077">
        <v>113309.55</v>
      </c>
      <c r="D1077" t="s">
        <v>2158</v>
      </c>
      <c r="E1077">
        <v>113309.55</v>
      </c>
      <c r="F1077">
        <v>0</v>
      </c>
      <c r="G1077" t="s">
        <v>2159</v>
      </c>
      <c r="H1077">
        <v>0</v>
      </c>
      <c r="I1077">
        <v>113309.55</v>
      </c>
      <c r="J1077">
        <v>1</v>
      </c>
      <c r="K1077">
        <v>0</v>
      </c>
      <c r="L1077">
        <v>18</v>
      </c>
      <c r="M1077">
        <v>0</v>
      </c>
      <c r="N1077">
        <v>1</v>
      </c>
      <c r="O1077">
        <v>113309.55</v>
      </c>
      <c r="P1077">
        <f>IF(C1077&gt;=200000,5,IF(C1077&gt;=100000,4,IF(C1077&gt;=50000,3,IF(C1077&gt;=10000,2,1))))</f>
        <v>4</v>
      </c>
      <c r="Q1077">
        <f>IF(B1077="TRANSFER",5,IF(B1077="CASH_OUT",4,IF(B1077="DEBIT",2,1)))</f>
        <v>4</v>
      </c>
      <c r="R1077">
        <f>(P1077*0.5)+(Q1077*0.3)+(N1077*0.1)+(M1077*0.1)</f>
        <v>3.3000000000000003</v>
      </c>
      <c r="S1077" t="str">
        <f t="shared" si="16"/>
        <v>HIGH</v>
      </c>
    </row>
    <row r="1078" spans="1:19" x14ac:dyDescent="0.3">
      <c r="A1078">
        <v>90</v>
      </c>
      <c r="B1078" t="s">
        <v>15</v>
      </c>
      <c r="C1078">
        <v>703833.48</v>
      </c>
      <c r="D1078" t="s">
        <v>2160</v>
      </c>
      <c r="E1078">
        <v>703833.48</v>
      </c>
      <c r="F1078">
        <v>0</v>
      </c>
      <c r="G1078" t="s">
        <v>2161</v>
      </c>
      <c r="H1078">
        <v>0</v>
      </c>
      <c r="I1078">
        <v>0</v>
      </c>
      <c r="J1078">
        <v>1</v>
      </c>
      <c r="K1078">
        <v>0</v>
      </c>
      <c r="L1078">
        <v>18</v>
      </c>
      <c r="M1078">
        <v>0</v>
      </c>
      <c r="N1078">
        <v>1</v>
      </c>
      <c r="O1078">
        <v>703833.48</v>
      </c>
      <c r="P1078">
        <f>IF(C1078&gt;=200000,5,IF(C1078&gt;=100000,4,IF(C1078&gt;=50000,3,IF(C1078&gt;=10000,2,1))))</f>
        <v>5</v>
      </c>
      <c r="Q1078">
        <f>IF(B1078="TRANSFER",5,IF(B1078="CASH_OUT",4,IF(B1078="DEBIT",2,1)))</f>
        <v>5</v>
      </c>
      <c r="R1078">
        <f>(P1078*0.5)+(Q1078*0.3)+(N1078*0.1)+(M1078*0.1)</f>
        <v>4.0999999999999996</v>
      </c>
      <c r="S1078" t="str">
        <f t="shared" si="16"/>
        <v>HIGH</v>
      </c>
    </row>
    <row r="1079" spans="1:19" x14ac:dyDescent="0.3">
      <c r="A1079">
        <v>90</v>
      </c>
      <c r="B1079" t="s">
        <v>18</v>
      </c>
      <c r="C1079">
        <v>703833.48</v>
      </c>
      <c r="D1079" t="s">
        <v>2162</v>
      </c>
      <c r="E1079">
        <v>703833.48</v>
      </c>
      <c r="F1079">
        <v>0</v>
      </c>
      <c r="G1079" t="s">
        <v>2163</v>
      </c>
      <c r="H1079">
        <v>0</v>
      </c>
      <c r="I1079">
        <v>703833.48</v>
      </c>
      <c r="J1079">
        <v>1</v>
      </c>
      <c r="K1079">
        <v>0</v>
      </c>
      <c r="L1079">
        <v>18</v>
      </c>
      <c r="M1079">
        <v>0</v>
      </c>
      <c r="N1079">
        <v>1</v>
      </c>
      <c r="O1079">
        <v>703833.48</v>
      </c>
      <c r="P1079">
        <f>IF(C1079&gt;=200000,5,IF(C1079&gt;=100000,4,IF(C1079&gt;=50000,3,IF(C1079&gt;=10000,2,1))))</f>
        <v>5</v>
      </c>
      <c r="Q1079">
        <f>IF(B1079="TRANSFER",5,IF(B1079="CASH_OUT",4,IF(B1079="DEBIT",2,1)))</f>
        <v>4</v>
      </c>
      <c r="R1079">
        <f>(P1079*0.5)+(Q1079*0.3)+(N1079*0.1)+(M1079*0.1)</f>
        <v>3.8000000000000003</v>
      </c>
      <c r="S1079" t="str">
        <f t="shared" si="16"/>
        <v>HIGH</v>
      </c>
    </row>
    <row r="1080" spans="1:19" x14ac:dyDescent="0.3">
      <c r="A1080">
        <v>90</v>
      </c>
      <c r="B1080" t="s">
        <v>15</v>
      </c>
      <c r="C1080">
        <v>134515.35999999999</v>
      </c>
      <c r="D1080" t="s">
        <v>2164</v>
      </c>
      <c r="E1080">
        <v>134515.35999999999</v>
      </c>
      <c r="F1080">
        <v>0</v>
      </c>
      <c r="G1080" t="s">
        <v>2165</v>
      </c>
      <c r="H1080">
        <v>0</v>
      </c>
      <c r="I1080">
        <v>0</v>
      </c>
      <c r="J1080">
        <v>1</v>
      </c>
      <c r="K1080">
        <v>0</v>
      </c>
      <c r="L1080">
        <v>18</v>
      </c>
      <c r="M1080">
        <v>0</v>
      </c>
      <c r="N1080">
        <v>1</v>
      </c>
      <c r="O1080">
        <v>134515.35999999999</v>
      </c>
      <c r="P1080">
        <f>IF(C1080&gt;=200000,5,IF(C1080&gt;=100000,4,IF(C1080&gt;=50000,3,IF(C1080&gt;=10000,2,1))))</f>
        <v>4</v>
      </c>
      <c r="Q1080">
        <f>IF(B1080="TRANSFER",5,IF(B1080="CASH_OUT",4,IF(B1080="DEBIT",2,1)))</f>
        <v>5</v>
      </c>
      <c r="R1080">
        <f>(P1080*0.5)+(Q1080*0.3)+(N1080*0.1)+(M1080*0.1)</f>
        <v>3.6</v>
      </c>
      <c r="S1080" t="str">
        <f t="shared" si="16"/>
        <v>HIGH</v>
      </c>
    </row>
    <row r="1081" spans="1:19" x14ac:dyDescent="0.3">
      <c r="A1081">
        <v>90</v>
      </c>
      <c r="B1081" t="s">
        <v>18</v>
      </c>
      <c r="C1081">
        <v>134515.35999999999</v>
      </c>
      <c r="D1081" t="s">
        <v>2166</v>
      </c>
      <c r="E1081">
        <v>134515.35999999999</v>
      </c>
      <c r="F1081">
        <v>0</v>
      </c>
      <c r="G1081" t="s">
        <v>2167</v>
      </c>
      <c r="H1081">
        <v>29488.06</v>
      </c>
      <c r="I1081">
        <v>164003.41</v>
      </c>
      <c r="J1081">
        <v>1</v>
      </c>
      <c r="K1081">
        <v>0</v>
      </c>
      <c r="L1081">
        <v>18</v>
      </c>
      <c r="M1081">
        <v>0</v>
      </c>
      <c r="N1081">
        <v>1</v>
      </c>
      <c r="O1081">
        <v>134515.35999999999</v>
      </c>
      <c r="P1081">
        <f>IF(C1081&gt;=200000,5,IF(C1081&gt;=100000,4,IF(C1081&gt;=50000,3,IF(C1081&gt;=10000,2,1))))</f>
        <v>4</v>
      </c>
      <c r="Q1081">
        <f>IF(B1081="TRANSFER",5,IF(B1081="CASH_OUT",4,IF(B1081="DEBIT",2,1)))</f>
        <v>4</v>
      </c>
      <c r="R1081">
        <f>(P1081*0.5)+(Q1081*0.3)+(N1081*0.1)+(M1081*0.1)</f>
        <v>3.3000000000000003</v>
      </c>
      <c r="S1081" t="str">
        <f t="shared" si="16"/>
        <v>HIGH</v>
      </c>
    </row>
    <row r="1082" spans="1:19" x14ac:dyDescent="0.3">
      <c r="A1082">
        <v>90</v>
      </c>
      <c r="B1082" t="s">
        <v>15</v>
      </c>
      <c r="C1082">
        <v>266746.42</v>
      </c>
      <c r="D1082" t="s">
        <v>2168</v>
      </c>
      <c r="E1082">
        <v>266746.42</v>
      </c>
      <c r="F1082">
        <v>0</v>
      </c>
      <c r="G1082" t="s">
        <v>2169</v>
      </c>
      <c r="H1082">
        <v>0</v>
      </c>
      <c r="I1082">
        <v>0</v>
      </c>
      <c r="J1082">
        <v>1</v>
      </c>
      <c r="K1082">
        <v>0</v>
      </c>
      <c r="L1082">
        <v>18</v>
      </c>
      <c r="M1082">
        <v>0</v>
      </c>
      <c r="N1082">
        <v>1</v>
      </c>
      <c r="O1082">
        <v>266746.42</v>
      </c>
      <c r="P1082">
        <f>IF(C1082&gt;=200000,5,IF(C1082&gt;=100000,4,IF(C1082&gt;=50000,3,IF(C1082&gt;=10000,2,1))))</f>
        <v>5</v>
      </c>
      <c r="Q1082">
        <f>IF(B1082="TRANSFER",5,IF(B1082="CASH_OUT",4,IF(B1082="DEBIT",2,1)))</f>
        <v>5</v>
      </c>
      <c r="R1082">
        <f>(P1082*0.5)+(Q1082*0.3)+(N1082*0.1)+(M1082*0.1)</f>
        <v>4.0999999999999996</v>
      </c>
      <c r="S1082" t="str">
        <f t="shared" si="16"/>
        <v>HIGH</v>
      </c>
    </row>
    <row r="1083" spans="1:19" x14ac:dyDescent="0.3">
      <c r="A1083">
        <v>90</v>
      </c>
      <c r="B1083" t="s">
        <v>18</v>
      </c>
      <c r="C1083">
        <v>266746.42</v>
      </c>
      <c r="D1083" t="s">
        <v>2170</v>
      </c>
      <c r="E1083">
        <v>266746.42</v>
      </c>
      <c r="F1083">
        <v>0</v>
      </c>
      <c r="G1083" t="s">
        <v>2171</v>
      </c>
      <c r="H1083">
        <v>4433931.7699999996</v>
      </c>
      <c r="I1083">
        <v>4700678.1900000004</v>
      </c>
      <c r="J1083">
        <v>1</v>
      </c>
      <c r="K1083">
        <v>0</v>
      </c>
      <c r="L1083">
        <v>18</v>
      </c>
      <c r="M1083">
        <v>0</v>
      </c>
      <c r="N1083">
        <v>1</v>
      </c>
      <c r="O1083">
        <v>266746.42</v>
      </c>
      <c r="P1083">
        <f>IF(C1083&gt;=200000,5,IF(C1083&gt;=100000,4,IF(C1083&gt;=50000,3,IF(C1083&gt;=10000,2,1))))</f>
        <v>5</v>
      </c>
      <c r="Q1083">
        <f>IF(B1083="TRANSFER",5,IF(B1083="CASH_OUT",4,IF(B1083="DEBIT",2,1)))</f>
        <v>4</v>
      </c>
      <c r="R1083">
        <f>(P1083*0.5)+(Q1083*0.3)+(N1083*0.1)+(M1083*0.1)</f>
        <v>3.8000000000000003</v>
      </c>
      <c r="S1083" t="str">
        <f t="shared" si="16"/>
        <v>HIGH</v>
      </c>
    </row>
    <row r="1084" spans="1:19" x14ac:dyDescent="0.3">
      <c r="A1084">
        <v>90</v>
      </c>
      <c r="B1084" t="s">
        <v>15</v>
      </c>
      <c r="C1084">
        <v>7696836.3499999996</v>
      </c>
      <c r="D1084" t="s">
        <v>2172</v>
      </c>
      <c r="E1084">
        <v>7696836.3499999996</v>
      </c>
      <c r="F1084">
        <v>0</v>
      </c>
      <c r="G1084" t="s">
        <v>2173</v>
      </c>
      <c r="H1084">
        <v>0</v>
      </c>
      <c r="I1084">
        <v>0</v>
      </c>
      <c r="J1084">
        <v>1</v>
      </c>
      <c r="K1084">
        <v>0</v>
      </c>
      <c r="L1084">
        <v>18</v>
      </c>
      <c r="M1084">
        <v>0</v>
      </c>
      <c r="N1084">
        <v>1</v>
      </c>
      <c r="O1084">
        <v>7696836.3499999996</v>
      </c>
      <c r="P1084">
        <f>IF(C1084&gt;=200000,5,IF(C1084&gt;=100000,4,IF(C1084&gt;=50000,3,IF(C1084&gt;=10000,2,1))))</f>
        <v>5</v>
      </c>
      <c r="Q1084">
        <f>IF(B1084="TRANSFER",5,IF(B1084="CASH_OUT",4,IF(B1084="DEBIT",2,1)))</f>
        <v>5</v>
      </c>
      <c r="R1084">
        <f>(P1084*0.5)+(Q1084*0.3)+(N1084*0.1)+(M1084*0.1)</f>
        <v>4.0999999999999996</v>
      </c>
      <c r="S1084" t="str">
        <f t="shared" si="16"/>
        <v>HIGH</v>
      </c>
    </row>
    <row r="1085" spans="1:19" x14ac:dyDescent="0.3">
      <c r="A1085">
        <v>90</v>
      </c>
      <c r="B1085" t="s">
        <v>18</v>
      </c>
      <c r="C1085">
        <v>7696836.3499999996</v>
      </c>
      <c r="D1085" t="s">
        <v>2174</v>
      </c>
      <c r="E1085">
        <v>7696836.3499999996</v>
      </c>
      <c r="F1085">
        <v>0</v>
      </c>
      <c r="G1085" t="s">
        <v>2175</v>
      </c>
      <c r="H1085">
        <v>180993.45</v>
      </c>
      <c r="I1085">
        <v>7877829.7999999998</v>
      </c>
      <c r="J1085">
        <v>1</v>
      </c>
      <c r="K1085">
        <v>0</v>
      </c>
      <c r="L1085">
        <v>18</v>
      </c>
      <c r="M1085">
        <v>0</v>
      </c>
      <c r="N1085">
        <v>1</v>
      </c>
      <c r="O1085">
        <v>7696836.3499999996</v>
      </c>
      <c r="P1085">
        <f>IF(C1085&gt;=200000,5,IF(C1085&gt;=100000,4,IF(C1085&gt;=50000,3,IF(C1085&gt;=10000,2,1))))</f>
        <v>5</v>
      </c>
      <c r="Q1085">
        <f>IF(B1085="TRANSFER",5,IF(B1085="CASH_OUT",4,IF(B1085="DEBIT",2,1)))</f>
        <v>4</v>
      </c>
      <c r="R1085">
        <f>(P1085*0.5)+(Q1085*0.3)+(N1085*0.1)+(M1085*0.1)</f>
        <v>3.8000000000000003</v>
      </c>
      <c r="S1085" t="str">
        <f t="shared" si="16"/>
        <v>HIGH</v>
      </c>
    </row>
    <row r="1086" spans="1:19" x14ac:dyDescent="0.3">
      <c r="A1086">
        <v>90</v>
      </c>
      <c r="B1086" t="s">
        <v>15</v>
      </c>
      <c r="C1086">
        <v>39664.74</v>
      </c>
      <c r="D1086" t="s">
        <v>2176</v>
      </c>
      <c r="E1086">
        <v>39664.74</v>
      </c>
      <c r="F1086">
        <v>0</v>
      </c>
      <c r="G1086" t="s">
        <v>2177</v>
      </c>
      <c r="H1086">
        <v>0</v>
      </c>
      <c r="I1086">
        <v>0</v>
      </c>
      <c r="J1086">
        <v>1</v>
      </c>
      <c r="K1086">
        <v>0</v>
      </c>
      <c r="L1086">
        <v>18</v>
      </c>
      <c r="M1086">
        <v>0</v>
      </c>
      <c r="N1086">
        <v>1</v>
      </c>
      <c r="O1086">
        <v>39664.74</v>
      </c>
      <c r="P1086">
        <f>IF(C1086&gt;=200000,5,IF(C1086&gt;=100000,4,IF(C1086&gt;=50000,3,IF(C1086&gt;=10000,2,1))))</f>
        <v>2</v>
      </c>
      <c r="Q1086">
        <f>IF(B1086="TRANSFER",5,IF(B1086="CASH_OUT",4,IF(B1086="DEBIT",2,1)))</f>
        <v>5</v>
      </c>
      <c r="R1086">
        <f>(P1086*0.5)+(Q1086*0.3)+(N1086*0.1)+(M1086*0.1)</f>
        <v>2.6</v>
      </c>
      <c r="S1086" t="str">
        <f t="shared" si="16"/>
        <v>MEDIUM</v>
      </c>
    </row>
    <row r="1087" spans="1:19" x14ac:dyDescent="0.3">
      <c r="A1087">
        <v>90</v>
      </c>
      <c r="B1087" t="s">
        <v>18</v>
      </c>
      <c r="C1087">
        <v>39664.74</v>
      </c>
      <c r="D1087" t="s">
        <v>2178</v>
      </c>
      <c r="E1087">
        <v>39664.74</v>
      </c>
      <c r="F1087">
        <v>0</v>
      </c>
      <c r="G1087" t="s">
        <v>2179</v>
      </c>
      <c r="H1087">
        <v>0</v>
      </c>
      <c r="I1087">
        <v>39664.74</v>
      </c>
      <c r="J1087">
        <v>1</v>
      </c>
      <c r="K1087">
        <v>0</v>
      </c>
      <c r="L1087">
        <v>18</v>
      </c>
      <c r="M1087">
        <v>0</v>
      </c>
      <c r="N1087">
        <v>1</v>
      </c>
      <c r="O1087">
        <v>39664.74</v>
      </c>
      <c r="P1087">
        <f>IF(C1087&gt;=200000,5,IF(C1087&gt;=100000,4,IF(C1087&gt;=50000,3,IF(C1087&gt;=10000,2,1))))</f>
        <v>2</v>
      </c>
      <c r="Q1087">
        <f>IF(B1087="TRANSFER",5,IF(B1087="CASH_OUT",4,IF(B1087="DEBIT",2,1)))</f>
        <v>4</v>
      </c>
      <c r="R1087">
        <f>(P1087*0.5)+(Q1087*0.3)+(N1087*0.1)+(M1087*0.1)</f>
        <v>2.3000000000000003</v>
      </c>
      <c r="S1087" t="str">
        <f t="shared" si="16"/>
        <v>MEDIUM</v>
      </c>
    </row>
    <row r="1088" spans="1:19" x14ac:dyDescent="0.3">
      <c r="A1088">
        <v>90</v>
      </c>
      <c r="B1088" t="s">
        <v>15</v>
      </c>
      <c r="C1088">
        <v>249791.3</v>
      </c>
      <c r="D1088" t="s">
        <v>2180</v>
      </c>
      <c r="E1088">
        <v>249791.3</v>
      </c>
      <c r="F1088">
        <v>0</v>
      </c>
      <c r="G1088" t="s">
        <v>2181</v>
      </c>
      <c r="H1088">
        <v>0</v>
      </c>
      <c r="I1088">
        <v>0</v>
      </c>
      <c r="J1088">
        <v>1</v>
      </c>
      <c r="K1088">
        <v>0</v>
      </c>
      <c r="L1088">
        <v>18</v>
      </c>
      <c r="M1088">
        <v>0</v>
      </c>
      <c r="N1088">
        <v>1</v>
      </c>
      <c r="O1088">
        <v>249791.3</v>
      </c>
      <c r="P1088">
        <f>IF(C1088&gt;=200000,5,IF(C1088&gt;=100000,4,IF(C1088&gt;=50000,3,IF(C1088&gt;=10000,2,1))))</f>
        <v>5</v>
      </c>
      <c r="Q1088">
        <f>IF(B1088="TRANSFER",5,IF(B1088="CASH_OUT",4,IF(B1088="DEBIT",2,1)))</f>
        <v>5</v>
      </c>
      <c r="R1088">
        <f>(P1088*0.5)+(Q1088*0.3)+(N1088*0.1)+(M1088*0.1)</f>
        <v>4.0999999999999996</v>
      </c>
      <c r="S1088" t="str">
        <f t="shared" si="16"/>
        <v>HIGH</v>
      </c>
    </row>
    <row r="1089" spans="1:19" x14ac:dyDescent="0.3">
      <c r="A1089">
        <v>90</v>
      </c>
      <c r="B1089" t="s">
        <v>18</v>
      </c>
      <c r="C1089">
        <v>249791.3</v>
      </c>
      <c r="D1089" t="s">
        <v>2182</v>
      </c>
      <c r="E1089">
        <v>249791.3</v>
      </c>
      <c r="F1089">
        <v>0</v>
      </c>
      <c r="G1089" t="s">
        <v>2183</v>
      </c>
      <c r="H1089">
        <v>0</v>
      </c>
      <c r="I1089">
        <v>249791.3</v>
      </c>
      <c r="J1089">
        <v>1</v>
      </c>
      <c r="K1089">
        <v>0</v>
      </c>
      <c r="L1089">
        <v>18</v>
      </c>
      <c r="M1089">
        <v>0</v>
      </c>
      <c r="N1089">
        <v>1</v>
      </c>
      <c r="O1089">
        <v>249791.3</v>
      </c>
      <c r="P1089">
        <f>IF(C1089&gt;=200000,5,IF(C1089&gt;=100000,4,IF(C1089&gt;=50000,3,IF(C1089&gt;=10000,2,1))))</f>
        <v>5</v>
      </c>
      <c r="Q1089">
        <f>IF(B1089="TRANSFER",5,IF(B1089="CASH_OUT",4,IF(B1089="DEBIT",2,1)))</f>
        <v>4</v>
      </c>
      <c r="R1089">
        <f>(P1089*0.5)+(Q1089*0.3)+(N1089*0.1)+(M1089*0.1)</f>
        <v>3.8000000000000003</v>
      </c>
      <c r="S1089" t="str">
        <f t="shared" si="16"/>
        <v>HIGH</v>
      </c>
    </row>
    <row r="1090" spans="1:19" x14ac:dyDescent="0.3">
      <c r="A1090">
        <v>91</v>
      </c>
      <c r="B1090" t="s">
        <v>15</v>
      </c>
      <c r="C1090">
        <v>921668.95</v>
      </c>
      <c r="D1090" t="s">
        <v>2184</v>
      </c>
      <c r="E1090">
        <v>921668.95</v>
      </c>
      <c r="F1090">
        <v>0</v>
      </c>
      <c r="G1090" t="s">
        <v>2185</v>
      </c>
      <c r="H1090">
        <v>0</v>
      </c>
      <c r="I1090">
        <v>0</v>
      </c>
      <c r="J1090">
        <v>1</v>
      </c>
      <c r="K1090">
        <v>0</v>
      </c>
      <c r="L1090">
        <v>19</v>
      </c>
      <c r="M1090">
        <v>0</v>
      </c>
      <c r="N1090">
        <v>1</v>
      </c>
      <c r="O1090">
        <v>921668.95</v>
      </c>
      <c r="P1090">
        <f>IF(C1090&gt;=200000,5,IF(C1090&gt;=100000,4,IF(C1090&gt;=50000,3,IF(C1090&gt;=10000,2,1))))</f>
        <v>5</v>
      </c>
      <c r="Q1090">
        <f>IF(B1090="TRANSFER",5,IF(B1090="CASH_OUT",4,IF(B1090="DEBIT",2,1)))</f>
        <v>5</v>
      </c>
      <c r="R1090">
        <f>(P1090*0.5)+(Q1090*0.3)+(N1090*0.1)+(M1090*0.1)</f>
        <v>4.0999999999999996</v>
      </c>
      <c r="S1090" t="str">
        <f t="shared" si="16"/>
        <v>HIGH</v>
      </c>
    </row>
    <row r="1091" spans="1:19" x14ac:dyDescent="0.3">
      <c r="A1091">
        <v>91</v>
      </c>
      <c r="B1091" t="s">
        <v>18</v>
      </c>
      <c r="C1091">
        <v>921668.95</v>
      </c>
      <c r="D1091" t="s">
        <v>2186</v>
      </c>
      <c r="E1091">
        <v>921668.95</v>
      </c>
      <c r="F1091">
        <v>0</v>
      </c>
      <c r="G1091" t="s">
        <v>2187</v>
      </c>
      <c r="H1091">
        <v>96395.54</v>
      </c>
      <c r="I1091">
        <v>1018064.5</v>
      </c>
      <c r="J1091">
        <v>1</v>
      </c>
      <c r="K1091">
        <v>0</v>
      </c>
      <c r="L1091">
        <v>19</v>
      </c>
      <c r="M1091">
        <v>0</v>
      </c>
      <c r="N1091">
        <v>1</v>
      </c>
      <c r="O1091">
        <v>921668.95</v>
      </c>
      <c r="P1091">
        <f>IF(C1091&gt;=200000,5,IF(C1091&gt;=100000,4,IF(C1091&gt;=50000,3,IF(C1091&gt;=10000,2,1))))</f>
        <v>5</v>
      </c>
      <c r="Q1091">
        <f>IF(B1091="TRANSFER",5,IF(B1091="CASH_OUT",4,IF(B1091="DEBIT",2,1)))</f>
        <v>4</v>
      </c>
      <c r="R1091">
        <f>(P1091*0.5)+(Q1091*0.3)+(N1091*0.1)+(M1091*0.1)</f>
        <v>3.8000000000000003</v>
      </c>
      <c r="S1091" t="str">
        <f t="shared" ref="S1091:S1143" si="17">IF(R1091&gt;=3,"HIGH",IF(R1091&gt;=2,"MEDIUM","LOW"))</f>
        <v>HIGH</v>
      </c>
    </row>
    <row r="1092" spans="1:19" x14ac:dyDescent="0.3">
      <c r="A1092">
        <v>91</v>
      </c>
      <c r="B1092" t="s">
        <v>15</v>
      </c>
      <c r="C1092">
        <v>737285.03</v>
      </c>
      <c r="D1092" t="s">
        <v>2188</v>
      </c>
      <c r="E1092">
        <v>737285.03</v>
      </c>
      <c r="F1092">
        <v>0</v>
      </c>
      <c r="G1092" t="s">
        <v>2189</v>
      </c>
      <c r="H1092">
        <v>0</v>
      </c>
      <c r="I1092">
        <v>0</v>
      </c>
      <c r="J1092">
        <v>1</v>
      </c>
      <c r="K1092">
        <v>0</v>
      </c>
      <c r="L1092">
        <v>19</v>
      </c>
      <c r="M1092">
        <v>0</v>
      </c>
      <c r="N1092">
        <v>1</v>
      </c>
      <c r="O1092">
        <v>737285.03</v>
      </c>
      <c r="P1092">
        <f>IF(C1092&gt;=200000,5,IF(C1092&gt;=100000,4,IF(C1092&gt;=50000,3,IF(C1092&gt;=10000,2,1))))</f>
        <v>5</v>
      </c>
      <c r="Q1092">
        <f>IF(B1092="TRANSFER",5,IF(B1092="CASH_OUT",4,IF(B1092="DEBIT",2,1)))</f>
        <v>5</v>
      </c>
      <c r="R1092">
        <f>(P1092*0.5)+(Q1092*0.3)+(N1092*0.1)+(M1092*0.1)</f>
        <v>4.0999999999999996</v>
      </c>
      <c r="S1092" t="str">
        <f t="shared" si="17"/>
        <v>HIGH</v>
      </c>
    </row>
    <row r="1093" spans="1:19" x14ac:dyDescent="0.3">
      <c r="A1093">
        <v>91</v>
      </c>
      <c r="B1093" t="s">
        <v>18</v>
      </c>
      <c r="C1093">
        <v>737285.03</v>
      </c>
      <c r="D1093" t="s">
        <v>2190</v>
      </c>
      <c r="E1093">
        <v>737285.03</v>
      </c>
      <c r="F1093">
        <v>0</v>
      </c>
      <c r="G1093" t="s">
        <v>2191</v>
      </c>
      <c r="H1093">
        <v>0</v>
      </c>
      <c r="I1093">
        <v>737285.03</v>
      </c>
      <c r="J1093">
        <v>1</v>
      </c>
      <c r="K1093">
        <v>0</v>
      </c>
      <c r="L1093">
        <v>19</v>
      </c>
      <c r="M1093">
        <v>0</v>
      </c>
      <c r="N1093">
        <v>1</v>
      </c>
      <c r="O1093">
        <v>737285.03</v>
      </c>
      <c r="P1093">
        <f>IF(C1093&gt;=200000,5,IF(C1093&gt;=100000,4,IF(C1093&gt;=50000,3,IF(C1093&gt;=10000,2,1))))</f>
        <v>5</v>
      </c>
      <c r="Q1093">
        <f>IF(B1093="TRANSFER",5,IF(B1093="CASH_OUT",4,IF(B1093="DEBIT",2,1)))</f>
        <v>4</v>
      </c>
      <c r="R1093">
        <f>(P1093*0.5)+(Q1093*0.3)+(N1093*0.1)+(M1093*0.1)</f>
        <v>3.8000000000000003</v>
      </c>
      <c r="S1093" t="str">
        <f t="shared" si="17"/>
        <v>HIGH</v>
      </c>
    </row>
    <row r="1094" spans="1:19" x14ac:dyDescent="0.3">
      <c r="A1094">
        <v>91</v>
      </c>
      <c r="B1094" t="s">
        <v>15</v>
      </c>
      <c r="C1094">
        <v>28308.97</v>
      </c>
      <c r="D1094" t="s">
        <v>2192</v>
      </c>
      <c r="E1094">
        <v>28308.97</v>
      </c>
      <c r="F1094">
        <v>0</v>
      </c>
      <c r="G1094" t="s">
        <v>2193</v>
      </c>
      <c r="H1094">
        <v>0</v>
      </c>
      <c r="I1094">
        <v>0</v>
      </c>
      <c r="J1094">
        <v>1</v>
      </c>
      <c r="K1094">
        <v>0</v>
      </c>
      <c r="L1094">
        <v>19</v>
      </c>
      <c r="M1094">
        <v>0</v>
      </c>
      <c r="N1094">
        <v>1</v>
      </c>
      <c r="O1094">
        <v>28308.97</v>
      </c>
      <c r="P1094">
        <f>IF(C1094&gt;=200000,5,IF(C1094&gt;=100000,4,IF(C1094&gt;=50000,3,IF(C1094&gt;=10000,2,1))))</f>
        <v>2</v>
      </c>
      <c r="Q1094">
        <f>IF(B1094="TRANSFER",5,IF(B1094="CASH_OUT",4,IF(B1094="DEBIT",2,1)))</f>
        <v>5</v>
      </c>
      <c r="R1094">
        <f>(P1094*0.5)+(Q1094*0.3)+(N1094*0.1)+(M1094*0.1)</f>
        <v>2.6</v>
      </c>
      <c r="S1094" t="str">
        <f t="shared" si="17"/>
        <v>MEDIUM</v>
      </c>
    </row>
    <row r="1095" spans="1:19" x14ac:dyDescent="0.3">
      <c r="A1095">
        <v>91</v>
      </c>
      <c r="B1095" t="s">
        <v>18</v>
      </c>
      <c r="C1095">
        <v>28308.97</v>
      </c>
      <c r="D1095" t="s">
        <v>2194</v>
      </c>
      <c r="E1095">
        <v>28308.97</v>
      </c>
      <c r="F1095">
        <v>0</v>
      </c>
      <c r="G1095" t="s">
        <v>2195</v>
      </c>
      <c r="H1095">
        <v>0</v>
      </c>
      <c r="I1095">
        <v>28308.97</v>
      </c>
      <c r="J1095">
        <v>1</v>
      </c>
      <c r="K1095">
        <v>0</v>
      </c>
      <c r="L1095">
        <v>19</v>
      </c>
      <c r="M1095">
        <v>0</v>
      </c>
      <c r="N1095">
        <v>1</v>
      </c>
      <c r="O1095">
        <v>28308.97</v>
      </c>
      <c r="P1095">
        <f>IF(C1095&gt;=200000,5,IF(C1095&gt;=100000,4,IF(C1095&gt;=50000,3,IF(C1095&gt;=10000,2,1))))</f>
        <v>2</v>
      </c>
      <c r="Q1095">
        <f>IF(B1095="TRANSFER",5,IF(B1095="CASH_OUT",4,IF(B1095="DEBIT",2,1)))</f>
        <v>4</v>
      </c>
      <c r="R1095">
        <f>(P1095*0.5)+(Q1095*0.3)+(N1095*0.1)+(M1095*0.1)</f>
        <v>2.3000000000000003</v>
      </c>
      <c r="S1095" t="str">
        <f t="shared" si="17"/>
        <v>MEDIUM</v>
      </c>
    </row>
    <row r="1096" spans="1:19" x14ac:dyDescent="0.3">
      <c r="A1096">
        <v>91</v>
      </c>
      <c r="B1096" t="s">
        <v>15</v>
      </c>
      <c r="C1096">
        <v>482679.6</v>
      </c>
      <c r="D1096" t="s">
        <v>2196</v>
      </c>
      <c r="E1096">
        <v>482679.6</v>
      </c>
      <c r="F1096">
        <v>0</v>
      </c>
      <c r="G1096" t="s">
        <v>2197</v>
      </c>
      <c r="H1096">
        <v>0</v>
      </c>
      <c r="I1096">
        <v>0</v>
      </c>
      <c r="J1096">
        <v>1</v>
      </c>
      <c r="K1096">
        <v>0</v>
      </c>
      <c r="L1096">
        <v>19</v>
      </c>
      <c r="M1096">
        <v>0</v>
      </c>
      <c r="N1096">
        <v>1</v>
      </c>
      <c r="O1096">
        <v>482679.6</v>
      </c>
      <c r="P1096">
        <f>IF(C1096&gt;=200000,5,IF(C1096&gt;=100000,4,IF(C1096&gt;=50000,3,IF(C1096&gt;=10000,2,1))))</f>
        <v>5</v>
      </c>
      <c r="Q1096">
        <f>IF(B1096="TRANSFER",5,IF(B1096="CASH_OUT",4,IF(B1096="DEBIT",2,1)))</f>
        <v>5</v>
      </c>
      <c r="R1096">
        <f>(P1096*0.5)+(Q1096*0.3)+(N1096*0.1)+(M1096*0.1)</f>
        <v>4.0999999999999996</v>
      </c>
      <c r="S1096" t="str">
        <f t="shared" si="17"/>
        <v>HIGH</v>
      </c>
    </row>
    <row r="1097" spans="1:19" x14ac:dyDescent="0.3">
      <c r="A1097">
        <v>91</v>
      </c>
      <c r="B1097" t="s">
        <v>18</v>
      </c>
      <c r="C1097">
        <v>482679.6</v>
      </c>
      <c r="D1097" t="s">
        <v>2198</v>
      </c>
      <c r="E1097">
        <v>482679.6</v>
      </c>
      <c r="F1097">
        <v>0</v>
      </c>
      <c r="G1097" t="s">
        <v>2199</v>
      </c>
      <c r="H1097">
        <v>0</v>
      </c>
      <c r="I1097">
        <v>482679.6</v>
      </c>
      <c r="J1097">
        <v>1</v>
      </c>
      <c r="K1097">
        <v>0</v>
      </c>
      <c r="L1097">
        <v>19</v>
      </c>
      <c r="M1097">
        <v>0</v>
      </c>
      <c r="N1097">
        <v>1</v>
      </c>
      <c r="O1097">
        <v>482679.6</v>
      </c>
      <c r="P1097">
        <f>IF(C1097&gt;=200000,5,IF(C1097&gt;=100000,4,IF(C1097&gt;=50000,3,IF(C1097&gt;=10000,2,1))))</f>
        <v>5</v>
      </c>
      <c r="Q1097">
        <f>IF(B1097="TRANSFER",5,IF(B1097="CASH_OUT",4,IF(B1097="DEBIT",2,1)))</f>
        <v>4</v>
      </c>
      <c r="R1097">
        <f>(P1097*0.5)+(Q1097*0.3)+(N1097*0.1)+(M1097*0.1)</f>
        <v>3.8000000000000003</v>
      </c>
      <c r="S1097" t="str">
        <f t="shared" si="17"/>
        <v>HIGH</v>
      </c>
    </row>
    <row r="1098" spans="1:19" x14ac:dyDescent="0.3">
      <c r="A1098">
        <v>92</v>
      </c>
      <c r="B1098" t="s">
        <v>15</v>
      </c>
      <c r="C1098">
        <v>1461930.03</v>
      </c>
      <c r="D1098" t="s">
        <v>2200</v>
      </c>
      <c r="E1098">
        <v>1461930.03</v>
      </c>
      <c r="F1098">
        <v>0</v>
      </c>
      <c r="G1098" t="s">
        <v>2201</v>
      </c>
      <c r="H1098">
        <v>0</v>
      </c>
      <c r="I1098">
        <v>0</v>
      </c>
      <c r="J1098">
        <v>1</v>
      </c>
      <c r="K1098">
        <v>0</v>
      </c>
      <c r="L1098">
        <v>20</v>
      </c>
      <c r="M1098">
        <v>0</v>
      </c>
      <c r="N1098">
        <v>1</v>
      </c>
      <c r="O1098">
        <v>1461930.03</v>
      </c>
      <c r="P1098">
        <f>IF(C1098&gt;=200000,5,IF(C1098&gt;=100000,4,IF(C1098&gt;=50000,3,IF(C1098&gt;=10000,2,1))))</f>
        <v>5</v>
      </c>
      <c r="Q1098">
        <f>IF(B1098="TRANSFER",5,IF(B1098="CASH_OUT",4,IF(B1098="DEBIT",2,1)))</f>
        <v>5</v>
      </c>
      <c r="R1098">
        <f>(P1098*0.5)+(Q1098*0.3)+(N1098*0.1)+(M1098*0.1)</f>
        <v>4.0999999999999996</v>
      </c>
      <c r="S1098" t="str">
        <f t="shared" si="17"/>
        <v>HIGH</v>
      </c>
    </row>
    <row r="1099" spans="1:19" x14ac:dyDescent="0.3">
      <c r="A1099">
        <v>92</v>
      </c>
      <c r="B1099" t="s">
        <v>18</v>
      </c>
      <c r="C1099">
        <v>1461930.03</v>
      </c>
      <c r="D1099" t="s">
        <v>2202</v>
      </c>
      <c r="E1099">
        <v>1461930.03</v>
      </c>
      <c r="F1099">
        <v>0</v>
      </c>
      <c r="G1099" t="s">
        <v>2203</v>
      </c>
      <c r="H1099">
        <v>3762496.73</v>
      </c>
      <c r="I1099">
        <v>5224426.76</v>
      </c>
      <c r="J1099">
        <v>1</v>
      </c>
      <c r="K1099">
        <v>0</v>
      </c>
      <c r="L1099">
        <v>20</v>
      </c>
      <c r="M1099">
        <v>0</v>
      </c>
      <c r="N1099">
        <v>1</v>
      </c>
      <c r="O1099">
        <v>1461930.03</v>
      </c>
      <c r="P1099">
        <f>IF(C1099&gt;=200000,5,IF(C1099&gt;=100000,4,IF(C1099&gt;=50000,3,IF(C1099&gt;=10000,2,1))))</f>
        <v>5</v>
      </c>
      <c r="Q1099">
        <f>IF(B1099="TRANSFER",5,IF(B1099="CASH_OUT",4,IF(B1099="DEBIT",2,1)))</f>
        <v>4</v>
      </c>
      <c r="R1099">
        <f>(P1099*0.5)+(Q1099*0.3)+(N1099*0.1)+(M1099*0.1)</f>
        <v>3.8000000000000003</v>
      </c>
      <c r="S1099" t="str">
        <f t="shared" si="17"/>
        <v>HIGH</v>
      </c>
    </row>
    <row r="1100" spans="1:19" x14ac:dyDescent="0.3">
      <c r="A1100">
        <v>92</v>
      </c>
      <c r="B1100" t="s">
        <v>15</v>
      </c>
      <c r="C1100">
        <v>271908.40000000002</v>
      </c>
      <c r="D1100" t="s">
        <v>2204</v>
      </c>
      <c r="E1100">
        <v>271908.40000000002</v>
      </c>
      <c r="F1100">
        <v>0</v>
      </c>
      <c r="G1100" t="s">
        <v>2205</v>
      </c>
      <c r="H1100">
        <v>0</v>
      </c>
      <c r="I1100">
        <v>0</v>
      </c>
      <c r="J1100">
        <v>1</v>
      </c>
      <c r="K1100">
        <v>0</v>
      </c>
      <c r="L1100">
        <v>20</v>
      </c>
      <c r="M1100">
        <v>0</v>
      </c>
      <c r="N1100">
        <v>1</v>
      </c>
      <c r="O1100">
        <v>271908.40000000002</v>
      </c>
      <c r="P1100">
        <f>IF(C1100&gt;=200000,5,IF(C1100&gt;=100000,4,IF(C1100&gt;=50000,3,IF(C1100&gt;=10000,2,1))))</f>
        <v>5</v>
      </c>
      <c r="Q1100">
        <f>IF(B1100="TRANSFER",5,IF(B1100="CASH_OUT",4,IF(B1100="DEBIT",2,1)))</f>
        <v>5</v>
      </c>
      <c r="R1100">
        <f>(P1100*0.5)+(Q1100*0.3)+(N1100*0.1)+(M1100*0.1)</f>
        <v>4.0999999999999996</v>
      </c>
      <c r="S1100" t="str">
        <f t="shared" si="17"/>
        <v>HIGH</v>
      </c>
    </row>
    <row r="1101" spans="1:19" x14ac:dyDescent="0.3">
      <c r="A1101">
        <v>92</v>
      </c>
      <c r="B1101" t="s">
        <v>18</v>
      </c>
      <c r="C1101">
        <v>271908.40000000002</v>
      </c>
      <c r="D1101" t="s">
        <v>2206</v>
      </c>
      <c r="E1101">
        <v>271908.40000000002</v>
      </c>
      <c r="F1101">
        <v>0</v>
      </c>
      <c r="G1101" t="s">
        <v>2207</v>
      </c>
      <c r="H1101">
        <v>1488088.26</v>
      </c>
      <c r="I1101">
        <v>1759996.66</v>
      </c>
      <c r="J1101">
        <v>1</v>
      </c>
      <c r="K1101">
        <v>0</v>
      </c>
      <c r="L1101">
        <v>20</v>
      </c>
      <c r="M1101">
        <v>0</v>
      </c>
      <c r="N1101">
        <v>1</v>
      </c>
      <c r="O1101">
        <v>271908.40000000002</v>
      </c>
      <c r="P1101">
        <f>IF(C1101&gt;=200000,5,IF(C1101&gt;=100000,4,IF(C1101&gt;=50000,3,IF(C1101&gt;=10000,2,1))))</f>
        <v>5</v>
      </c>
      <c r="Q1101">
        <f>IF(B1101="TRANSFER",5,IF(B1101="CASH_OUT",4,IF(B1101="DEBIT",2,1)))</f>
        <v>4</v>
      </c>
      <c r="R1101">
        <f>(P1101*0.5)+(Q1101*0.3)+(N1101*0.1)+(M1101*0.1)</f>
        <v>3.8000000000000003</v>
      </c>
      <c r="S1101" t="str">
        <f t="shared" si="17"/>
        <v>HIGH</v>
      </c>
    </row>
    <row r="1102" spans="1:19" x14ac:dyDescent="0.3">
      <c r="A1102">
        <v>92</v>
      </c>
      <c r="B1102" t="s">
        <v>15</v>
      </c>
      <c r="C1102">
        <v>101903.69</v>
      </c>
      <c r="D1102" t="s">
        <v>2208</v>
      </c>
      <c r="E1102">
        <v>101903.69</v>
      </c>
      <c r="F1102">
        <v>0</v>
      </c>
      <c r="G1102" t="s">
        <v>2209</v>
      </c>
      <c r="H1102">
        <v>0</v>
      </c>
      <c r="I1102">
        <v>0</v>
      </c>
      <c r="J1102">
        <v>1</v>
      </c>
      <c r="K1102">
        <v>0</v>
      </c>
      <c r="L1102">
        <v>20</v>
      </c>
      <c r="M1102">
        <v>0</v>
      </c>
      <c r="N1102">
        <v>1</v>
      </c>
      <c r="O1102">
        <v>101903.69</v>
      </c>
      <c r="P1102">
        <f>IF(C1102&gt;=200000,5,IF(C1102&gt;=100000,4,IF(C1102&gt;=50000,3,IF(C1102&gt;=10000,2,1))))</f>
        <v>4</v>
      </c>
      <c r="Q1102">
        <f>IF(B1102="TRANSFER",5,IF(B1102="CASH_OUT",4,IF(B1102="DEBIT",2,1)))</f>
        <v>5</v>
      </c>
      <c r="R1102">
        <f>(P1102*0.5)+(Q1102*0.3)+(N1102*0.1)+(M1102*0.1)</f>
        <v>3.6</v>
      </c>
      <c r="S1102" t="str">
        <f t="shared" si="17"/>
        <v>HIGH</v>
      </c>
    </row>
    <row r="1103" spans="1:19" x14ac:dyDescent="0.3">
      <c r="A1103">
        <v>92</v>
      </c>
      <c r="B1103" t="s">
        <v>18</v>
      </c>
      <c r="C1103">
        <v>101903.69</v>
      </c>
      <c r="D1103" t="s">
        <v>2210</v>
      </c>
      <c r="E1103">
        <v>101903.69</v>
      </c>
      <c r="F1103">
        <v>0</v>
      </c>
      <c r="G1103" t="s">
        <v>2211</v>
      </c>
      <c r="H1103">
        <v>280117.63</v>
      </c>
      <c r="I1103">
        <v>382021.32</v>
      </c>
      <c r="J1103">
        <v>1</v>
      </c>
      <c r="K1103">
        <v>0</v>
      </c>
      <c r="L1103">
        <v>20</v>
      </c>
      <c r="M1103">
        <v>0</v>
      </c>
      <c r="N1103">
        <v>1</v>
      </c>
      <c r="O1103">
        <v>101903.69</v>
      </c>
      <c r="P1103">
        <f>IF(C1103&gt;=200000,5,IF(C1103&gt;=100000,4,IF(C1103&gt;=50000,3,IF(C1103&gt;=10000,2,1))))</f>
        <v>4</v>
      </c>
      <c r="Q1103">
        <f>IF(B1103="TRANSFER",5,IF(B1103="CASH_OUT",4,IF(B1103="DEBIT",2,1)))</f>
        <v>4</v>
      </c>
      <c r="R1103">
        <f>(P1103*0.5)+(Q1103*0.3)+(N1103*0.1)+(M1103*0.1)</f>
        <v>3.3000000000000003</v>
      </c>
      <c r="S1103" t="str">
        <f t="shared" si="17"/>
        <v>HIGH</v>
      </c>
    </row>
    <row r="1104" spans="1:19" x14ac:dyDescent="0.3">
      <c r="A1104">
        <v>92</v>
      </c>
      <c r="B1104" t="s">
        <v>15</v>
      </c>
      <c r="C1104">
        <v>21574.55</v>
      </c>
      <c r="D1104" t="s">
        <v>2212</v>
      </c>
      <c r="E1104">
        <v>21574.55</v>
      </c>
      <c r="F1104">
        <v>0</v>
      </c>
      <c r="G1104" t="s">
        <v>2213</v>
      </c>
      <c r="H1104">
        <v>0</v>
      </c>
      <c r="I1104">
        <v>0</v>
      </c>
      <c r="J1104">
        <v>1</v>
      </c>
      <c r="K1104">
        <v>0</v>
      </c>
      <c r="L1104">
        <v>20</v>
      </c>
      <c r="M1104">
        <v>0</v>
      </c>
      <c r="N1104">
        <v>1</v>
      </c>
      <c r="O1104">
        <v>21574.55</v>
      </c>
      <c r="P1104">
        <f>IF(C1104&gt;=200000,5,IF(C1104&gt;=100000,4,IF(C1104&gt;=50000,3,IF(C1104&gt;=10000,2,1))))</f>
        <v>2</v>
      </c>
      <c r="Q1104">
        <f>IF(B1104="TRANSFER",5,IF(B1104="CASH_OUT",4,IF(B1104="DEBIT",2,1)))</f>
        <v>5</v>
      </c>
      <c r="R1104">
        <f>(P1104*0.5)+(Q1104*0.3)+(N1104*0.1)+(M1104*0.1)</f>
        <v>2.6</v>
      </c>
      <c r="S1104" t="str">
        <f t="shared" si="17"/>
        <v>MEDIUM</v>
      </c>
    </row>
    <row r="1105" spans="1:19" x14ac:dyDescent="0.3">
      <c r="A1105">
        <v>92</v>
      </c>
      <c r="B1105" t="s">
        <v>18</v>
      </c>
      <c r="C1105">
        <v>21574.55</v>
      </c>
      <c r="D1105" t="s">
        <v>2214</v>
      </c>
      <c r="E1105">
        <v>21574.55</v>
      </c>
      <c r="F1105">
        <v>0</v>
      </c>
      <c r="G1105" t="s">
        <v>2215</v>
      </c>
      <c r="H1105">
        <v>0</v>
      </c>
      <c r="I1105">
        <v>21574.55</v>
      </c>
      <c r="J1105">
        <v>1</v>
      </c>
      <c r="K1105">
        <v>0</v>
      </c>
      <c r="L1105">
        <v>20</v>
      </c>
      <c r="M1105">
        <v>0</v>
      </c>
      <c r="N1105">
        <v>1</v>
      </c>
      <c r="O1105">
        <v>21574.55</v>
      </c>
      <c r="P1105">
        <f>IF(C1105&gt;=200000,5,IF(C1105&gt;=100000,4,IF(C1105&gt;=50000,3,IF(C1105&gt;=10000,2,1))))</f>
        <v>2</v>
      </c>
      <c r="Q1105">
        <f>IF(B1105="TRANSFER",5,IF(B1105="CASH_OUT",4,IF(B1105="DEBIT",2,1)))</f>
        <v>4</v>
      </c>
      <c r="R1105">
        <f>(P1105*0.5)+(Q1105*0.3)+(N1105*0.1)+(M1105*0.1)</f>
        <v>2.3000000000000003</v>
      </c>
      <c r="S1105" t="str">
        <f t="shared" si="17"/>
        <v>MEDIUM</v>
      </c>
    </row>
    <row r="1106" spans="1:19" x14ac:dyDescent="0.3">
      <c r="A1106">
        <v>92</v>
      </c>
      <c r="B1106" t="s">
        <v>15</v>
      </c>
      <c r="C1106">
        <v>19742.71</v>
      </c>
      <c r="D1106" t="s">
        <v>2216</v>
      </c>
      <c r="E1106">
        <v>19742.71</v>
      </c>
      <c r="F1106">
        <v>0</v>
      </c>
      <c r="G1106" t="s">
        <v>2217</v>
      </c>
      <c r="H1106">
        <v>0</v>
      </c>
      <c r="I1106">
        <v>0</v>
      </c>
      <c r="J1106">
        <v>1</v>
      </c>
      <c r="K1106">
        <v>0</v>
      </c>
      <c r="L1106">
        <v>20</v>
      </c>
      <c r="M1106">
        <v>0</v>
      </c>
      <c r="N1106">
        <v>1</v>
      </c>
      <c r="O1106">
        <v>19742.71</v>
      </c>
      <c r="P1106">
        <f>IF(C1106&gt;=200000,5,IF(C1106&gt;=100000,4,IF(C1106&gt;=50000,3,IF(C1106&gt;=10000,2,1))))</f>
        <v>2</v>
      </c>
      <c r="Q1106">
        <f>IF(B1106="TRANSFER",5,IF(B1106="CASH_OUT",4,IF(B1106="DEBIT",2,1)))</f>
        <v>5</v>
      </c>
      <c r="R1106">
        <f>(P1106*0.5)+(Q1106*0.3)+(N1106*0.1)+(M1106*0.1)</f>
        <v>2.6</v>
      </c>
      <c r="S1106" t="str">
        <f t="shared" si="17"/>
        <v>MEDIUM</v>
      </c>
    </row>
    <row r="1107" spans="1:19" x14ac:dyDescent="0.3">
      <c r="A1107">
        <v>92</v>
      </c>
      <c r="B1107" t="s">
        <v>18</v>
      </c>
      <c r="C1107">
        <v>19742.71</v>
      </c>
      <c r="D1107" t="s">
        <v>2218</v>
      </c>
      <c r="E1107">
        <v>19742.71</v>
      </c>
      <c r="F1107">
        <v>0</v>
      </c>
      <c r="G1107" t="s">
        <v>2219</v>
      </c>
      <c r="H1107">
        <v>2098671.6800000002</v>
      </c>
      <c r="I1107">
        <v>2118414.39</v>
      </c>
      <c r="J1107">
        <v>1</v>
      </c>
      <c r="K1107">
        <v>0</v>
      </c>
      <c r="L1107">
        <v>20</v>
      </c>
      <c r="M1107">
        <v>0</v>
      </c>
      <c r="N1107">
        <v>1</v>
      </c>
      <c r="O1107">
        <v>19742.71</v>
      </c>
      <c r="P1107">
        <f>IF(C1107&gt;=200000,5,IF(C1107&gt;=100000,4,IF(C1107&gt;=50000,3,IF(C1107&gt;=10000,2,1))))</f>
        <v>2</v>
      </c>
      <c r="Q1107">
        <f>IF(B1107="TRANSFER",5,IF(B1107="CASH_OUT",4,IF(B1107="DEBIT",2,1)))</f>
        <v>4</v>
      </c>
      <c r="R1107">
        <f>(P1107*0.5)+(Q1107*0.3)+(N1107*0.1)+(M1107*0.1)</f>
        <v>2.3000000000000003</v>
      </c>
      <c r="S1107" t="str">
        <f t="shared" si="17"/>
        <v>MEDIUM</v>
      </c>
    </row>
    <row r="1108" spans="1:19" x14ac:dyDescent="0.3">
      <c r="A1108">
        <v>93</v>
      </c>
      <c r="B1108" t="s">
        <v>15</v>
      </c>
      <c r="C1108">
        <v>38150.22</v>
      </c>
      <c r="D1108" t="s">
        <v>2220</v>
      </c>
      <c r="E1108">
        <v>38150.22</v>
      </c>
      <c r="F1108">
        <v>0</v>
      </c>
      <c r="G1108" t="s">
        <v>2221</v>
      </c>
      <c r="H1108">
        <v>0</v>
      </c>
      <c r="I1108">
        <v>0</v>
      </c>
      <c r="J1108">
        <v>1</v>
      </c>
      <c r="K1108">
        <v>0</v>
      </c>
      <c r="L1108">
        <v>21</v>
      </c>
      <c r="M1108">
        <v>0</v>
      </c>
      <c r="N1108">
        <v>1</v>
      </c>
      <c r="O1108">
        <v>38150.22</v>
      </c>
      <c r="P1108">
        <f>IF(C1108&gt;=200000,5,IF(C1108&gt;=100000,4,IF(C1108&gt;=50000,3,IF(C1108&gt;=10000,2,1))))</f>
        <v>2</v>
      </c>
      <c r="Q1108">
        <f>IF(B1108="TRANSFER",5,IF(B1108="CASH_OUT",4,IF(B1108="DEBIT",2,1)))</f>
        <v>5</v>
      </c>
      <c r="R1108">
        <f>(P1108*0.5)+(Q1108*0.3)+(N1108*0.1)+(M1108*0.1)</f>
        <v>2.6</v>
      </c>
      <c r="S1108" t="str">
        <f t="shared" si="17"/>
        <v>MEDIUM</v>
      </c>
    </row>
    <row r="1109" spans="1:19" x14ac:dyDescent="0.3">
      <c r="A1109">
        <v>93</v>
      </c>
      <c r="B1109" t="s">
        <v>18</v>
      </c>
      <c r="C1109">
        <v>38150.22</v>
      </c>
      <c r="D1109" t="s">
        <v>2222</v>
      </c>
      <c r="E1109">
        <v>38150.22</v>
      </c>
      <c r="F1109">
        <v>0</v>
      </c>
      <c r="G1109" t="s">
        <v>2223</v>
      </c>
      <c r="H1109">
        <v>30220.14</v>
      </c>
      <c r="I1109">
        <v>68370.36</v>
      </c>
      <c r="J1109">
        <v>1</v>
      </c>
      <c r="K1109">
        <v>0</v>
      </c>
      <c r="L1109">
        <v>21</v>
      </c>
      <c r="M1109">
        <v>0</v>
      </c>
      <c r="N1109">
        <v>1</v>
      </c>
      <c r="O1109">
        <v>38150.22</v>
      </c>
      <c r="P1109">
        <f>IF(C1109&gt;=200000,5,IF(C1109&gt;=100000,4,IF(C1109&gt;=50000,3,IF(C1109&gt;=10000,2,1))))</f>
        <v>2</v>
      </c>
      <c r="Q1109">
        <f>IF(B1109="TRANSFER",5,IF(B1109="CASH_OUT",4,IF(B1109="DEBIT",2,1)))</f>
        <v>4</v>
      </c>
      <c r="R1109">
        <f>(P1109*0.5)+(Q1109*0.3)+(N1109*0.1)+(M1109*0.1)</f>
        <v>2.3000000000000003</v>
      </c>
      <c r="S1109" t="str">
        <f t="shared" si="17"/>
        <v>MEDIUM</v>
      </c>
    </row>
    <row r="1110" spans="1:19" x14ac:dyDescent="0.3">
      <c r="A1110">
        <v>93</v>
      </c>
      <c r="B1110" t="s">
        <v>15</v>
      </c>
      <c r="C1110">
        <v>886588.02</v>
      </c>
      <c r="D1110" t="s">
        <v>2224</v>
      </c>
      <c r="E1110">
        <v>886588.02</v>
      </c>
      <c r="F1110">
        <v>0</v>
      </c>
      <c r="G1110" t="s">
        <v>2225</v>
      </c>
      <c r="H1110">
        <v>0</v>
      </c>
      <c r="I1110">
        <v>0</v>
      </c>
      <c r="J1110">
        <v>1</v>
      </c>
      <c r="K1110">
        <v>0</v>
      </c>
      <c r="L1110">
        <v>21</v>
      </c>
      <c r="M1110">
        <v>0</v>
      </c>
      <c r="N1110">
        <v>1</v>
      </c>
      <c r="O1110">
        <v>886588.02</v>
      </c>
      <c r="P1110">
        <f>IF(C1110&gt;=200000,5,IF(C1110&gt;=100000,4,IF(C1110&gt;=50000,3,IF(C1110&gt;=10000,2,1))))</f>
        <v>5</v>
      </c>
      <c r="Q1110">
        <f>IF(B1110="TRANSFER",5,IF(B1110="CASH_OUT",4,IF(B1110="DEBIT",2,1)))</f>
        <v>5</v>
      </c>
      <c r="R1110">
        <f>(P1110*0.5)+(Q1110*0.3)+(N1110*0.1)+(M1110*0.1)</f>
        <v>4.0999999999999996</v>
      </c>
      <c r="S1110" t="str">
        <f t="shared" si="17"/>
        <v>HIGH</v>
      </c>
    </row>
    <row r="1111" spans="1:19" x14ac:dyDescent="0.3">
      <c r="A1111">
        <v>93</v>
      </c>
      <c r="B1111" t="s">
        <v>18</v>
      </c>
      <c r="C1111">
        <v>886588.02</v>
      </c>
      <c r="D1111" t="s">
        <v>2226</v>
      </c>
      <c r="E1111">
        <v>886588.02</v>
      </c>
      <c r="F1111">
        <v>0</v>
      </c>
      <c r="G1111" t="s">
        <v>2227</v>
      </c>
      <c r="H1111">
        <v>0</v>
      </c>
      <c r="I1111">
        <v>886588.02</v>
      </c>
      <c r="J1111">
        <v>1</v>
      </c>
      <c r="K1111">
        <v>0</v>
      </c>
      <c r="L1111">
        <v>21</v>
      </c>
      <c r="M1111">
        <v>0</v>
      </c>
      <c r="N1111">
        <v>1</v>
      </c>
      <c r="O1111">
        <v>886588.02</v>
      </c>
      <c r="P1111">
        <f>IF(C1111&gt;=200000,5,IF(C1111&gt;=100000,4,IF(C1111&gt;=50000,3,IF(C1111&gt;=10000,2,1))))</f>
        <v>5</v>
      </c>
      <c r="Q1111">
        <f>IF(B1111="TRANSFER",5,IF(B1111="CASH_OUT",4,IF(B1111="DEBIT",2,1)))</f>
        <v>4</v>
      </c>
      <c r="R1111">
        <f>(P1111*0.5)+(Q1111*0.3)+(N1111*0.1)+(M1111*0.1)</f>
        <v>3.8000000000000003</v>
      </c>
      <c r="S1111" t="str">
        <f t="shared" si="17"/>
        <v>HIGH</v>
      </c>
    </row>
    <row r="1112" spans="1:19" x14ac:dyDescent="0.3">
      <c r="A1112">
        <v>93</v>
      </c>
      <c r="B1112" t="s">
        <v>15</v>
      </c>
      <c r="C1112">
        <v>4120.1400000000003</v>
      </c>
      <c r="D1112" t="s">
        <v>2228</v>
      </c>
      <c r="E1112">
        <v>4120.1400000000003</v>
      </c>
      <c r="F1112">
        <v>0</v>
      </c>
      <c r="G1112" t="s">
        <v>2229</v>
      </c>
      <c r="H1112">
        <v>0</v>
      </c>
      <c r="I1112">
        <v>0</v>
      </c>
      <c r="J1112">
        <v>1</v>
      </c>
      <c r="K1112">
        <v>0</v>
      </c>
      <c r="L1112">
        <v>21</v>
      </c>
      <c r="M1112">
        <v>0</v>
      </c>
      <c r="N1112">
        <v>1</v>
      </c>
      <c r="O1112">
        <v>4120.1400000000003</v>
      </c>
      <c r="P1112">
        <f>IF(C1112&gt;=200000,5,IF(C1112&gt;=100000,4,IF(C1112&gt;=50000,3,IF(C1112&gt;=10000,2,1))))</f>
        <v>1</v>
      </c>
      <c r="Q1112">
        <f>IF(B1112="TRANSFER",5,IF(B1112="CASH_OUT",4,IF(B1112="DEBIT",2,1)))</f>
        <v>5</v>
      </c>
      <c r="R1112">
        <f>(P1112*0.5)+(Q1112*0.3)+(N1112*0.1)+(M1112*0.1)</f>
        <v>2.1</v>
      </c>
      <c r="S1112" t="str">
        <f t="shared" si="17"/>
        <v>MEDIUM</v>
      </c>
    </row>
    <row r="1113" spans="1:19" x14ac:dyDescent="0.3">
      <c r="A1113">
        <v>93</v>
      </c>
      <c r="B1113" t="s">
        <v>18</v>
      </c>
      <c r="C1113">
        <v>4120.1400000000003</v>
      </c>
      <c r="D1113" t="s">
        <v>2230</v>
      </c>
      <c r="E1113">
        <v>4120.1400000000003</v>
      </c>
      <c r="F1113">
        <v>0</v>
      </c>
      <c r="G1113" t="s">
        <v>2231</v>
      </c>
      <c r="H1113">
        <v>0</v>
      </c>
      <c r="I1113">
        <v>4120.1400000000003</v>
      </c>
      <c r="J1113">
        <v>1</v>
      </c>
      <c r="K1113">
        <v>0</v>
      </c>
      <c r="L1113">
        <v>21</v>
      </c>
      <c r="M1113">
        <v>0</v>
      </c>
      <c r="N1113">
        <v>1</v>
      </c>
      <c r="O1113">
        <v>4120.1400000000003</v>
      </c>
      <c r="P1113">
        <f>IF(C1113&gt;=200000,5,IF(C1113&gt;=100000,4,IF(C1113&gt;=50000,3,IF(C1113&gt;=10000,2,1))))</f>
        <v>1</v>
      </c>
      <c r="Q1113">
        <f>IF(B1113="TRANSFER",5,IF(B1113="CASH_OUT",4,IF(B1113="DEBIT",2,1)))</f>
        <v>4</v>
      </c>
      <c r="R1113">
        <f>(P1113*0.5)+(Q1113*0.3)+(N1113*0.1)+(M1113*0.1)</f>
        <v>1.8</v>
      </c>
      <c r="S1113" t="str">
        <f t="shared" si="17"/>
        <v>LOW</v>
      </c>
    </row>
    <row r="1114" spans="1:19" x14ac:dyDescent="0.3">
      <c r="A1114">
        <v>93</v>
      </c>
      <c r="B1114" t="s">
        <v>15</v>
      </c>
      <c r="C1114">
        <v>3206623.39</v>
      </c>
      <c r="D1114" t="s">
        <v>2232</v>
      </c>
      <c r="E1114">
        <v>3206623.39</v>
      </c>
      <c r="F1114">
        <v>0</v>
      </c>
      <c r="G1114" t="s">
        <v>2233</v>
      </c>
      <c r="H1114">
        <v>0</v>
      </c>
      <c r="I1114">
        <v>0</v>
      </c>
      <c r="J1114">
        <v>1</v>
      </c>
      <c r="K1114">
        <v>0</v>
      </c>
      <c r="L1114">
        <v>21</v>
      </c>
      <c r="M1114">
        <v>0</v>
      </c>
      <c r="N1114">
        <v>1</v>
      </c>
      <c r="O1114">
        <v>3206623.39</v>
      </c>
      <c r="P1114">
        <f>IF(C1114&gt;=200000,5,IF(C1114&gt;=100000,4,IF(C1114&gt;=50000,3,IF(C1114&gt;=10000,2,1))))</f>
        <v>5</v>
      </c>
      <c r="Q1114">
        <f>IF(B1114="TRANSFER",5,IF(B1114="CASH_OUT",4,IF(B1114="DEBIT",2,1)))</f>
        <v>5</v>
      </c>
      <c r="R1114">
        <f>(P1114*0.5)+(Q1114*0.3)+(N1114*0.1)+(M1114*0.1)</f>
        <v>4.0999999999999996</v>
      </c>
      <c r="S1114" t="str">
        <f t="shared" si="17"/>
        <v>HIGH</v>
      </c>
    </row>
    <row r="1115" spans="1:19" x14ac:dyDescent="0.3">
      <c r="A1115">
        <v>93</v>
      </c>
      <c r="B1115" t="s">
        <v>18</v>
      </c>
      <c r="C1115">
        <v>3206623.39</v>
      </c>
      <c r="D1115" t="s">
        <v>2234</v>
      </c>
      <c r="E1115">
        <v>3206623.39</v>
      </c>
      <c r="F1115">
        <v>0</v>
      </c>
      <c r="G1115" t="s">
        <v>2235</v>
      </c>
      <c r="H1115">
        <v>3449811.9</v>
      </c>
      <c r="I1115">
        <v>6965506.6699999999</v>
      </c>
      <c r="J1115">
        <v>1</v>
      </c>
      <c r="K1115">
        <v>0</v>
      </c>
      <c r="L1115">
        <v>21</v>
      </c>
      <c r="M1115">
        <v>0</v>
      </c>
      <c r="N1115">
        <v>1</v>
      </c>
      <c r="O1115">
        <v>3206623.39</v>
      </c>
      <c r="P1115">
        <f>IF(C1115&gt;=200000,5,IF(C1115&gt;=100000,4,IF(C1115&gt;=50000,3,IF(C1115&gt;=10000,2,1))))</f>
        <v>5</v>
      </c>
      <c r="Q1115">
        <f>IF(B1115="TRANSFER",5,IF(B1115="CASH_OUT",4,IF(B1115="DEBIT",2,1)))</f>
        <v>4</v>
      </c>
      <c r="R1115">
        <f>(P1115*0.5)+(Q1115*0.3)+(N1115*0.1)+(M1115*0.1)</f>
        <v>3.8000000000000003</v>
      </c>
      <c r="S1115" t="str">
        <f t="shared" si="17"/>
        <v>HIGH</v>
      </c>
    </row>
    <row r="1116" spans="1:19" x14ac:dyDescent="0.3">
      <c r="A1116">
        <v>93</v>
      </c>
      <c r="B1116" t="s">
        <v>15</v>
      </c>
      <c r="C1116">
        <v>315654.19</v>
      </c>
      <c r="D1116" t="s">
        <v>2236</v>
      </c>
      <c r="E1116">
        <v>315654.19</v>
      </c>
      <c r="F1116">
        <v>0</v>
      </c>
      <c r="G1116" t="s">
        <v>2237</v>
      </c>
      <c r="H1116">
        <v>0</v>
      </c>
      <c r="I1116">
        <v>0</v>
      </c>
      <c r="J1116">
        <v>1</v>
      </c>
      <c r="K1116">
        <v>0</v>
      </c>
      <c r="L1116">
        <v>21</v>
      </c>
      <c r="M1116">
        <v>0</v>
      </c>
      <c r="N1116">
        <v>1</v>
      </c>
      <c r="O1116">
        <v>315654.19</v>
      </c>
      <c r="P1116">
        <f>IF(C1116&gt;=200000,5,IF(C1116&gt;=100000,4,IF(C1116&gt;=50000,3,IF(C1116&gt;=10000,2,1))))</f>
        <v>5</v>
      </c>
      <c r="Q1116">
        <f>IF(B1116="TRANSFER",5,IF(B1116="CASH_OUT",4,IF(B1116="DEBIT",2,1)))</f>
        <v>5</v>
      </c>
      <c r="R1116">
        <f>(P1116*0.5)+(Q1116*0.3)+(N1116*0.1)+(M1116*0.1)</f>
        <v>4.0999999999999996</v>
      </c>
      <c r="S1116" t="str">
        <f t="shared" si="17"/>
        <v>HIGH</v>
      </c>
    </row>
    <row r="1117" spans="1:19" x14ac:dyDescent="0.3">
      <c r="A1117">
        <v>93</v>
      </c>
      <c r="B1117" t="s">
        <v>18</v>
      </c>
      <c r="C1117">
        <v>315654.19</v>
      </c>
      <c r="D1117" t="s">
        <v>2238</v>
      </c>
      <c r="E1117">
        <v>315654.19</v>
      </c>
      <c r="F1117">
        <v>0</v>
      </c>
      <c r="G1117" t="s">
        <v>2239</v>
      </c>
      <c r="H1117">
        <v>0</v>
      </c>
      <c r="I1117">
        <v>315654.19</v>
      </c>
      <c r="J1117">
        <v>1</v>
      </c>
      <c r="K1117">
        <v>0</v>
      </c>
      <c r="L1117">
        <v>21</v>
      </c>
      <c r="M1117">
        <v>0</v>
      </c>
      <c r="N1117">
        <v>1</v>
      </c>
      <c r="O1117">
        <v>315654.19</v>
      </c>
      <c r="P1117">
        <f>IF(C1117&gt;=200000,5,IF(C1117&gt;=100000,4,IF(C1117&gt;=50000,3,IF(C1117&gt;=10000,2,1))))</f>
        <v>5</v>
      </c>
      <c r="Q1117">
        <f>IF(B1117="TRANSFER",5,IF(B1117="CASH_OUT",4,IF(B1117="DEBIT",2,1)))</f>
        <v>4</v>
      </c>
      <c r="R1117">
        <f>(P1117*0.5)+(Q1117*0.3)+(N1117*0.1)+(M1117*0.1)</f>
        <v>3.8000000000000003</v>
      </c>
      <c r="S1117" t="str">
        <f t="shared" si="17"/>
        <v>HIGH</v>
      </c>
    </row>
    <row r="1118" spans="1:19" x14ac:dyDescent="0.3">
      <c r="A1118">
        <v>93</v>
      </c>
      <c r="B1118" t="s">
        <v>15</v>
      </c>
      <c r="C1118">
        <v>175313.96</v>
      </c>
      <c r="D1118" t="s">
        <v>2240</v>
      </c>
      <c r="E1118">
        <v>175313.96</v>
      </c>
      <c r="F1118">
        <v>0</v>
      </c>
      <c r="G1118" t="s">
        <v>2241</v>
      </c>
      <c r="H1118">
        <v>0</v>
      </c>
      <c r="I1118">
        <v>0</v>
      </c>
      <c r="J1118">
        <v>1</v>
      </c>
      <c r="K1118">
        <v>0</v>
      </c>
      <c r="L1118">
        <v>21</v>
      </c>
      <c r="M1118">
        <v>0</v>
      </c>
      <c r="N1118">
        <v>1</v>
      </c>
      <c r="O1118">
        <v>175313.96</v>
      </c>
      <c r="P1118">
        <f>IF(C1118&gt;=200000,5,IF(C1118&gt;=100000,4,IF(C1118&gt;=50000,3,IF(C1118&gt;=10000,2,1))))</f>
        <v>4</v>
      </c>
      <c r="Q1118">
        <f>IF(B1118="TRANSFER",5,IF(B1118="CASH_OUT",4,IF(B1118="DEBIT",2,1)))</f>
        <v>5</v>
      </c>
      <c r="R1118">
        <f>(P1118*0.5)+(Q1118*0.3)+(N1118*0.1)+(M1118*0.1)</f>
        <v>3.6</v>
      </c>
      <c r="S1118" t="str">
        <f t="shared" si="17"/>
        <v>HIGH</v>
      </c>
    </row>
    <row r="1119" spans="1:19" x14ac:dyDescent="0.3">
      <c r="A1119">
        <v>93</v>
      </c>
      <c r="B1119" t="s">
        <v>18</v>
      </c>
      <c r="C1119">
        <v>175313.96</v>
      </c>
      <c r="D1119" t="s">
        <v>2242</v>
      </c>
      <c r="E1119">
        <v>175313.96</v>
      </c>
      <c r="F1119">
        <v>0</v>
      </c>
      <c r="G1119" t="s">
        <v>2243</v>
      </c>
      <c r="H1119">
        <v>2911229.9</v>
      </c>
      <c r="I1119">
        <v>3086543.86</v>
      </c>
      <c r="J1119">
        <v>1</v>
      </c>
      <c r="K1119">
        <v>0</v>
      </c>
      <c r="L1119">
        <v>21</v>
      </c>
      <c r="M1119">
        <v>0</v>
      </c>
      <c r="N1119">
        <v>1</v>
      </c>
      <c r="O1119">
        <v>175313.96</v>
      </c>
      <c r="P1119">
        <f>IF(C1119&gt;=200000,5,IF(C1119&gt;=100000,4,IF(C1119&gt;=50000,3,IF(C1119&gt;=10000,2,1))))</f>
        <v>4</v>
      </c>
      <c r="Q1119">
        <f>IF(B1119="TRANSFER",5,IF(B1119="CASH_OUT",4,IF(B1119="DEBIT",2,1)))</f>
        <v>4</v>
      </c>
      <c r="R1119">
        <f>(P1119*0.5)+(Q1119*0.3)+(N1119*0.1)+(M1119*0.1)</f>
        <v>3.3000000000000003</v>
      </c>
      <c r="S1119" t="str">
        <f t="shared" si="17"/>
        <v>HIGH</v>
      </c>
    </row>
    <row r="1120" spans="1:19" x14ac:dyDescent="0.3">
      <c r="A1120">
        <v>93</v>
      </c>
      <c r="B1120" t="s">
        <v>15</v>
      </c>
      <c r="C1120">
        <v>3723738.06</v>
      </c>
      <c r="D1120" t="s">
        <v>2244</v>
      </c>
      <c r="E1120">
        <v>3723738.06</v>
      </c>
      <c r="F1120">
        <v>0</v>
      </c>
      <c r="G1120" t="s">
        <v>2245</v>
      </c>
      <c r="H1120">
        <v>0</v>
      </c>
      <c r="I1120">
        <v>0</v>
      </c>
      <c r="J1120">
        <v>1</v>
      </c>
      <c r="K1120">
        <v>0</v>
      </c>
      <c r="L1120">
        <v>21</v>
      </c>
      <c r="M1120">
        <v>0</v>
      </c>
      <c r="N1120">
        <v>1</v>
      </c>
      <c r="O1120">
        <v>3723738.06</v>
      </c>
      <c r="P1120">
        <f>IF(C1120&gt;=200000,5,IF(C1120&gt;=100000,4,IF(C1120&gt;=50000,3,IF(C1120&gt;=10000,2,1))))</f>
        <v>5</v>
      </c>
      <c r="Q1120">
        <f>IF(B1120="TRANSFER",5,IF(B1120="CASH_OUT",4,IF(B1120="DEBIT",2,1)))</f>
        <v>5</v>
      </c>
      <c r="R1120">
        <f>(P1120*0.5)+(Q1120*0.3)+(N1120*0.1)+(M1120*0.1)</f>
        <v>4.0999999999999996</v>
      </c>
      <c r="S1120" t="str">
        <f t="shared" si="17"/>
        <v>HIGH</v>
      </c>
    </row>
    <row r="1121" spans="1:19" x14ac:dyDescent="0.3">
      <c r="A1121">
        <v>93</v>
      </c>
      <c r="B1121" t="s">
        <v>18</v>
      </c>
      <c r="C1121">
        <v>3723738.06</v>
      </c>
      <c r="D1121" t="s">
        <v>2246</v>
      </c>
      <c r="E1121">
        <v>3723738.06</v>
      </c>
      <c r="F1121">
        <v>0</v>
      </c>
      <c r="G1121" t="s">
        <v>2247</v>
      </c>
      <c r="H1121">
        <v>3216391.21</v>
      </c>
      <c r="I1121">
        <v>6940129.2699999996</v>
      </c>
      <c r="J1121">
        <v>1</v>
      </c>
      <c r="K1121">
        <v>0</v>
      </c>
      <c r="L1121">
        <v>21</v>
      </c>
      <c r="M1121">
        <v>0</v>
      </c>
      <c r="N1121">
        <v>1</v>
      </c>
      <c r="O1121">
        <v>3723738.06</v>
      </c>
      <c r="P1121">
        <f>IF(C1121&gt;=200000,5,IF(C1121&gt;=100000,4,IF(C1121&gt;=50000,3,IF(C1121&gt;=10000,2,1))))</f>
        <v>5</v>
      </c>
      <c r="Q1121">
        <f>IF(B1121="TRANSFER",5,IF(B1121="CASH_OUT",4,IF(B1121="DEBIT",2,1)))</f>
        <v>4</v>
      </c>
      <c r="R1121">
        <f>(P1121*0.5)+(Q1121*0.3)+(N1121*0.1)+(M1121*0.1)</f>
        <v>3.8000000000000003</v>
      </c>
      <c r="S1121" t="str">
        <f t="shared" si="17"/>
        <v>HIGH</v>
      </c>
    </row>
    <row r="1122" spans="1:19" x14ac:dyDescent="0.3">
      <c r="A1122">
        <v>93</v>
      </c>
      <c r="B1122" t="s">
        <v>15</v>
      </c>
      <c r="C1122">
        <v>269545.63</v>
      </c>
      <c r="D1122" t="s">
        <v>2248</v>
      </c>
      <c r="E1122">
        <v>269545.63</v>
      </c>
      <c r="F1122">
        <v>0</v>
      </c>
      <c r="G1122" t="s">
        <v>2249</v>
      </c>
      <c r="H1122">
        <v>0</v>
      </c>
      <c r="I1122">
        <v>0</v>
      </c>
      <c r="J1122">
        <v>1</v>
      </c>
      <c r="K1122">
        <v>0</v>
      </c>
      <c r="L1122">
        <v>21</v>
      </c>
      <c r="M1122">
        <v>0</v>
      </c>
      <c r="N1122">
        <v>1</v>
      </c>
      <c r="O1122">
        <v>269545.63</v>
      </c>
      <c r="P1122">
        <f>IF(C1122&gt;=200000,5,IF(C1122&gt;=100000,4,IF(C1122&gt;=50000,3,IF(C1122&gt;=10000,2,1))))</f>
        <v>5</v>
      </c>
      <c r="Q1122">
        <f>IF(B1122="TRANSFER",5,IF(B1122="CASH_OUT",4,IF(B1122="DEBIT",2,1)))</f>
        <v>5</v>
      </c>
      <c r="R1122">
        <f>(P1122*0.5)+(Q1122*0.3)+(N1122*0.1)+(M1122*0.1)</f>
        <v>4.0999999999999996</v>
      </c>
      <c r="S1122" t="str">
        <f t="shared" si="17"/>
        <v>HIGH</v>
      </c>
    </row>
    <row r="1123" spans="1:19" x14ac:dyDescent="0.3">
      <c r="A1123">
        <v>93</v>
      </c>
      <c r="B1123" t="s">
        <v>18</v>
      </c>
      <c r="C1123">
        <v>269545.63</v>
      </c>
      <c r="D1123" t="s">
        <v>2250</v>
      </c>
      <c r="E1123">
        <v>269545.63</v>
      </c>
      <c r="F1123">
        <v>0</v>
      </c>
      <c r="G1123" t="s">
        <v>2251</v>
      </c>
      <c r="H1123">
        <v>905690.55</v>
      </c>
      <c r="I1123">
        <v>1175236.17</v>
      </c>
      <c r="J1123">
        <v>1</v>
      </c>
      <c r="K1123">
        <v>0</v>
      </c>
      <c r="L1123">
        <v>21</v>
      </c>
      <c r="M1123">
        <v>0</v>
      </c>
      <c r="N1123">
        <v>1</v>
      </c>
      <c r="O1123">
        <v>269545.63</v>
      </c>
      <c r="P1123">
        <f>IF(C1123&gt;=200000,5,IF(C1123&gt;=100000,4,IF(C1123&gt;=50000,3,IF(C1123&gt;=10000,2,1))))</f>
        <v>5</v>
      </c>
      <c r="Q1123">
        <f>IF(B1123="TRANSFER",5,IF(B1123="CASH_OUT",4,IF(B1123="DEBIT",2,1)))</f>
        <v>4</v>
      </c>
      <c r="R1123">
        <f>(P1123*0.5)+(Q1123*0.3)+(N1123*0.1)+(M1123*0.1)</f>
        <v>3.8000000000000003</v>
      </c>
      <c r="S1123" t="str">
        <f t="shared" si="17"/>
        <v>HIGH</v>
      </c>
    </row>
    <row r="1124" spans="1:19" x14ac:dyDescent="0.3">
      <c r="A1124">
        <v>94</v>
      </c>
      <c r="B1124" t="s">
        <v>15</v>
      </c>
      <c r="C1124">
        <v>2169679.91</v>
      </c>
      <c r="D1124" t="s">
        <v>2252</v>
      </c>
      <c r="E1124">
        <v>2169679.91</v>
      </c>
      <c r="F1124">
        <v>0</v>
      </c>
      <c r="G1124" t="s">
        <v>2253</v>
      </c>
      <c r="H1124">
        <v>0</v>
      </c>
      <c r="I1124">
        <v>0</v>
      </c>
      <c r="J1124">
        <v>1</v>
      </c>
      <c r="K1124">
        <v>0</v>
      </c>
      <c r="L1124">
        <v>22</v>
      </c>
      <c r="M1124">
        <v>0</v>
      </c>
      <c r="N1124">
        <v>1</v>
      </c>
      <c r="O1124">
        <v>2169679.91</v>
      </c>
      <c r="P1124">
        <f>IF(C1124&gt;=200000,5,IF(C1124&gt;=100000,4,IF(C1124&gt;=50000,3,IF(C1124&gt;=10000,2,1))))</f>
        <v>5</v>
      </c>
      <c r="Q1124">
        <f>IF(B1124="TRANSFER",5,IF(B1124="CASH_OUT",4,IF(B1124="DEBIT",2,1)))</f>
        <v>5</v>
      </c>
      <c r="R1124">
        <f>(P1124*0.5)+(Q1124*0.3)+(N1124*0.1)+(M1124*0.1)</f>
        <v>4.0999999999999996</v>
      </c>
      <c r="S1124" t="str">
        <f t="shared" si="17"/>
        <v>HIGH</v>
      </c>
    </row>
    <row r="1125" spans="1:19" x14ac:dyDescent="0.3">
      <c r="A1125">
        <v>94</v>
      </c>
      <c r="B1125" t="s">
        <v>18</v>
      </c>
      <c r="C1125">
        <v>2169679.91</v>
      </c>
      <c r="D1125" t="s">
        <v>2254</v>
      </c>
      <c r="E1125">
        <v>2169679.91</v>
      </c>
      <c r="F1125">
        <v>0</v>
      </c>
      <c r="G1125" t="s">
        <v>2255</v>
      </c>
      <c r="H1125">
        <v>0</v>
      </c>
      <c r="I1125">
        <v>2169679.91</v>
      </c>
      <c r="J1125">
        <v>1</v>
      </c>
      <c r="K1125">
        <v>0</v>
      </c>
      <c r="L1125">
        <v>22</v>
      </c>
      <c r="M1125">
        <v>0</v>
      </c>
      <c r="N1125">
        <v>1</v>
      </c>
      <c r="O1125">
        <v>2169679.91</v>
      </c>
      <c r="P1125">
        <f>IF(C1125&gt;=200000,5,IF(C1125&gt;=100000,4,IF(C1125&gt;=50000,3,IF(C1125&gt;=10000,2,1))))</f>
        <v>5</v>
      </c>
      <c r="Q1125">
        <f>IF(B1125="TRANSFER",5,IF(B1125="CASH_OUT",4,IF(B1125="DEBIT",2,1)))</f>
        <v>4</v>
      </c>
      <c r="R1125">
        <f>(P1125*0.5)+(Q1125*0.3)+(N1125*0.1)+(M1125*0.1)</f>
        <v>3.8000000000000003</v>
      </c>
      <c r="S1125" t="str">
        <f t="shared" si="17"/>
        <v>HIGH</v>
      </c>
    </row>
    <row r="1126" spans="1:19" x14ac:dyDescent="0.3">
      <c r="A1126">
        <v>94</v>
      </c>
      <c r="B1126" t="s">
        <v>15</v>
      </c>
      <c r="C1126">
        <v>1454592.61</v>
      </c>
      <c r="D1126" t="s">
        <v>2256</v>
      </c>
      <c r="E1126">
        <v>1454592.61</v>
      </c>
      <c r="F1126">
        <v>0</v>
      </c>
      <c r="G1126" t="s">
        <v>2257</v>
      </c>
      <c r="H1126">
        <v>0</v>
      </c>
      <c r="I1126">
        <v>0</v>
      </c>
      <c r="J1126">
        <v>1</v>
      </c>
      <c r="K1126">
        <v>0</v>
      </c>
      <c r="L1126">
        <v>22</v>
      </c>
      <c r="M1126">
        <v>0</v>
      </c>
      <c r="N1126">
        <v>1</v>
      </c>
      <c r="O1126">
        <v>1454592.61</v>
      </c>
      <c r="P1126">
        <f>IF(C1126&gt;=200000,5,IF(C1126&gt;=100000,4,IF(C1126&gt;=50000,3,IF(C1126&gt;=10000,2,1))))</f>
        <v>5</v>
      </c>
      <c r="Q1126">
        <f>IF(B1126="TRANSFER",5,IF(B1126="CASH_OUT",4,IF(B1126="DEBIT",2,1)))</f>
        <v>5</v>
      </c>
      <c r="R1126">
        <f>(P1126*0.5)+(Q1126*0.3)+(N1126*0.1)+(M1126*0.1)</f>
        <v>4.0999999999999996</v>
      </c>
      <c r="S1126" t="str">
        <f t="shared" si="17"/>
        <v>HIGH</v>
      </c>
    </row>
    <row r="1127" spans="1:19" x14ac:dyDescent="0.3">
      <c r="A1127">
        <v>94</v>
      </c>
      <c r="B1127" t="s">
        <v>18</v>
      </c>
      <c r="C1127">
        <v>1454592.61</v>
      </c>
      <c r="D1127" t="s">
        <v>2258</v>
      </c>
      <c r="E1127">
        <v>1454592.61</v>
      </c>
      <c r="F1127">
        <v>0</v>
      </c>
      <c r="G1127" t="s">
        <v>2259</v>
      </c>
      <c r="H1127">
        <v>264042.92</v>
      </c>
      <c r="I1127">
        <v>1718635.53</v>
      </c>
      <c r="J1127">
        <v>1</v>
      </c>
      <c r="K1127">
        <v>0</v>
      </c>
      <c r="L1127">
        <v>22</v>
      </c>
      <c r="M1127">
        <v>0</v>
      </c>
      <c r="N1127">
        <v>1</v>
      </c>
      <c r="O1127">
        <v>1454592.61</v>
      </c>
      <c r="P1127">
        <f>IF(C1127&gt;=200000,5,IF(C1127&gt;=100000,4,IF(C1127&gt;=50000,3,IF(C1127&gt;=10000,2,1))))</f>
        <v>5</v>
      </c>
      <c r="Q1127">
        <f>IF(B1127="TRANSFER",5,IF(B1127="CASH_OUT",4,IF(B1127="DEBIT",2,1)))</f>
        <v>4</v>
      </c>
      <c r="R1127">
        <f>(P1127*0.5)+(Q1127*0.3)+(N1127*0.1)+(M1127*0.1)</f>
        <v>3.8000000000000003</v>
      </c>
      <c r="S1127" t="str">
        <f t="shared" si="17"/>
        <v>HIGH</v>
      </c>
    </row>
    <row r="1128" spans="1:19" x14ac:dyDescent="0.3">
      <c r="A1128">
        <v>94</v>
      </c>
      <c r="B1128" t="s">
        <v>15</v>
      </c>
      <c r="C1128">
        <v>460635.82</v>
      </c>
      <c r="D1128" t="s">
        <v>2260</v>
      </c>
      <c r="E1128">
        <v>460635.82</v>
      </c>
      <c r="F1128">
        <v>0</v>
      </c>
      <c r="G1128" t="s">
        <v>2261</v>
      </c>
      <c r="H1128">
        <v>0</v>
      </c>
      <c r="I1128">
        <v>0</v>
      </c>
      <c r="J1128">
        <v>1</v>
      </c>
      <c r="K1128">
        <v>0</v>
      </c>
      <c r="L1128">
        <v>22</v>
      </c>
      <c r="M1128">
        <v>0</v>
      </c>
      <c r="N1128">
        <v>1</v>
      </c>
      <c r="O1128">
        <v>460635.82</v>
      </c>
      <c r="P1128">
        <f>IF(C1128&gt;=200000,5,IF(C1128&gt;=100000,4,IF(C1128&gt;=50000,3,IF(C1128&gt;=10000,2,1))))</f>
        <v>5</v>
      </c>
      <c r="Q1128">
        <f>IF(B1128="TRANSFER",5,IF(B1128="CASH_OUT",4,IF(B1128="DEBIT",2,1)))</f>
        <v>5</v>
      </c>
      <c r="R1128">
        <f>(P1128*0.5)+(Q1128*0.3)+(N1128*0.1)+(M1128*0.1)</f>
        <v>4.0999999999999996</v>
      </c>
      <c r="S1128" t="str">
        <f t="shared" si="17"/>
        <v>HIGH</v>
      </c>
    </row>
    <row r="1129" spans="1:19" x14ac:dyDescent="0.3">
      <c r="A1129">
        <v>94</v>
      </c>
      <c r="B1129" t="s">
        <v>18</v>
      </c>
      <c r="C1129">
        <v>460635.82</v>
      </c>
      <c r="D1129" t="s">
        <v>2262</v>
      </c>
      <c r="E1129">
        <v>460635.82</v>
      </c>
      <c r="F1129">
        <v>0</v>
      </c>
      <c r="G1129" t="s">
        <v>2263</v>
      </c>
      <c r="H1129">
        <v>544728.68999999994</v>
      </c>
      <c r="I1129">
        <v>1005364.51</v>
      </c>
      <c r="J1129">
        <v>1</v>
      </c>
      <c r="K1129">
        <v>0</v>
      </c>
      <c r="L1129">
        <v>22</v>
      </c>
      <c r="M1129">
        <v>0</v>
      </c>
      <c r="N1129">
        <v>1</v>
      </c>
      <c r="O1129">
        <v>460635.82</v>
      </c>
      <c r="P1129">
        <f>IF(C1129&gt;=200000,5,IF(C1129&gt;=100000,4,IF(C1129&gt;=50000,3,IF(C1129&gt;=10000,2,1))))</f>
        <v>5</v>
      </c>
      <c r="Q1129">
        <f>IF(B1129="TRANSFER",5,IF(B1129="CASH_OUT",4,IF(B1129="DEBIT",2,1)))</f>
        <v>4</v>
      </c>
      <c r="R1129">
        <f>(P1129*0.5)+(Q1129*0.3)+(N1129*0.1)+(M1129*0.1)</f>
        <v>3.8000000000000003</v>
      </c>
      <c r="S1129" t="str">
        <f t="shared" si="17"/>
        <v>HIGH</v>
      </c>
    </row>
    <row r="1130" spans="1:19" x14ac:dyDescent="0.3">
      <c r="A1130">
        <v>94</v>
      </c>
      <c r="B1130" t="s">
        <v>15</v>
      </c>
      <c r="C1130">
        <v>2393539.65</v>
      </c>
      <c r="D1130" t="s">
        <v>2264</v>
      </c>
      <c r="E1130">
        <v>2393539.65</v>
      </c>
      <c r="F1130">
        <v>0</v>
      </c>
      <c r="G1130" t="s">
        <v>2265</v>
      </c>
      <c r="H1130">
        <v>0</v>
      </c>
      <c r="I1130">
        <v>0</v>
      </c>
      <c r="J1130">
        <v>1</v>
      </c>
      <c r="K1130">
        <v>0</v>
      </c>
      <c r="L1130">
        <v>22</v>
      </c>
      <c r="M1130">
        <v>0</v>
      </c>
      <c r="N1130">
        <v>1</v>
      </c>
      <c r="O1130">
        <v>2393539.65</v>
      </c>
      <c r="P1130">
        <f>IF(C1130&gt;=200000,5,IF(C1130&gt;=100000,4,IF(C1130&gt;=50000,3,IF(C1130&gt;=10000,2,1))))</f>
        <v>5</v>
      </c>
      <c r="Q1130">
        <f>IF(B1130="TRANSFER",5,IF(B1130="CASH_OUT",4,IF(B1130="DEBIT",2,1)))</f>
        <v>5</v>
      </c>
      <c r="R1130">
        <f>(P1130*0.5)+(Q1130*0.3)+(N1130*0.1)+(M1130*0.1)</f>
        <v>4.0999999999999996</v>
      </c>
      <c r="S1130" t="str">
        <f t="shared" si="17"/>
        <v>HIGH</v>
      </c>
    </row>
    <row r="1131" spans="1:19" x14ac:dyDescent="0.3">
      <c r="A1131">
        <v>94</v>
      </c>
      <c r="B1131" t="s">
        <v>18</v>
      </c>
      <c r="C1131">
        <v>2393539.65</v>
      </c>
      <c r="D1131" t="s">
        <v>2266</v>
      </c>
      <c r="E1131">
        <v>2393539.65</v>
      </c>
      <c r="F1131">
        <v>0</v>
      </c>
      <c r="G1131" t="s">
        <v>2267</v>
      </c>
      <c r="H1131">
        <v>5157128.07</v>
      </c>
      <c r="I1131">
        <v>7550667.7300000004</v>
      </c>
      <c r="J1131">
        <v>1</v>
      </c>
      <c r="K1131">
        <v>0</v>
      </c>
      <c r="L1131">
        <v>22</v>
      </c>
      <c r="M1131">
        <v>0</v>
      </c>
      <c r="N1131">
        <v>1</v>
      </c>
      <c r="O1131">
        <v>2393539.65</v>
      </c>
      <c r="P1131">
        <f>IF(C1131&gt;=200000,5,IF(C1131&gt;=100000,4,IF(C1131&gt;=50000,3,IF(C1131&gt;=10000,2,1))))</f>
        <v>5</v>
      </c>
      <c r="Q1131">
        <f>IF(B1131="TRANSFER",5,IF(B1131="CASH_OUT",4,IF(B1131="DEBIT",2,1)))</f>
        <v>4</v>
      </c>
      <c r="R1131">
        <f>(P1131*0.5)+(Q1131*0.3)+(N1131*0.1)+(M1131*0.1)</f>
        <v>3.8000000000000003</v>
      </c>
      <c r="S1131" t="str">
        <f t="shared" si="17"/>
        <v>HIGH</v>
      </c>
    </row>
    <row r="1132" spans="1:19" x14ac:dyDescent="0.3">
      <c r="A1132">
        <v>94</v>
      </c>
      <c r="B1132" t="s">
        <v>15</v>
      </c>
      <c r="C1132">
        <v>445257.43</v>
      </c>
      <c r="D1132" t="s">
        <v>2268</v>
      </c>
      <c r="E1132">
        <v>445257.43</v>
      </c>
      <c r="F1132">
        <v>0</v>
      </c>
      <c r="G1132" t="s">
        <v>2269</v>
      </c>
      <c r="H1132">
        <v>0</v>
      </c>
      <c r="I1132">
        <v>0</v>
      </c>
      <c r="J1132">
        <v>1</v>
      </c>
      <c r="K1132">
        <v>0</v>
      </c>
      <c r="L1132">
        <v>22</v>
      </c>
      <c r="M1132">
        <v>0</v>
      </c>
      <c r="N1132">
        <v>1</v>
      </c>
      <c r="O1132">
        <v>445257.43</v>
      </c>
      <c r="P1132">
        <f>IF(C1132&gt;=200000,5,IF(C1132&gt;=100000,4,IF(C1132&gt;=50000,3,IF(C1132&gt;=10000,2,1))))</f>
        <v>5</v>
      </c>
      <c r="Q1132">
        <f>IF(B1132="TRANSFER",5,IF(B1132="CASH_OUT",4,IF(B1132="DEBIT",2,1)))</f>
        <v>5</v>
      </c>
      <c r="R1132">
        <f>(P1132*0.5)+(Q1132*0.3)+(N1132*0.1)+(M1132*0.1)</f>
        <v>4.0999999999999996</v>
      </c>
      <c r="S1132" t="str">
        <f t="shared" si="17"/>
        <v>HIGH</v>
      </c>
    </row>
    <row r="1133" spans="1:19" x14ac:dyDescent="0.3">
      <c r="A1133">
        <v>94</v>
      </c>
      <c r="B1133" t="s">
        <v>18</v>
      </c>
      <c r="C1133">
        <v>445257.43</v>
      </c>
      <c r="D1133" t="s">
        <v>2270</v>
      </c>
      <c r="E1133">
        <v>445257.43</v>
      </c>
      <c r="F1133">
        <v>0</v>
      </c>
      <c r="G1133" t="s">
        <v>2271</v>
      </c>
      <c r="H1133">
        <v>0</v>
      </c>
      <c r="I1133">
        <v>445257.43</v>
      </c>
      <c r="J1133">
        <v>1</v>
      </c>
      <c r="K1133">
        <v>0</v>
      </c>
      <c r="L1133">
        <v>22</v>
      </c>
      <c r="M1133">
        <v>0</v>
      </c>
      <c r="N1133">
        <v>1</v>
      </c>
      <c r="O1133">
        <v>445257.43</v>
      </c>
      <c r="P1133">
        <f>IF(C1133&gt;=200000,5,IF(C1133&gt;=100000,4,IF(C1133&gt;=50000,3,IF(C1133&gt;=10000,2,1))))</f>
        <v>5</v>
      </c>
      <c r="Q1133">
        <f>IF(B1133="TRANSFER",5,IF(B1133="CASH_OUT",4,IF(B1133="DEBIT",2,1)))</f>
        <v>4</v>
      </c>
      <c r="R1133">
        <f>(P1133*0.5)+(Q1133*0.3)+(N1133*0.1)+(M1133*0.1)</f>
        <v>3.8000000000000003</v>
      </c>
      <c r="S1133" t="str">
        <f t="shared" si="17"/>
        <v>HIGH</v>
      </c>
    </row>
    <row r="1134" spans="1:19" x14ac:dyDescent="0.3">
      <c r="A1134">
        <v>94</v>
      </c>
      <c r="B1134" t="s">
        <v>15</v>
      </c>
      <c r="C1134">
        <v>363378.75</v>
      </c>
      <c r="D1134" t="s">
        <v>2272</v>
      </c>
      <c r="E1134">
        <v>363378.75</v>
      </c>
      <c r="F1134">
        <v>0</v>
      </c>
      <c r="G1134" t="s">
        <v>2273</v>
      </c>
      <c r="H1134">
        <v>0</v>
      </c>
      <c r="I1134">
        <v>0</v>
      </c>
      <c r="J1134">
        <v>1</v>
      </c>
      <c r="K1134">
        <v>0</v>
      </c>
      <c r="L1134">
        <v>22</v>
      </c>
      <c r="M1134">
        <v>0</v>
      </c>
      <c r="N1134">
        <v>1</v>
      </c>
      <c r="O1134">
        <v>363378.75</v>
      </c>
      <c r="P1134">
        <f>IF(C1134&gt;=200000,5,IF(C1134&gt;=100000,4,IF(C1134&gt;=50000,3,IF(C1134&gt;=10000,2,1))))</f>
        <v>5</v>
      </c>
      <c r="Q1134">
        <f>IF(B1134="TRANSFER",5,IF(B1134="CASH_OUT",4,IF(B1134="DEBIT",2,1)))</f>
        <v>5</v>
      </c>
      <c r="R1134">
        <f>(P1134*0.5)+(Q1134*0.3)+(N1134*0.1)+(M1134*0.1)</f>
        <v>4.0999999999999996</v>
      </c>
      <c r="S1134" t="str">
        <f t="shared" si="17"/>
        <v>HIGH</v>
      </c>
    </row>
    <row r="1135" spans="1:19" x14ac:dyDescent="0.3">
      <c r="A1135">
        <v>94</v>
      </c>
      <c r="B1135" t="s">
        <v>18</v>
      </c>
      <c r="C1135">
        <v>363378.75</v>
      </c>
      <c r="D1135" t="s">
        <v>2274</v>
      </c>
      <c r="E1135">
        <v>363378.75</v>
      </c>
      <c r="F1135">
        <v>0</v>
      </c>
      <c r="G1135" t="s">
        <v>2275</v>
      </c>
      <c r="H1135">
        <v>3609871.44</v>
      </c>
      <c r="I1135">
        <v>3973250.18</v>
      </c>
      <c r="J1135">
        <v>1</v>
      </c>
      <c r="K1135">
        <v>0</v>
      </c>
      <c r="L1135">
        <v>22</v>
      </c>
      <c r="M1135">
        <v>0</v>
      </c>
      <c r="N1135">
        <v>1</v>
      </c>
      <c r="O1135">
        <v>363378.75</v>
      </c>
      <c r="P1135">
        <f>IF(C1135&gt;=200000,5,IF(C1135&gt;=100000,4,IF(C1135&gt;=50000,3,IF(C1135&gt;=10000,2,1))))</f>
        <v>5</v>
      </c>
      <c r="Q1135">
        <f>IF(B1135="TRANSFER",5,IF(B1135="CASH_OUT",4,IF(B1135="DEBIT",2,1)))</f>
        <v>4</v>
      </c>
      <c r="R1135">
        <f>(P1135*0.5)+(Q1135*0.3)+(N1135*0.1)+(M1135*0.1)</f>
        <v>3.8000000000000003</v>
      </c>
      <c r="S1135" t="str">
        <f t="shared" si="17"/>
        <v>HIGH</v>
      </c>
    </row>
    <row r="1136" spans="1:19" x14ac:dyDescent="0.3">
      <c r="A1136">
        <v>95</v>
      </c>
      <c r="B1136" t="s">
        <v>15</v>
      </c>
      <c r="C1136">
        <v>655676.97</v>
      </c>
      <c r="D1136" t="s">
        <v>2276</v>
      </c>
      <c r="E1136">
        <v>655676.97</v>
      </c>
      <c r="F1136">
        <v>0</v>
      </c>
      <c r="G1136" t="s">
        <v>2277</v>
      </c>
      <c r="H1136">
        <v>0</v>
      </c>
      <c r="I1136">
        <v>0</v>
      </c>
      <c r="J1136">
        <v>1</v>
      </c>
      <c r="K1136">
        <v>0</v>
      </c>
      <c r="L1136">
        <v>23</v>
      </c>
      <c r="M1136">
        <v>0</v>
      </c>
      <c r="N1136">
        <v>1</v>
      </c>
      <c r="O1136">
        <v>655676.97</v>
      </c>
      <c r="P1136">
        <f>IF(C1136&gt;=200000,5,IF(C1136&gt;=100000,4,IF(C1136&gt;=50000,3,IF(C1136&gt;=10000,2,1))))</f>
        <v>5</v>
      </c>
      <c r="Q1136">
        <f>IF(B1136="TRANSFER",5,IF(B1136="CASH_OUT",4,IF(B1136="DEBIT",2,1)))</f>
        <v>5</v>
      </c>
      <c r="R1136">
        <f>(P1136*0.5)+(Q1136*0.3)+(N1136*0.1)+(M1136*0.1)</f>
        <v>4.0999999999999996</v>
      </c>
      <c r="S1136" t="str">
        <f t="shared" si="17"/>
        <v>HIGH</v>
      </c>
    </row>
    <row r="1137" spans="1:19" x14ac:dyDescent="0.3">
      <c r="A1137">
        <v>95</v>
      </c>
      <c r="B1137" t="s">
        <v>18</v>
      </c>
      <c r="C1137">
        <v>655676.97</v>
      </c>
      <c r="D1137" t="s">
        <v>2278</v>
      </c>
      <c r="E1137">
        <v>655676.97</v>
      </c>
      <c r="F1137">
        <v>0</v>
      </c>
      <c r="G1137" t="s">
        <v>2279</v>
      </c>
      <c r="H1137">
        <v>53614.28</v>
      </c>
      <c r="I1137">
        <v>709291.25</v>
      </c>
      <c r="J1137">
        <v>1</v>
      </c>
      <c r="K1137">
        <v>0</v>
      </c>
      <c r="L1137">
        <v>23</v>
      </c>
      <c r="M1137">
        <v>0</v>
      </c>
      <c r="N1137">
        <v>1</v>
      </c>
      <c r="O1137">
        <v>655676.97</v>
      </c>
      <c r="P1137">
        <f>IF(C1137&gt;=200000,5,IF(C1137&gt;=100000,4,IF(C1137&gt;=50000,3,IF(C1137&gt;=10000,2,1))))</f>
        <v>5</v>
      </c>
      <c r="Q1137">
        <f>IF(B1137="TRANSFER",5,IF(B1137="CASH_OUT",4,IF(B1137="DEBIT",2,1)))</f>
        <v>4</v>
      </c>
      <c r="R1137">
        <f>(P1137*0.5)+(Q1137*0.3)+(N1137*0.1)+(M1137*0.1)</f>
        <v>3.8000000000000003</v>
      </c>
      <c r="S1137" t="str">
        <f t="shared" si="17"/>
        <v>HIGH</v>
      </c>
    </row>
    <row r="1138" spans="1:19" x14ac:dyDescent="0.3">
      <c r="A1138">
        <v>95</v>
      </c>
      <c r="B1138" t="s">
        <v>15</v>
      </c>
      <c r="C1138">
        <v>56745.14</v>
      </c>
      <c r="D1138" t="s">
        <v>2280</v>
      </c>
      <c r="E1138">
        <v>56745.14</v>
      </c>
      <c r="F1138">
        <v>0</v>
      </c>
      <c r="G1138" t="s">
        <v>2281</v>
      </c>
      <c r="H1138">
        <v>0</v>
      </c>
      <c r="I1138">
        <v>0</v>
      </c>
      <c r="J1138">
        <v>1</v>
      </c>
      <c r="K1138">
        <v>0</v>
      </c>
      <c r="L1138">
        <v>23</v>
      </c>
      <c r="M1138">
        <v>0</v>
      </c>
      <c r="N1138">
        <v>1</v>
      </c>
      <c r="O1138">
        <v>56745.14</v>
      </c>
      <c r="P1138">
        <f>IF(C1138&gt;=200000,5,IF(C1138&gt;=100000,4,IF(C1138&gt;=50000,3,IF(C1138&gt;=10000,2,1))))</f>
        <v>3</v>
      </c>
      <c r="Q1138">
        <f>IF(B1138="TRANSFER",5,IF(B1138="CASH_OUT",4,IF(B1138="DEBIT",2,1)))</f>
        <v>5</v>
      </c>
      <c r="R1138">
        <f>(P1138*0.5)+(Q1138*0.3)+(N1138*0.1)+(M1138*0.1)</f>
        <v>3.1</v>
      </c>
      <c r="S1138" t="str">
        <f t="shared" si="17"/>
        <v>HIGH</v>
      </c>
    </row>
    <row r="1139" spans="1:19" x14ac:dyDescent="0.3">
      <c r="A1139">
        <v>95</v>
      </c>
      <c r="B1139" t="s">
        <v>18</v>
      </c>
      <c r="C1139">
        <v>56745.14</v>
      </c>
      <c r="D1139" t="s">
        <v>2282</v>
      </c>
      <c r="E1139">
        <v>56745.14</v>
      </c>
      <c r="F1139">
        <v>0</v>
      </c>
      <c r="G1139" t="s">
        <v>2283</v>
      </c>
      <c r="H1139">
        <v>51433.88</v>
      </c>
      <c r="I1139">
        <v>108179.02</v>
      </c>
      <c r="J1139">
        <v>1</v>
      </c>
      <c r="K1139">
        <v>0</v>
      </c>
      <c r="L1139">
        <v>23</v>
      </c>
      <c r="M1139">
        <v>0</v>
      </c>
      <c r="N1139">
        <v>1</v>
      </c>
      <c r="O1139">
        <v>56745.14</v>
      </c>
      <c r="P1139">
        <f>IF(C1139&gt;=200000,5,IF(C1139&gt;=100000,4,IF(C1139&gt;=50000,3,IF(C1139&gt;=10000,2,1))))</f>
        <v>3</v>
      </c>
      <c r="Q1139">
        <f>IF(B1139="TRANSFER",5,IF(B1139="CASH_OUT",4,IF(B1139="DEBIT",2,1)))</f>
        <v>4</v>
      </c>
      <c r="R1139">
        <f>(P1139*0.5)+(Q1139*0.3)+(N1139*0.1)+(M1139*0.1)</f>
        <v>2.8000000000000003</v>
      </c>
      <c r="S1139" t="str">
        <f t="shared" si="17"/>
        <v>MEDIUM</v>
      </c>
    </row>
    <row r="1140" spans="1:19" x14ac:dyDescent="0.3">
      <c r="A1140">
        <v>95</v>
      </c>
      <c r="B1140" t="s">
        <v>15</v>
      </c>
      <c r="C1140">
        <v>33676.589999999997</v>
      </c>
      <c r="D1140" t="s">
        <v>2284</v>
      </c>
      <c r="E1140">
        <v>33676.589999999997</v>
      </c>
      <c r="F1140">
        <v>0</v>
      </c>
      <c r="G1140" t="s">
        <v>2285</v>
      </c>
      <c r="H1140">
        <v>0</v>
      </c>
      <c r="I1140">
        <v>0</v>
      </c>
      <c r="J1140">
        <v>1</v>
      </c>
      <c r="K1140">
        <v>0</v>
      </c>
      <c r="L1140">
        <v>23</v>
      </c>
      <c r="M1140">
        <v>0</v>
      </c>
      <c r="N1140">
        <v>1</v>
      </c>
      <c r="O1140">
        <v>33676.589999999997</v>
      </c>
      <c r="P1140">
        <f>IF(C1140&gt;=200000,5,IF(C1140&gt;=100000,4,IF(C1140&gt;=50000,3,IF(C1140&gt;=10000,2,1))))</f>
        <v>2</v>
      </c>
      <c r="Q1140">
        <f>IF(B1140="TRANSFER",5,IF(B1140="CASH_OUT",4,IF(B1140="DEBIT",2,1)))</f>
        <v>5</v>
      </c>
      <c r="R1140">
        <f>(P1140*0.5)+(Q1140*0.3)+(N1140*0.1)+(M1140*0.1)</f>
        <v>2.6</v>
      </c>
      <c r="S1140" t="str">
        <f t="shared" si="17"/>
        <v>MEDIUM</v>
      </c>
    </row>
    <row r="1141" spans="1:19" x14ac:dyDescent="0.3">
      <c r="A1141">
        <v>95</v>
      </c>
      <c r="B1141" t="s">
        <v>18</v>
      </c>
      <c r="C1141">
        <v>33676.589999999997</v>
      </c>
      <c r="D1141" t="s">
        <v>2286</v>
      </c>
      <c r="E1141">
        <v>33676.589999999997</v>
      </c>
      <c r="F1141">
        <v>0</v>
      </c>
      <c r="G1141" t="s">
        <v>2287</v>
      </c>
      <c r="H1141">
        <v>0</v>
      </c>
      <c r="I1141">
        <v>33676.589999999997</v>
      </c>
      <c r="J1141">
        <v>1</v>
      </c>
      <c r="K1141">
        <v>0</v>
      </c>
      <c r="L1141">
        <v>23</v>
      </c>
      <c r="M1141">
        <v>0</v>
      </c>
      <c r="N1141">
        <v>1</v>
      </c>
      <c r="O1141">
        <v>33676.589999999997</v>
      </c>
      <c r="P1141">
        <f>IF(C1141&gt;=200000,5,IF(C1141&gt;=100000,4,IF(C1141&gt;=50000,3,IF(C1141&gt;=10000,2,1))))</f>
        <v>2</v>
      </c>
      <c r="Q1141">
        <f>IF(B1141="TRANSFER",5,IF(B1141="CASH_OUT",4,IF(B1141="DEBIT",2,1)))</f>
        <v>4</v>
      </c>
      <c r="R1141">
        <f>(P1141*0.5)+(Q1141*0.3)+(N1141*0.1)+(M1141*0.1)</f>
        <v>2.3000000000000003</v>
      </c>
      <c r="S1141" t="str">
        <f t="shared" si="17"/>
        <v>MEDIUM</v>
      </c>
    </row>
    <row r="1142" spans="1:19" x14ac:dyDescent="0.3">
      <c r="A1142">
        <v>95</v>
      </c>
      <c r="B1142" t="s">
        <v>15</v>
      </c>
      <c r="C1142">
        <v>87999.25</v>
      </c>
      <c r="D1142" t="s">
        <v>2288</v>
      </c>
      <c r="E1142">
        <v>87999.25</v>
      </c>
      <c r="F1142">
        <v>0</v>
      </c>
      <c r="G1142" t="s">
        <v>2289</v>
      </c>
      <c r="H1142">
        <v>0</v>
      </c>
      <c r="I1142">
        <v>0</v>
      </c>
      <c r="J1142">
        <v>1</v>
      </c>
      <c r="K1142">
        <v>0</v>
      </c>
      <c r="L1142">
        <v>23</v>
      </c>
      <c r="M1142">
        <v>0</v>
      </c>
      <c r="N1142">
        <v>1</v>
      </c>
      <c r="O1142">
        <v>87999.25</v>
      </c>
      <c r="P1142">
        <f>IF(C1142&gt;=200000,5,IF(C1142&gt;=100000,4,IF(C1142&gt;=50000,3,IF(C1142&gt;=10000,2,1))))</f>
        <v>3</v>
      </c>
      <c r="Q1142">
        <f>IF(B1142="TRANSFER",5,IF(B1142="CASH_OUT",4,IF(B1142="DEBIT",2,1)))</f>
        <v>5</v>
      </c>
      <c r="R1142">
        <f>(P1142*0.5)+(Q1142*0.3)+(N1142*0.1)+(M1142*0.1)</f>
        <v>3.1</v>
      </c>
      <c r="S1142" t="str">
        <f t="shared" si="17"/>
        <v>HIGH</v>
      </c>
    </row>
    <row r="1143" spans="1:19" x14ac:dyDescent="0.3">
      <c r="A1143">
        <v>95</v>
      </c>
      <c r="B1143" t="s">
        <v>18</v>
      </c>
      <c r="C1143">
        <v>87999.25</v>
      </c>
      <c r="D1143" t="s">
        <v>2290</v>
      </c>
      <c r="E1143">
        <v>87999.25</v>
      </c>
      <c r="F1143">
        <v>0</v>
      </c>
      <c r="G1143" t="s">
        <v>827</v>
      </c>
      <c r="H1143">
        <v>0</v>
      </c>
      <c r="I1143">
        <v>87999.25</v>
      </c>
      <c r="J1143">
        <v>1</v>
      </c>
      <c r="K1143">
        <v>0</v>
      </c>
      <c r="L1143">
        <v>23</v>
      </c>
      <c r="M1143">
        <v>0</v>
      </c>
      <c r="N1143">
        <v>1</v>
      </c>
      <c r="O1143">
        <v>87999.25</v>
      </c>
      <c r="P1143">
        <f>IF(C1143&gt;=200000,5,IF(C1143&gt;=100000,4,IF(C1143&gt;=50000,3,IF(C1143&gt;=10000,2,1))))</f>
        <v>3</v>
      </c>
      <c r="Q1143">
        <f>IF(B1143="TRANSFER",5,IF(B1143="CASH_OUT",4,IF(B1143="DEBIT",2,1)))</f>
        <v>4</v>
      </c>
      <c r="R1143">
        <f>(P1143*0.5)+(Q1143*0.3)+(N1143*0.1)+(M1143*0.1)</f>
        <v>2.8000000000000003</v>
      </c>
      <c r="S1143" t="str">
        <f t="shared" si="17"/>
        <v>MEDIUM</v>
      </c>
    </row>
  </sheetData>
  <conditionalFormatting sqref="S2:S1143">
    <cfRule type="cellIs" dxfId="5" priority="1" operator="equal">
      <formula>"LOW"</formula>
    </cfRule>
    <cfRule type="cellIs" dxfId="4" priority="2" operator="equal">
      <formula>"GREEN"</formula>
    </cfRule>
    <cfRule type="cellIs" dxfId="3" priority="3" operator="equal">
      <formula>"MEDIUM"</formula>
    </cfRule>
    <cfRule type="cellIs" dxfId="2" priority="4" operator="equal">
      <formula>"HIGH"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1CFD3-793C-4510-9EF8-5E90B140F094}">
  <dimension ref="A3:E7"/>
  <sheetViews>
    <sheetView workbookViewId="0">
      <selection activeCell="M17" sqref="M17"/>
    </sheetView>
  </sheetViews>
  <sheetFormatPr defaultRowHeight="14.4" x14ac:dyDescent="0.3"/>
  <cols>
    <col min="1" max="2" width="15.5546875" bestFit="1" customWidth="1"/>
    <col min="3" max="3" width="5" bestFit="1" customWidth="1"/>
    <col min="4" max="4" width="8.6640625" bestFit="1" customWidth="1"/>
    <col min="5" max="5" width="10.77734375" bestFit="1" customWidth="1"/>
  </cols>
  <sheetData>
    <row r="3" spans="1:5" x14ac:dyDescent="0.3">
      <c r="A3" s="2" t="s">
        <v>2313</v>
      </c>
      <c r="B3" s="2" t="s">
        <v>2309</v>
      </c>
    </row>
    <row r="4" spans="1:5" x14ac:dyDescent="0.3">
      <c r="A4" s="2" t="s">
        <v>2307</v>
      </c>
      <c r="B4" t="s">
        <v>2310</v>
      </c>
      <c r="C4" t="s">
        <v>2311</v>
      </c>
      <c r="D4" t="s">
        <v>2312</v>
      </c>
      <c r="E4" t="s">
        <v>2308</v>
      </c>
    </row>
    <row r="5" spans="1:5" x14ac:dyDescent="0.3">
      <c r="A5" s="3" t="s">
        <v>18</v>
      </c>
      <c r="B5" s="1">
        <v>421</v>
      </c>
      <c r="C5" s="1">
        <v>28</v>
      </c>
      <c r="D5" s="1">
        <v>129</v>
      </c>
      <c r="E5" s="1">
        <v>578</v>
      </c>
    </row>
    <row r="6" spans="1:5" x14ac:dyDescent="0.3">
      <c r="A6" s="3" t="s">
        <v>15</v>
      </c>
      <c r="B6" s="1">
        <v>454</v>
      </c>
      <c r="C6" s="1"/>
      <c r="D6" s="1">
        <v>110</v>
      </c>
      <c r="E6" s="1">
        <v>564</v>
      </c>
    </row>
    <row r="7" spans="1:5" x14ac:dyDescent="0.3">
      <c r="A7" s="3" t="s">
        <v>2308</v>
      </c>
      <c r="B7" s="1">
        <v>875</v>
      </c>
      <c r="C7" s="1">
        <v>28</v>
      </c>
      <c r="D7" s="1">
        <v>239</v>
      </c>
      <c r="E7" s="1">
        <v>1142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0ED47-26CD-4F02-991B-0F8A06D250B8}">
  <dimension ref="A1:Z1143"/>
  <sheetViews>
    <sheetView topLeftCell="L1" workbookViewId="0">
      <selection activeCell="AA919" sqref="AA919"/>
    </sheetView>
  </sheetViews>
  <sheetFormatPr defaultRowHeight="14.4" x14ac:dyDescent="0.3"/>
  <cols>
    <col min="22" max="22" width="16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2300</v>
      </c>
      <c r="Q1" t="s">
        <v>2302</v>
      </c>
      <c r="R1" t="s">
        <v>2301</v>
      </c>
      <c r="S1" t="s">
        <v>2303</v>
      </c>
      <c r="V1" t="s">
        <v>2314</v>
      </c>
      <c r="W1" t="s">
        <v>2315</v>
      </c>
      <c r="X1" t="s">
        <v>2316</v>
      </c>
      <c r="Z1">
        <f>COUNTIF(X:X,"MATCH")</f>
        <v>1111</v>
      </c>
    </row>
    <row r="2" spans="1:26" x14ac:dyDescent="0.3">
      <c r="A2">
        <v>1</v>
      </c>
      <c r="B2" t="s">
        <v>15</v>
      </c>
      <c r="C2">
        <v>181</v>
      </c>
      <c r="D2" t="s">
        <v>16</v>
      </c>
      <c r="E2">
        <v>181</v>
      </c>
      <c r="F2">
        <v>0</v>
      </c>
      <c r="G2" t="s">
        <v>17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181</v>
      </c>
      <c r="P2">
        <v>1</v>
      </c>
      <c r="Q2">
        <v>5</v>
      </c>
      <c r="R2">
        <v>2.1</v>
      </c>
      <c r="S2" t="s">
        <v>2312</v>
      </c>
      <c r="T2" t="s">
        <v>2304</v>
      </c>
      <c r="U2">
        <v>875</v>
      </c>
      <c r="V2">
        <f>E2-C2</f>
        <v>0</v>
      </c>
      <c r="W2">
        <f>ABS(F2-V2)</f>
        <v>0</v>
      </c>
      <c r="X2" t="str">
        <f>IF(W2&lt;1,"MATCH","BREAK")</f>
        <v>MATCH</v>
      </c>
      <c r="Z2">
        <f>COUNTIF(X:X,"BREAK")</f>
        <v>31</v>
      </c>
    </row>
    <row r="3" spans="1:26" x14ac:dyDescent="0.3">
      <c r="A3">
        <v>1</v>
      </c>
      <c r="B3" t="s">
        <v>18</v>
      </c>
      <c r="C3">
        <v>181</v>
      </c>
      <c r="D3" t="s">
        <v>19</v>
      </c>
      <c r="E3">
        <v>181</v>
      </c>
      <c r="F3">
        <v>0</v>
      </c>
      <c r="G3" t="s">
        <v>20</v>
      </c>
      <c r="H3">
        <v>21182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181</v>
      </c>
      <c r="P3">
        <v>1</v>
      </c>
      <c r="Q3">
        <v>4</v>
      </c>
      <c r="R3">
        <v>1.8</v>
      </c>
      <c r="S3" t="s">
        <v>2311</v>
      </c>
      <c r="T3" t="s">
        <v>2305</v>
      </c>
      <c r="U3">
        <v>239</v>
      </c>
      <c r="V3">
        <f t="shared" ref="V3:V66" si="0">E3-C3</f>
        <v>0</v>
      </c>
      <c r="W3">
        <f t="shared" ref="W3:W66" si="1">ABS(F3-V3)</f>
        <v>0</v>
      </c>
      <c r="X3" t="str">
        <f t="shared" ref="X3:X66" si="2">IF(W3&lt;1,"MATCH","BREAK")</f>
        <v>MATCH</v>
      </c>
      <c r="Z3">
        <f>Z2/(Z1+Z2)</f>
        <v>2.7145359019264449E-2</v>
      </c>
    </row>
    <row r="4" spans="1:26" x14ac:dyDescent="0.3">
      <c r="A4">
        <v>1</v>
      </c>
      <c r="B4" t="s">
        <v>15</v>
      </c>
      <c r="C4">
        <v>2806</v>
      </c>
      <c r="D4" t="s">
        <v>21</v>
      </c>
      <c r="E4">
        <v>2806</v>
      </c>
      <c r="F4">
        <v>0</v>
      </c>
      <c r="G4" t="s">
        <v>22</v>
      </c>
      <c r="H4">
        <v>0</v>
      </c>
      <c r="I4">
        <v>0</v>
      </c>
      <c r="J4">
        <v>1</v>
      </c>
      <c r="K4">
        <v>0</v>
      </c>
      <c r="L4">
        <v>1</v>
      </c>
      <c r="M4">
        <v>0</v>
      </c>
      <c r="N4">
        <v>1</v>
      </c>
      <c r="O4">
        <v>2806</v>
      </c>
      <c r="P4">
        <v>1</v>
      </c>
      <c r="Q4">
        <v>5</v>
      </c>
      <c r="R4">
        <v>2.1</v>
      </c>
      <c r="S4" t="s">
        <v>2312</v>
      </c>
      <c r="T4" t="s">
        <v>2306</v>
      </c>
      <c r="U4">
        <v>28</v>
      </c>
      <c r="V4">
        <f t="shared" si="0"/>
        <v>0</v>
      </c>
      <c r="W4">
        <f t="shared" si="1"/>
        <v>0</v>
      </c>
      <c r="X4" t="str">
        <f t="shared" si="2"/>
        <v>MATCH</v>
      </c>
      <c r="Z4" t="s">
        <v>2317</v>
      </c>
    </row>
    <row r="5" spans="1:26" x14ac:dyDescent="0.3">
      <c r="A5">
        <v>1</v>
      </c>
      <c r="B5" t="s">
        <v>18</v>
      </c>
      <c r="C5">
        <v>2806</v>
      </c>
      <c r="D5" t="s">
        <v>23</v>
      </c>
      <c r="E5">
        <v>2806</v>
      </c>
      <c r="F5">
        <v>0</v>
      </c>
      <c r="G5" t="s">
        <v>24</v>
      </c>
      <c r="H5">
        <v>26202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2806</v>
      </c>
      <c r="P5">
        <v>1</v>
      </c>
      <c r="Q5">
        <v>4</v>
      </c>
      <c r="R5">
        <v>1.8</v>
      </c>
      <c r="S5" t="s">
        <v>2311</v>
      </c>
      <c r="V5">
        <f t="shared" si="0"/>
        <v>0</v>
      </c>
      <c r="W5">
        <f t="shared" si="1"/>
        <v>0</v>
      </c>
      <c r="X5" t="str">
        <f t="shared" si="2"/>
        <v>MATCH</v>
      </c>
    </row>
    <row r="6" spans="1:26" x14ac:dyDescent="0.3">
      <c r="A6">
        <v>1</v>
      </c>
      <c r="B6" t="s">
        <v>15</v>
      </c>
      <c r="C6">
        <v>20128</v>
      </c>
      <c r="D6" t="s">
        <v>25</v>
      </c>
      <c r="E6">
        <v>20128</v>
      </c>
      <c r="F6">
        <v>0</v>
      </c>
      <c r="G6" t="s">
        <v>26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1</v>
      </c>
      <c r="O6">
        <v>20128</v>
      </c>
      <c r="P6">
        <v>2</v>
      </c>
      <c r="Q6">
        <v>5</v>
      </c>
      <c r="R6">
        <v>2.6</v>
      </c>
      <c r="S6" t="s">
        <v>2312</v>
      </c>
      <c r="V6">
        <f t="shared" si="0"/>
        <v>0</v>
      </c>
      <c r="W6">
        <f t="shared" si="1"/>
        <v>0</v>
      </c>
      <c r="X6" t="str">
        <f t="shared" si="2"/>
        <v>MATCH</v>
      </c>
    </row>
    <row r="7" spans="1:26" x14ac:dyDescent="0.3">
      <c r="A7">
        <v>1</v>
      </c>
      <c r="B7" t="s">
        <v>18</v>
      </c>
      <c r="C7">
        <v>20128</v>
      </c>
      <c r="D7" t="s">
        <v>27</v>
      </c>
      <c r="E7">
        <v>20128</v>
      </c>
      <c r="F7">
        <v>0</v>
      </c>
      <c r="G7" t="s">
        <v>28</v>
      </c>
      <c r="H7">
        <v>6268</v>
      </c>
      <c r="I7">
        <v>12145.85</v>
      </c>
      <c r="J7">
        <v>1</v>
      </c>
      <c r="K7">
        <v>0</v>
      </c>
      <c r="L7">
        <v>1</v>
      </c>
      <c r="M7">
        <v>0</v>
      </c>
      <c r="N7">
        <v>1</v>
      </c>
      <c r="O7">
        <v>20128</v>
      </c>
      <c r="P7">
        <v>2</v>
      </c>
      <c r="Q7">
        <v>4</v>
      </c>
      <c r="R7">
        <v>2.3000000000000003</v>
      </c>
      <c r="S7" t="s">
        <v>2312</v>
      </c>
      <c r="V7">
        <f t="shared" si="0"/>
        <v>0</v>
      </c>
      <c r="W7">
        <f t="shared" si="1"/>
        <v>0</v>
      </c>
      <c r="X7" t="str">
        <f t="shared" si="2"/>
        <v>MATCH</v>
      </c>
    </row>
    <row r="8" spans="1:26" x14ac:dyDescent="0.3">
      <c r="A8">
        <v>1</v>
      </c>
      <c r="B8" t="s">
        <v>18</v>
      </c>
      <c r="C8">
        <v>416001.33</v>
      </c>
      <c r="D8" t="s">
        <v>29</v>
      </c>
      <c r="E8">
        <v>0</v>
      </c>
      <c r="F8">
        <v>0</v>
      </c>
      <c r="G8" t="s">
        <v>30</v>
      </c>
      <c r="H8">
        <v>102</v>
      </c>
      <c r="I8">
        <v>9291619.6199999992</v>
      </c>
      <c r="J8">
        <v>1</v>
      </c>
      <c r="K8">
        <v>0</v>
      </c>
      <c r="L8">
        <v>1</v>
      </c>
      <c r="M8">
        <v>0</v>
      </c>
      <c r="N8">
        <v>0</v>
      </c>
      <c r="O8">
        <v>0</v>
      </c>
      <c r="P8">
        <v>5</v>
      </c>
      <c r="Q8">
        <v>4</v>
      </c>
      <c r="R8">
        <v>3.7</v>
      </c>
      <c r="S8" t="s">
        <v>2310</v>
      </c>
      <c r="V8">
        <f t="shared" si="0"/>
        <v>-416001.33</v>
      </c>
      <c r="W8">
        <f t="shared" si="1"/>
        <v>416001.33</v>
      </c>
      <c r="X8" t="str">
        <f t="shared" si="2"/>
        <v>BREAK</v>
      </c>
    </row>
    <row r="9" spans="1:26" x14ac:dyDescent="0.3">
      <c r="A9">
        <v>1</v>
      </c>
      <c r="B9" t="s">
        <v>15</v>
      </c>
      <c r="C9">
        <v>1277212.77</v>
      </c>
      <c r="D9" t="s">
        <v>31</v>
      </c>
      <c r="E9">
        <v>1277212.77</v>
      </c>
      <c r="F9">
        <v>0</v>
      </c>
      <c r="G9" t="s">
        <v>32</v>
      </c>
      <c r="H9">
        <v>0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1277212.77</v>
      </c>
      <c r="P9">
        <v>5</v>
      </c>
      <c r="Q9">
        <v>5</v>
      </c>
      <c r="R9">
        <v>4.0999999999999996</v>
      </c>
      <c r="S9" t="s">
        <v>2310</v>
      </c>
      <c r="V9">
        <f t="shared" si="0"/>
        <v>0</v>
      </c>
      <c r="W9">
        <f t="shared" si="1"/>
        <v>0</v>
      </c>
      <c r="X9" t="str">
        <f t="shared" si="2"/>
        <v>MATCH</v>
      </c>
    </row>
    <row r="10" spans="1:26" x14ac:dyDescent="0.3">
      <c r="A10">
        <v>1</v>
      </c>
      <c r="B10" t="s">
        <v>18</v>
      </c>
      <c r="C10">
        <v>1277212.77</v>
      </c>
      <c r="D10" t="s">
        <v>33</v>
      </c>
      <c r="E10">
        <v>1277212.77</v>
      </c>
      <c r="F10">
        <v>0</v>
      </c>
      <c r="G10" t="s">
        <v>34</v>
      </c>
      <c r="H10">
        <v>0</v>
      </c>
      <c r="I10">
        <v>2444985.19</v>
      </c>
      <c r="J10">
        <v>1</v>
      </c>
      <c r="K10">
        <v>0</v>
      </c>
      <c r="L10">
        <v>1</v>
      </c>
      <c r="M10">
        <v>0</v>
      </c>
      <c r="N10">
        <v>1</v>
      </c>
      <c r="O10">
        <v>1277212.77</v>
      </c>
      <c r="P10">
        <v>5</v>
      </c>
      <c r="Q10">
        <v>4</v>
      </c>
      <c r="R10">
        <v>3.8000000000000003</v>
      </c>
      <c r="S10" t="s">
        <v>2310</v>
      </c>
      <c r="V10">
        <f t="shared" si="0"/>
        <v>0</v>
      </c>
      <c r="W10">
        <f t="shared" si="1"/>
        <v>0</v>
      </c>
      <c r="X10" t="str">
        <f t="shared" si="2"/>
        <v>MATCH</v>
      </c>
    </row>
    <row r="11" spans="1:26" x14ac:dyDescent="0.3">
      <c r="A11">
        <v>1</v>
      </c>
      <c r="B11" t="s">
        <v>15</v>
      </c>
      <c r="C11">
        <v>35063.629999999997</v>
      </c>
      <c r="D11" t="s">
        <v>35</v>
      </c>
      <c r="E11">
        <v>35063.629999999997</v>
      </c>
      <c r="F11">
        <v>0</v>
      </c>
      <c r="G11" t="s">
        <v>36</v>
      </c>
      <c r="H11">
        <v>0</v>
      </c>
      <c r="I11">
        <v>0</v>
      </c>
      <c r="J11">
        <v>1</v>
      </c>
      <c r="K11">
        <v>0</v>
      </c>
      <c r="L11">
        <v>1</v>
      </c>
      <c r="M11">
        <v>0</v>
      </c>
      <c r="N11">
        <v>1</v>
      </c>
      <c r="O11">
        <v>35063.629999999997</v>
      </c>
      <c r="P11">
        <v>2</v>
      </c>
      <c r="Q11">
        <v>5</v>
      </c>
      <c r="R11">
        <v>2.6</v>
      </c>
      <c r="S11" t="s">
        <v>2312</v>
      </c>
      <c r="V11">
        <f t="shared" si="0"/>
        <v>0</v>
      </c>
      <c r="W11">
        <f t="shared" si="1"/>
        <v>0</v>
      </c>
      <c r="X11" t="str">
        <f t="shared" si="2"/>
        <v>MATCH</v>
      </c>
    </row>
    <row r="12" spans="1:26" x14ac:dyDescent="0.3">
      <c r="A12">
        <v>1</v>
      </c>
      <c r="B12" t="s">
        <v>18</v>
      </c>
      <c r="C12">
        <v>35063.629999999997</v>
      </c>
      <c r="D12" t="s">
        <v>37</v>
      </c>
      <c r="E12">
        <v>35063.629999999997</v>
      </c>
      <c r="F12">
        <v>0</v>
      </c>
      <c r="G12" t="s">
        <v>38</v>
      </c>
      <c r="H12">
        <v>31140</v>
      </c>
      <c r="I12">
        <v>7550.03</v>
      </c>
      <c r="J12">
        <v>1</v>
      </c>
      <c r="K12">
        <v>0</v>
      </c>
      <c r="L12">
        <v>1</v>
      </c>
      <c r="M12">
        <v>0</v>
      </c>
      <c r="N12">
        <v>1</v>
      </c>
      <c r="O12">
        <v>35063.629999999997</v>
      </c>
      <c r="P12">
        <v>2</v>
      </c>
      <c r="Q12">
        <v>4</v>
      </c>
      <c r="R12">
        <v>2.3000000000000003</v>
      </c>
      <c r="S12" t="s">
        <v>2312</v>
      </c>
      <c r="V12">
        <f t="shared" si="0"/>
        <v>0</v>
      </c>
      <c r="W12">
        <f t="shared" si="1"/>
        <v>0</v>
      </c>
      <c r="X12" t="str">
        <f t="shared" si="2"/>
        <v>MATCH</v>
      </c>
    </row>
    <row r="13" spans="1:26" x14ac:dyDescent="0.3">
      <c r="A13">
        <v>1</v>
      </c>
      <c r="B13" t="s">
        <v>15</v>
      </c>
      <c r="C13">
        <v>25071.46</v>
      </c>
      <c r="D13" t="s">
        <v>39</v>
      </c>
      <c r="E13">
        <v>25071.46</v>
      </c>
      <c r="F13">
        <v>0</v>
      </c>
      <c r="G13" t="s">
        <v>40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1</v>
      </c>
      <c r="O13">
        <v>25071.46</v>
      </c>
      <c r="P13">
        <v>2</v>
      </c>
      <c r="Q13">
        <v>5</v>
      </c>
      <c r="R13">
        <v>2.6</v>
      </c>
      <c r="S13" t="s">
        <v>2312</v>
      </c>
      <c r="V13">
        <f t="shared" si="0"/>
        <v>0</v>
      </c>
      <c r="W13">
        <f t="shared" si="1"/>
        <v>0</v>
      </c>
      <c r="X13" t="str">
        <f t="shared" si="2"/>
        <v>MATCH</v>
      </c>
    </row>
    <row r="14" spans="1:26" x14ac:dyDescent="0.3">
      <c r="A14">
        <v>1</v>
      </c>
      <c r="B14" t="s">
        <v>18</v>
      </c>
      <c r="C14">
        <v>25071.46</v>
      </c>
      <c r="D14" t="s">
        <v>41</v>
      </c>
      <c r="E14">
        <v>25071.46</v>
      </c>
      <c r="F14">
        <v>0</v>
      </c>
      <c r="G14" t="s">
        <v>42</v>
      </c>
      <c r="H14">
        <v>9083.76</v>
      </c>
      <c r="I14">
        <v>34155.22</v>
      </c>
      <c r="J14">
        <v>1</v>
      </c>
      <c r="K14">
        <v>0</v>
      </c>
      <c r="L14">
        <v>1</v>
      </c>
      <c r="M14">
        <v>0</v>
      </c>
      <c r="N14">
        <v>1</v>
      </c>
      <c r="O14">
        <v>25071.46</v>
      </c>
      <c r="P14">
        <v>2</v>
      </c>
      <c r="Q14">
        <v>4</v>
      </c>
      <c r="R14">
        <v>2.3000000000000003</v>
      </c>
      <c r="S14" t="s">
        <v>2312</v>
      </c>
      <c r="V14">
        <f t="shared" si="0"/>
        <v>0</v>
      </c>
      <c r="W14">
        <f t="shared" si="1"/>
        <v>0</v>
      </c>
      <c r="X14" t="str">
        <f t="shared" si="2"/>
        <v>MATCH</v>
      </c>
    </row>
    <row r="15" spans="1:26" x14ac:dyDescent="0.3">
      <c r="A15">
        <v>1</v>
      </c>
      <c r="B15" t="s">
        <v>18</v>
      </c>
      <c r="C15">
        <v>132842.64000000001</v>
      </c>
      <c r="D15" t="s">
        <v>43</v>
      </c>
      <c r="E15">
        <v>4499.08</v>
      </c>
      <c r="F15">
        <v>0</v>
      </c>
      <c r="G15" t="s">
        <v>44</v>
      </c>
      <c r="H15">
        <v>0</v>
      </c>
      <c r="I15">
        <v>132842.64000000001</v>
      </c>
      <c r="J15">
        <v>1</v>
      </c>
      <c r="K15">
        <v>0</v>
      </c>
      <c r="L15">
        <v>1</v>
      </c>
      <c r="M15">
        <v>0</v>
      </c>
      <c r="N15">
        <v>1</v>
      </c>
      <c r="O15">
        <v>4499.08</v>
      </c>
      <c r="P15">
        <v>4</v>
      </c>
      <c r="Q15">
        <v>4</v>
      </c>
      <c r="R15">
        <v>3.3000000000000003</v>
      </c>
      <c r="S15" t="s">
        <v>2310</v>
      </c>
      <c r="V15">
        <f t="shared" si="0"/>
        <v>-128343.56000000001</v>
      </c>
      <c r="W15">
        <f t="shared" si="1"/>
        <v>128343.56000000001</v>
      </c>
      <c r="X15" t="str">
        <f t="shared" si="2"/>
        <v>BREAK</v>
      </c>
    </row>
    <row r="16" spans="1:26" x14ac:dyDescent="0.3">
      <c r="A16">
        <v>1</v>
      </c>
      <c r="B16" t="s">
        <v>15</v>
      </c>
      <c r="C16">
        <v>235238.66</v>
      </c>
      <c r="D16" t="s">
        <v>45</v>
      </c>
      <c r="E16">
        <v>235238.66</v>
      </c>
      <c r="F16">
        <v>0</v>
      </c>
      <c r="G16" t="s">
        <v>46</v>
      </c>
      <c r="H16">
        <v>0</v>
      </c>
      <c r="I16">
        <v>0</v>
      </c>
      <c r="J16">
        <v>1</v>
      </c>
      <c r="K16">
        <v>0</v>
      </c>
      <c r="L16">
        <v>1</v>
      </c>
      <c r="M16">
        <v>0</v>
      </c>
      <c r="N16">
        <v>1</v>
      </c>
      <c r="O16">
        <v>235238.66</v>
      </c>
      <c r="P16">
        <v>5</v>
      </c>
      <c r="Q16">
        <v>5</v>
      </c>
      <c r="R16">
        <v>4.0999999999999996</v>
      </c>
      <c r="S16" t="s">
        <v>2310</v>
      </c>
      <c r="V16">
        <f t="shared" si="0"/>
        <v>0</v>
      </c>
      <c r="W16">
        <f t="shared" si="1"/>
        <v>0</v>
      </c>
      <c r="X16" t="str">
        <f t="shared" si="2"/>
        <v>MATCH</v>
      </c>
    </row>
    <row r="17" spans="1:24" x14ac:dyDescent="0.3">
      <c r="A17">
        <v>1</v>
      </c>
      <c r="B17" t="s">
        <v>18</v>
      </c>
      <c r="C17">
        <v>235238.66</v>
      </c>
      <c r="D17" t="s">
        <v>47</v>
      </c>
      <c r="E17">
        <v>235238.66</v>
      </c>
      <c r="F17">
        <v>0</v>
      </c>
      <c r="G17" t="s">
        <v>48</v>
      </c>
      <c r="H17">
        <v>0</v>
      </c>
      <c r="I17">
        <v>235238.66</v>
      </c>
      <c r="J17">
        <v>1</v>
      </c>
      <c r="K17">
        <v>0</v>
      </c>
      <c r="L17">
        <v>1</v>
      </c>
      <c r="M17">
        <v>0</v>
      </c>
      <c r="N17">
        <v>1</v>
      </c>
      <c r="O17">
        <v>235238.66</v>
      </c>
      <c r="P17">
        <v>5</v>
      </c>
      <c r="Q17">
        <v>4</v>
      </c>
      <c r="R17">
        <v>3.8000000000000003</v>
      </c>
      <c r="S17" t="s">
        <v>2310</v>
      </c>
      <c r="V17">
        <f t="shared" si="0"/>
        <v>0</v>
      </c>
      <c r="W17">
        <f t="shared" si="1"/>
        <v>0</v>
      </c>
      <c r="X17" t="str">
        <f t="shared" si="2"/>
        <v>MATCH</v>
      </c>
    </row>
    <row r="18" spans="1:24" x14ac:dyDescent="0.3">
      <c r="A18">
        <v>2</v>
      </c>
      <c r="B18" t="s">
        <v>15</v>
      </c>
      <c r="C18">
        <v>1096187.24</v>
      </c>
      <c r="D18" t="s">
        <v>49</v>
      </c>
      <c r="E18">
        <v>1096187.24</v>
      </c>
      <c r="F18">
        <v>0</v>
      </c>
      <c r="G18" t="s">
        <v>50</v>
      </c>
      <c r="H18">
        <v>0</v>
      </c>
      <c r="I18">
        <v>0</v>
      </c>
      <c r="J18">
        <v>1</v>
      </c>
      <c r="K18">
        <v>0</v>
      </c>
      <c r="L18">
        <v>2</v>
      </c>
      <c r="M18">
        <v>0</v>
      </c>
      <c r="N18">
        <v>1</v>
      </c>
      <c r="O18">
        <v>1096187.24</v>
      </c>
      <c r="P18">
        <v>5</v>
      </c>
      <c r="Q18">
        <v>5</v>
      </c>
      <c r="R18">
        <v>4.0999999999999996</v>
      </c>
      <c r="S18" t="s">
        <v>2310</v>
      </c>
      <c r="V18">
        <f t="shared" si="0"/>
        <v>0</v>
      </c>
      <c r="W18">
        <f t="shared" si="1"/>
        <v>0</v>
      </c>
      <c r="X18" t="str">
        <f t="shared" si="2"/>
        <v>MATCH</v>
      </c>
    </row>
    <row r="19" spans="1:24" x14ac:dyDescent="0.3">
      <c r="A19">
        <v>2</v>
      </c>
      <c r="B19" t="s">
        <v>18</v>
      </c>
      <c r="C19">
        <v>1096187.24</v>
      </c>
      <c r="D19" t="s">
        <v>51</v>
      </c>
      <c r="E19">
        <v>1096187.24</v>
      </c>
      <c r="F19">
        <v>0</v>
      </c>
      <c r="G19" t="s">
        <v>52</v>
      </c>
      <c r="H19">
        <v>0</v>
      </c>
      <c r="I19">
        <v>1096187.24</v>
      </c>
      <c r="J19">
        <v>1</v>
      </c>
      <c r="K19">
        <v>0</v>
      </c>
      <c r="L19">
        <v>2</v>
      </c>
      <c r="M19">
        <v>0</v>
      </c>
      <c r="N19">
        <v>1</v>
      </c>
      <c r="O19">
        <v>1096187.24</v>
      </c>
      <c r="P19">
        <v>5</v>
      </c>
      <c r="Q19">
        <v>4</v>
      </c>
      <c r="R19">
        <v>3.8000000000000003</v>
      </c>
      <c r="S19" t="s">
        <v>2310</v>
      </c>
      <c r="V19">
        <f t="shared" si="0"/>
        <v>0</v>
      </c>
      <c r="W19">
        <f t="shared" si="1"/>
        <v>0</v>
      </c>
      <c r="X19" t="str">
        <f t="shared" si="2"/>
        <v>MATCH</v>
      </c>
    </row>
    <row r="20" spans="1:24" x14ac:dyDescent="0.3">
      <c r="A20">
        <v>2</v>
      </c>
      <c r="B20" t="s">
        <v>15</v>
      </c>
      <c r="C20">
        <v>963532.14</v>
      </c>
      <c r="D20" t="s">
        <v>53</v>
      </c>
      <c r="E20">
        <v>963532.14</v>
      </c>
      <c r="F20">
        <v>0</v>
      </c>
      <c r="G20" t="s">
        <v>54</v>
      </c>
      <c r="H20">
        <v>0</v>
      </c>
      <c r="I20">
        <v>0</v>
      </c>
      <c r="J20">
        <v>1</v>
      </c>
      <c r="K20">
        <v>0</v>
      </c>
      <c r="L20">
        <v>2</v>
      </c>
      <c r="M20">
        <v>0</v>
      </c>
      <c r="N20">
        <v>1</v>
      </c>
      <c r="O20">
        <v>963532.14</v>
      </c>
      <c r="P20">
        <v>5</v>
      </c>
      <c r="Q20">
        <v>5</v>
      </c>
      <c r="R20">
        <v>4.0999999999999996</v>
      </c>
      <c r="S20" t="s">
        <v>2310</v>
      </c>
      <c r="V20">
        <f t="shared" si="0"/>
        <v>0</v>
      </c>
      <c r="W20">
        <f t="shared" si="1"/>
        <v>0</v>
      </c>
      <c r="X20" t="str">
        <f t="shared" si="2"/>
        <v>MATCH</v>
      </c>
    </row>
    <row r="21" spans="1:24" x14ac:dyDescent="0.3">
      <c r="A21">
        <v>2</v>
      </c>
      <c r="B21" t="s">
        <v>18</v>
      </c>
      <c r="C21">
        <v>963532.14</v>
      </c>
      <c r="D21" t="s">
        <v>55</v>
      </c>
      <c r="E21">
        <v>963532.14</v>
      </c>
      <c r="F21">
        <v>0</v>
      </c>
      <c r="G21" t="s">
        <v>56</v>
      </c>
      <c r="H21">
        <v>132382.57</v>
      </c>
      <c r="I21">
        <v>1095914.71</v>
      </c>
      <c r="J21">
        <v>1</v>
      </c>
      <c r="K21">
        <v>0</v>
      </c>
      <c r="L21">
        <v>2</v>
      </c>
      <c r="M21">
        <v>0</v>
      </c>
      <c r="N21">
        <v>1</v>
      </c>
      <c r="O21">
        <v>963532.14</v>
      </c>
      <c r="P21">
        <v>5</v>
      </c>
      <c r="Q21">
        <v>4</v>
      </c>
      <c r="R21">
        <v>3.8000000000000003</v>
      </c>
      <c r="S21" t="s">
        <v>2310</v>
      </c>
      <c r="V21">
        <f t="shared" si="0"/>
        <v>0</v>
      </c>
      <c r="W21">
        <f t="shared" si="1"/>
        <v>0</v>
      </c>
      <c r="X21" t="str">
        <f t="shared" si="2"/>
        <v>MATCH</v>
      </c>
    </row>
    <row r="22" spans="1:24" x14ac:dyDescent="0.3">
      <c r="A22">
        <v>2</v>
      </c>
      <c r="B22" t="s">
        <v>15</v>
      </c>
      <c r="C22">
        <v>14949.84</v>
      </c>
      <c r="D22" t="s">
        <v>57</v>
      </c>
      <c r="E22">
        <v>14949.84</v>
      </c>
      <c r="F22">
        <v>0</v>
      </c>
      <c r="G22" t="s">
        <v>58</v>
      </c>
      <c r="H22">
        <v>0</v>
      </c>
      <c r="I22">
        <v>0</v>
      </c>
      <c r="J22">
        <v>1</v>
      </c>
      <c r="K22">
        <v>0</v>
      </c>
      <c r="L22">
        <v>2</v>
      </c>
      <c r="M22">
        <v>0</v>
      </c>
      <c r="N22">
        <v>1</v>
      </c>
      <c r="O22">
        <v>14949.84</v>
      </c>
      <c r="P22">
        <v>2</v>
      </c>
      <c r="Q22">
        <v>5</v>
      </c>
      <c r="R22">
        <v>2.6</v>
      </c>
      <c r="S22" t="s">
        <v>2312</v>
      </c>
      <c r="V22">
        <f t="shared" si="0"/>
        <v>0</v>
      </c>
      <c r="W22">
        <f t="shared" si="1"/>
        <v>0</v>
      </c>
      <c r="X22" t="str">
        <f t="shared" si="2"/>
        <v>MATCH</v>
      </c>
    </row>
    <row r="23" spans="1:24" x14ac:dyDescent="0.3">
      <c r="A23">
        <v>2</v>
      </c>
      <c r="B23" t="s">
        <v>18</v>
      </c>
      <c r="C23">
        <v>14949.84</v>
      </c>
      <c r="D23" t="s">
        <v>59</v>
      </c>
      <c r="E23">
        <v>14949.84</v>
      </c>
      <c r="F23">
        <v>0</v>
      </c>
      <c r="G23" t="s">
        <v>60</v>
      </c>
      <c r="H23">
        <v>18161.79</v>
      </c>
      <c r="I23">
        <v>33111.629999999997</v>
      </c>
      <c r="J23">
        <v>1</v>
      </c>
      <c r="K23">
        <v>0</v>
      </c>
      <c r="L23">
        <v>2</v>
      </c>
      <c r="M23">
        <v>0</v>
      </c>
      <c r="N23">
        <v>1</v>
      </c>
      <c r="O23">
        <v>14949.84</v>
      </c>
      <c r="P23">
        <v>2</v>
      </c>
      <c r="Q23">
        <v>4</v>
      </c>
      <c r="R23">
        <v>2.3000000000000003</v>
      </c>
      <c r="S23" t="s">
        <v>2312</v>
      </c>
      <c r="V23">
        <f t="shared" si="0"/>
        <v>0</v>
      </c>
      <c r="W23">
        <f t="shared" si="1"/>
        <v>0</v>
      </c>
      <c r="X23" t="str">
        <f t="shared" si="2"/>
        <v>MATCH</v>
      </c>
    </row>
    <row r="24" spans="1:24" x14ac:dyDescent="0.3">
      <c r="A24">
        <v>2</v>
      </c>
      <c r="B24" t="s">
        <v>15</v>
      </c>
      <c r="C24">
        <v>18627.02</v>
      </c>
      <c r="D24" t="s">
        <v>61</v>
      </c>
      <c r="E24">
        <v>18627.02</v>
      </c>
      <c r="F24">
        <v>0</v>
      </c>
      <c r="G24" t="s">
        <v>62</v>
      </c>
      <c r="H24">
        <v>0</v>
      </c>
      <c r="I24">
        <v>0</v>
      </c>
      <c r="J24">
        <v>1</v>
      </c>
      <c r="K24">
        <v>0</v>
      </c>
      <c r="L24">
        <v>2</v>
      </c>
      <c r="M24">
        <v>0</v>
      </c>
      <c r="N24">
        <v>1</v>
      </c>
      <c r="O24">
        <v>18627.02</v>
      </c>
      <c r="P24">
        <v>2</v>
      </c>
      <c r="Q24">
        <v>5</v>
      </c>
      <c r="R24">
        <v>2.6</v>
      </c>
      <c r="S24" t="s">
        <v>2312</v>
      </c>
      <c r="V24">
        <f t="shared" si="0"/>
        <v>0</v>
      </c>
      <c r="W24">
        <f t="shared" si="1"/>
        <v>0</v>
      </c>
      <c r="X24" t="str">
        <f t="shared" si="2"/>
        <v>MATCH</v>
      </c>
    </row>
    <row r="25" spans="1:24" x14ac:dyDescent="0.3">
      <c r="A25">
        <v>2</v>
      </c>
      <c r="B25" t="s">
        <v>18</v>
      </c>
      <c r="C25">
        <v>18627.02</v>
      </c>
      <c r="D25" t="s">
        <v>63</v>
      </c>
      <c r="E25">
        <v>18627.02</v>
      </c>
      <c r="F25">
        <v>0</v>
      </c>
      <c r="G25" t="s">
        <v>64</v>
      </c>
      <c r="H25">
        <v>147251.57999999999</v>
      </c>
      <c r="I25">
        <v>165878.6</v>
      </c>
      <c r="J25">
        <v>1</v>
      </c>
      <c r="K25">
        <v>0</v>
      </c>
      <c r="L25">
        <v>2</v>
      </c>
      <c r="M25">
        <v>0</v>
      </c>
      <c r="N25">
        <v>1</v>
      </c>
      <c r="O25">
        <v>18627.02</v>
      </c>
      <c r="P25">
        <v>2</v>
      </c>
      <c r="Q25">
        <v>4</v>
      </c>
      <c r="R25">
        <v>2.3000000000000003</v>
      </c>
      <c r="S25" t="s">
        <v>2312</v>
      </c>
      <c r="V25">
        <f t="shared" si="0"/>
        <v>0</v>
      </c>
      <c r="W25">
        <f t="shared" si="1"/>
        <v>0</v>
      </c>
      <c r="X25" t="str">
        <f t="shared" si="2"/>
        <v>MATCH</v>
      </c>
    </row>
    <row r="26" spans="1:24" x14ac:dyDescent="0.3">
      <c r="A26">
        <v>3</v>
      </c>
      <c r="B26" t="s">
        <v>15</v>
      </c>
      <c r="C26">
        <v>10539.37</v>
      </c>
      <c r="D26" t="s">
        <v>65</v>
      </c>
      <c r="E26">
        <v>10539.37</v>
      </c>
      <c r="F26">
        <v>0</v>
      </c>
      <c r="G26" t="s">
        <v>66</v>
      </c>
      <c r="H26">
        <v>0</v>
      </c>
      <c r="I26">
        <v>0</v>
      </c>
      <c r="J26">
        <v>1</v>
      </c>
      <c r="K26">
        <v>0</v>
      </c>
      <c r="L26">
        <v>3</v>
      </c>
      <c r="M26">
        <v>0</v>
      </c>
      <c r="N26">
        <v>1</v>
      </c>
      <c r="O26">
        <v>10539.37</v>
      </c>
      <c r="P26">
        <v>2</v>
      </c>
      <c r="Q26">
        <v>5</v>
      </c>
      <c r="R26">
        <v>2.6</v>
      </c>
      <c r="S26" t="s">
        <v>2312</v>
      </c>
      <c r="V26">
        <f t="shared" si="0"/>
        <v>0</v>
      </c>
      <c r="W26">
        <f t="shared" si="1"/>
        <v>0</v>
      </c>
      <c r="X26" t="str">
        <f t="shared" si="2"/>
        <v>MATCH</v>
      </c>
    </row>
    <row r="27" spans="1:24" x14ac:dyDescent="0.3">
      <c r="A27">
        <v>3</v>
      </c>
      <c r="B27" t="s">
        <v>18</v>
      </c>
      <c r="C27">
        <v>10539.37</v>
      </c>
      <c r="D27" t="s">
        <v>67</v>
      </c>
      <c r="E27">
        <v>10539.37</v>
      </c>
      <c r="F27">
        <v>0</v>
      </c>
      <c r="G27" t="s">
        <v>68</v>
      </c>
      <c r="H27">
        <v>0</v>
      </c>
      <c r="I27">
        <v>10539.37</v>
      </c>
      <c r="J27">
        <v>1</v>
      </c>
      <c r="K27">
        <v>0</v>
      </c>
      <c r="L27">
        <v>3</v>
      </c>
      <c r="M27">
        <v>0</v>
      </c>
      <c r="N27">
        <v>1</v>
      </c>
      <c r="O27">
        <v>10539.37</v>
      </c>
      <c r="P27">
        <v>2</v>
      </c>
      <c r="Q27">
        <v>4</v>
      </c>
      <c r="R27">
        <v>2.3000000000000003</v>
      </c>
      <c r="S27" t="s">
        <v>2312</v>
      </c>
      <c r="V27">
        <f t="shared" si="0"/>
        <v>0</v>
      </c>
      <c r="W27">
        <f t="shared" si="1"/>
        <v>0</v>
      </c>
      <c r="X27" t="str">
        <f t="shared" si="2"/>
        <v>MATCH</v>
      </c>
    </row>
    <row r="28" spans="1:24" x14ac:dyDescent="0.3">
      <c r="A28">
        <v>3</v>
      </c>
      <c r="B28" t="s">
        <v>15</v>
      </c>
      <c r="C28">
        <v>22877</v>
      </c>
      <c r="D28" t="s">
        <v>69</v>
      </c>
      <c r="E28">
        <v>22877</v>
      </c>
      <c r="F28">
        <v>0</v>
      </c>
      <c r="G28" t="s">
        <v>70</v>
      </c>
      <c r="H28">
        <v>0</v>
      </c>
      <c r="I28">
        <v>0</v>
      </c>
      <c r="J28">
        <v>1</v>
      </c>
      <c r="K28">
        <v>0</v>
      </c>
      <c r="L28">
        <v>3</v>
      </c>
      <c r="M28">
        <v>0</v>
      </c>
      <c r="N28">
        <v>1</v>
      </c>
      <c r="O28">
        <v>22877</v>
      </c>
      <c r="P28">
        <v>2</v>
      </c>
      <c r="Q28">
        <v>5</v>
      </c>
      <c r="R28">
        <v>2.6</v>
      </c>
      <c r="S28" t="s">
        <v>2312</v>
      </c>
      <c r="V28">
        <f t="shared" si="0"/>
        <v>0</v>
      </c>
      <c r="W28">
        <f t="shared" si="1"/>
        <v>0</v>
      </c>
      <c r="X28" t="str">
        <f t="shared" si="2"/>
        <v>MATCH</v>
      </c>
    </row>
    <row r="29" spans="1:24" x14ac:dyDescent="0.3">
      <c r="A29">
        <v>3</v>
      </c>
      <c r="B29" t="s">
        <v>18</v>
      </c>
      <c r="C29">
        <v>22877</v>
      </c>
      <c r="D29" t="s">
        <v>71</v>
      </c>
      <c r="E29">
        <v>22877</v>
      </c>
      <c r="F29">
        <v>0</v>
      </c>
      <c r="G29" t="s">
        <v>72</v>
      </c>
      <c r="H29">
        <v>0</v>
      </c>
      <c r="I29">
        <v>22877</v>
      </c>
      <c r="J29">
        <v>1</v>
      </c>
      <c r="K29">
        <v>0</v>
      </c>
      <c r="L29">
        <v>3</v>
      </c>
      <c r="M29">
        <v>0</v>
      </c>
      <c r="N29">
        <v>1</v>
      </c>
      <c r="O29">
        <v>22877</v>
      </c>
      <c r="P29">
        <v>2</v>
      </c>
      <c r="Q29">
        <v>4</v>
      </c>
      <c r="R29">
        <v>2.3000000000000003</v>
      </c>
      <c r="S29" t="s">
        <v>2312</v>
      </c>
      <c r="V29">
        <f t="shared" si="0"/>
        <v>0</v>
      </c>
      <c r="W29">
        <f t="shared" si="1"/>
        <v>0</v>
      </c>
      <c r="X29" t="str">
        <f t="shared" si="2"/>
        <v>MATCH</v>
      </c>
    </row>
    <row r="30" spans="1:24" x14ac:dyDescent="0.3">
      <c r="A30">
        <v>4</v>
      </c>
      <c r="B30" t="s">
        <v>15</v>
      </c>
      <c r="C30">
        <v>10000000</v>
      </c>
      <c r="D30" t="s">
        <v>73</v>
      </c>
      <c r="E30">
        <v>12900000</v>
      </c>
      <c r="F30">
        <v>2930418.44</v>
      </c>
      <c r="G30" t="s">
        <v>74</v>
      </c>
      <c r="H30">
        <v>0</v>
      </c>
      <c r="I30">
        <v>0</v>
      </c>
      <c r="J30">
        <v>1</v>
      </c>
      <c r="K30">
        <v>0</v>
      </c>
      <c r="L30">
        <v>4</v>
      </c>
      <c r="M30">
        <v>1</v>
      </c>
      <c r="N30">
        <v>0</v>
      </c>
      <c r="O30">
        <v>9969581.5600000005</v>
      </c>
      <c r="P30">
        <v>5</v>
      </c>
      <c r="Q30">
        <v>5</v>
      </c>
      <c r="R30">
        <v>4.0999999999999996</v>
      </c>
      <c r="S30" t="s">
        <v>2310</v>
      </c>
      <c r="V30">
        <f t="shared" si="0"/>
        <v>2900000</v>
      </c>
      <c r="W30">
        <f t="shared" si="1"/>
        <v>30418.439999999944</v>
      </c>
      <c r="X30" t="str">
        <f t="shared" si="2"/>
        <v>BREAK</v>
      </c>
    </row>
    <row r="31" spans="1:24" x14ac:dyDescent="0.3">
      <c r="A31">
        <v>4</v>
      </c>
      <c r="B31" t="s">
        <v>18</v>
      </c>
      <c r="C31">
        <v>10000000</v>
      </c>
      <c r="D31" t="s">
        <v>75</v>
      </c>
      <c r="E31">
        <v>10000000</v>
      </c>
      <c r="F31">
        <v>0</v>
      </c>
      <c r="G31" t="s">
        <v>76</v>
      </c>
      <c r="H31">
        <v>0</v>
      </c>
      <c r="I31">
        <v>9941904.2100000009</v>
      </c>
      <c r="J31">
        <v>1</v>
      </c>
      <c r="K31">
        <v>0</v>
      </c>
      <c r="L31">
        <v>4</v>
      </c>
      <c r="M31">
        <v>1</v>
      </c>
      <c r="N31">
        <v>1</v>
      </c>
      <c r="O31">
        <v>10000000</v>
      </c>
      <c r="P31">
        <v>5</v>
      </c>
      <c r="Q31">
        <v>4</v>
      </c>
      <c r="R31">
        <v>3.9000000000000004</v>
      </c>
      <c r="S31" t="s">
        <v>2310</v>
      </c>
      <c r="V31">
        <f t="shared" si="0"/>
        <v>0</v>
      </c>
      <c r="W31">
        <f t="shared" si="1"/>
        <v>0</v>
      </c>
      <c r="X31" t="str">
        <f t="shared" si="2"/>
        <v>MATCH</v>
      </c>
    </row>
    <row r="32" spans="1:24" x14ac:dyDescent="0.3">
      <c r="A32">
        <v>4</v>
      </c>
      <c r="B32" t="s">
        <v>15</v>
      </c>
      <c r="C32">
        <v>2930418.44</v>
      </c>
      <c r="D32" t="s">
        <v>77</v>
      </c>
      <c r="E32">
        <v>2930418.44</v>
      </c>
      <c r="F32">
        <v>0</v>
      </c>
      <c r="G32" t="s">
        <v>78</v>
      </c>
      <c r="H32">
        <v>0</v>
      </c>
      <c r="I32">
        <v>0</v>
      </c>
      <c r="J32">
        <v>1</v>
      </c>
      <c r="K32">
        <v>0</v>
      </c>
      <c r="L32">
        <v>4</v>
      </c>
      <c r="M32">
        <v>0</v>
      </c>
      <c r="N32">
        <v>1</v>
      </c>
      <c r="O32">
        <v>2930418.44</v>
      </c>
      <c r="P32">
        <v>5</v>
      </c>
      <c r="Q32">
        <v>5</v>
      </c>
      <c r="R32">
        <v>4.0999999999999996</v>
      </c>
      <c r="S32" t="s">
        <v>2310</v>
      </c>
      <c r="V32">
        <f t="shared" si="0"/>
        <v>0</v>
      </c>
      <c r="W32">
        <f t="shared" si="1"/>
        <v>0</v>
      </c>
      <c r="X32" t="str">
        <f t="shared" si="2"/>
        <v>MATCH</v>
      </c>
    </row>
    <row r="33" spans="1:24" x14ac:dyDescent="0.3">
      <c r="A33">
        <v>4</v>
      </c>
      <c r="B33" t="s">
        <v>18</v>
      </c>
      <c r="C33">
        <v>2930418.44</v>
      </c>
      <c r="D33" t="s">
        <v>79</v>
      </c>
      <c r="E33">
        <v>2930418.44</v>
      </c>
      <c r="F33">
        <v>0</v>
      </c>
      <c r="G33" t="s">
        <v>80</v>
      </c>
      <c r="H33">
        <v>3616012.1</v>
      </c>
      <c r="I33">
        <v>6963508.8399999999</v>
      </c>
      <c r="J33">
        <v>1</v>
      </c>
      <c r="K33">
        <v>0</v>
      </c>
      <c r="L33">
        <v>4</v>
      </c>
      <c r="M33">
        <v>0</v>
      </c>
      <c r="N33">
        <v>1</v>
      </c>
      <c r="O33">
        <v>2930418.44</v>
      </c>
      <c r="P33">
        <v>5</v>
      </c>
      <c r="Q33">
        <v>4</v>
      </c>
      <c r="R33">
        <v>3.8000000000000003</v>
      </c>
      <c r="S33" t="s">
        <v>2310</v>
      </c>
      <c r="V33">
        <f t="shared" si="0"/>
        <v>0</v>
      </c>
      <c r="W33">
        <f t="shared" si="1"/>
        <v>0</v>
      </c>
      <c r="X33" t="str">
        <f t="shared" si="2"/>
        <v>MATCH</v>
      </c>
    </row>
    <row r="34" spans="1:24" x14ac:dyDescent="0.3">
      <c r="A34">
        <v>4</v>
      </c>
      <c r="B34" t="s">
        <v>15</v>
      </c>
      <c r="C34">
        <v>169941.73</v>
      </c>
      <c r="D34" t="s">
        <v>81</v>
      </c>
      <c r="E34">
        <v>169941.73</v>
      </c>
      <c r="F34">
        <v>0</v>
      </c>
      <c r="G34" t="s">
        <v>82</v>
      </c>
      <c r="H34">
        <v>0</v>
      </c>
      <c r="I34">
        <v>0</v>
      </c>
      <c r="J34">
        <v>1</v>
      </c>
      <c r="K34">
        <v>0</v>
      </c>
      <c r="L34">
        <v>4</v>
      </c>
      <c r="M34">
        <v>0</v>
      </c>
      <c r="N34">
        <v>1</v>
      </c>
      <c r="O34">
        <v>169941.73</v>
      </c>
      <c r="P34">
        <v>4</v>
      </c>
      <c r="Q34">
        <v>5</v>
      </c>
      <c r="R34">
        <v>3.6</v>
      </c>
      <c r="S34" t="s">
        <v>2310</v>
      </c>
      <c r="V34">
        <f t="shared" si="0"/>
        <v>0</v>
      </c>
      <c r="W34">
        <f t="shared" si="1"/>
        <v>0</v>
      </c>
      <c r="X34" t="str">
        <f t="shared" si="2"/>
        <v>MATCH</v>
      </c>
    </row>
    <row r="35" spans="1:24" x14ac:dyDescent="0.3">
      <c r="A35">
        <v>4</v>
      </c>
      <c r="B35" t="s">
        <v>18</v>
      </c>
      <c r="C35">
        <v>169941.73</v>
      </c>
      <c r="D35" t="s">
        <v>83</v>
      </c>
      <c r="E35">
        <v>169941.73</v>
      </c>
      <c r="F35">
        <v>0</v>
      </c>
      <c r="G35" t="s">
        <v>84</v>
      </c>
      <c r="H35">
        <v>0</v>
      </c>
      <c r="I35">
        <v>169941.73</v>
      </c>
      <c r="J35">
        <v>1</v>
      </c>
      <c r="K35">
        <v>0</v>
      </c>
      <c r="L35">
        <v>4</v>
      </c>
      <c r="M35">
        <v>0</v>
      </c>
      <c r="N35">
        <v>1</v>
      </c>
      <c r="O35">
        <v>169941.73</v>
      </c>
      <c r="P35">
        <v>4</v>
      </c>
      <c r="Q35">
        <v>4</v>
      </c>
      <c r="R35">
        <v>3.3000000000000003</v>
      </c>
      <c r="S35" t="s">
        <v>2310</v>
      </c>
      <c r="V35">
        <f t="shared" si="0"/>
        <v>0</v>
      </c>
      <c r="W35">
        <f t="shared" si="1"/>
        <v>0</v>
      </c>
      <c r="X35" t="str">
        <f t="shared" si="2"/>
        <v>MATCH</v>
      </c>
    </row>
    <row r="36" spans="1:24" x14ac:dyDescent="0.3">
      <c r="A36">
        <v>4</v>
      </c>
      <c r="B36" t="s">
        <v>15</v>
      </c>
      <c r="C36">
        <v>13707.11</v>
      </c>
      <c r="D36" t="s">
        <v>85</v>
      </c>
      <c r="E36">
        <v>13707.11</v>
      </c>
      <c r="F36">
        <v>0</v>
      </c>
      <c r="G36" t="s">
        <v>86</v>
      </c>
      <c r="H36">
        <v>0</v>
      </c>
      <c r="I36">
        <v>0</v>
      </c>
      <c r="J36">
        <v>1</v>
      </c>
      <c r="K36">
        <v>0</v>
      </c>
      <c r="L36">
        <v>4</v>
      </c>
      <c r="M36">
        <v>0</v>
      </c>
      <c r="N36">
        <v>1</v>
      </c>
      <c r="O36">
        <v>13707.11</v>
      </c>
      <c r="P36">
        <v>2</v>
      </c>
      <c r="Q36">
        <v>5</v>
      </c>
      <c r="R36">
        <v>2.6</v>
      </c>
      <c r="S36" t="s">
        <v>2312</v>
      </c>
      <c r="V36">
        <f t="shared" si="0"/>
        <v>0</v>
      </c>
      <c r="W36">
        <f t="shared" si="1"/>
        <v>0</v>
      </c>
      <c r="X36" t="str">
        <f t="shared" si="2"/>
        <v>MATCH</v>
      </c>
    </row>
    <row r="37" spans="1:24" x14ac:dyDescent="0.3">
      <c r="A37">
        <v>4</v>
      </c>
      <c r="B37" t="s">
        <v>18</v>
      </c>
      <c r="C37">
        <v>13707.11</v>
      </c>
      <c r="D37" t="s">
        <v>87</v>
      </c>
      <c r="E37">
        <v>13707.11</v>
      </c>
      <c r="F37">
        <v>0</v>
      </c>
      <c r="G37" t="s">
        <v>88</v>
      </c>
      <c r="H37">
        <v>0</v>
      </c>
      <c r="I37">
        <v>13707.11</v>
      </c>
      <c r="J37">
        <v>1</v>
      </c>
      <c r="K37">
        <v>0</v>
      </c>
      <c r="L37">
        <v>4</v>
      </c>
      <c r="M37">
        <v>0</v>
      </c>
      <c r="N37">
        <v>1</v>
      </c>
      <c r="O37">
        <v>13707.11</v>
      </c>
      <c r="P37">
        <v>2</v>
      </c>
      <c r="Q37">
        <v>4</v>
      </c>
      <c r="R37">
        <v>2.3000000000000003</v>
      </c>
      <c r="S37" t="s">
        <v>2312</v>
      </c>
      <c r="V37">
        <f t="shared" si="0"/>
        <v>0</v>
      </c>
      <c r="W37">
        <f t="shared" si="1"/>
        <v>0</v>
      </c>
      <c r="X37" t="str">
        <f t="shared" si="2"/>
        <v>MATCH</v>
      </c>
    </row>
    <row r="38" spans="1:24" x14ac:dyDescent="0.3">
      <c r="A38">
        <v>4</v>
      </c>
      <c r="B38" t="s">
        <v>15</v>
      </c>
      <c r="C38">
        <v>86070.17</v>
      </c>
      <c r="D38" t="s">
        <v>89</v>
      </c>
      <c r="E38">
        <v>86070.17</v>
      </c>
      <c r="F38">
        <v>0</v>
      </c>
      <c r="G38" t="s">
        <v>90</v>
      </c>
      <c r="H38">
        <v>0</v>
      </c>
      <c r="I38">
        <v>0</v>
      </c>
      <c r="J38">
        <v>1</v>
      </c>
      <c r="K38">
        <v>0</v>
      </c>
      <c r="L38">
        <v>4</v>
      </c>
      <c r="M38">
        <v>0</v>
      </c>
      <c r="N38">
        <v>1</v>
      </c>
      <c r="O38">
        <v>86070.17</v>
      </c>
      <c r="P38">
        <v>3</v>
      </c>
      <c r="Q38">
        <v>5</v>
      </c>
      <c r="R38">
        <v>3.1</v>
      </c>
      <c r="S38" t="s">
        <v>2310</v>
      </c>
      <c r="V38">
        <f t="shared" si="0"/>
        <v>0</v>
      </c>
      <c r="W38">
        <f t="shared" si="1"/>
        <v>0</v>
      </c>
      <c r="X38" t="str">
        <f t="shared" si="2"/>
        <v>MATCH</v>
      </c>
    </row>
    <row r="39" spans="1:24" x14ac:dyDescent="0.3">
      <c r="A39">
        <v>4</v>
      </c>
      <c r="B39" t="s">
        <v>18</v>
      </c>
      <c r="C39">
        <v>86070.17</v>
      </c>
      <c r="D39" t="s">
        <v>91</v>
      </c>
      <c r="E39">
        <v>86070.17</v>
      </c>
      <c r="F39">
        <v>0</v>
      </c>
      <c r="G39" t="s">
        <v>92</v>
      </c>
      <c r="H39">
        <v>0</v>
      </c>
      <c r="I39">
        <v>86070.17</v>
      </c>
      <c r="J39">
        <v>1</v>
      </c>
      <c r="K39">
        <v>0</v>
      </c>
      <c r="L39">
        <v>4</v>
      </c>
      <c r="M39">
        <v>0</v>
      </c>
      <c r="N39">
        <v>1</v>
      </c>
      <c r="O39">
        <v>86070.17</v>
      </c>
      <c r="P39">
        <v>3</v>
      </c>
      <c r="Q39">
        <v>4</v>
      </c>
      <c r="R39">
        <v>2.8000000000000003</v>
      </c>
      <c r="S39" t="s">
        <v>2312</v>
      </c>
      <c r="V39">
        <f t="shared" si="0"/>
        <v>0</v>
      </c>
      <c r="W39">
        <f t="shared" si="1"/>
        <v>0</v>
      </c>
      <c r="X39" t="str">
        <f t="shared" si="2"/>
        <v>MATCH</v>
      </c>
    </row>
    <row r="40" spans="1:24" x14ac:dyDescent="0.3">
      <c r="A40">
        <v>5</v>
      </c>
      <c r="B40" t="s">
        <v>15</v>
      </c>
      <c r="C40">
        <v>120074.73</v>
      </c>
      <c r="D40" t="s">
        <v>93</v>
      </c>
      <c r="E40">
        <v>120074.73</v>
      </c>
      <c r="F40">
        <v>0</v>
      </c>
      <c r="G40" t="s">
        <v>94</v>
      </c>
      <c r="H40">
        <v>0</v>
      </c>
      <c r="I40">
        <v>0</v>
      </c>
      <c r="J40">
        <v>1</v>
      </c>
      <c r="K40">
        <v>0</v>
      </c>
      <c r="L40">
        <v>5</v>
      </c>
      <c r="M40">
        <v>0</v>
      </c>
      <c r="N40">
        <v>1</v>
      </c>
      <c r="O40">
        <v>120074.73</v>
      </c>
      <c r="P40">
        <v>4</v>
      </c>
      <c r="Q40">
        <v>5</v>
      </c>
      <c r="R40">
        <v>3.6</v>
      </c>
      <c r="S40" t="s">
        <v>2310</v>
      </c>
      <c r="V40">
        <f t="shared" si="0"/>
        <v>0</v>
      </c>
      <c r="W40">
        <f t="shared" si="1"/>
        <v>0</v>
      </c>
      <c r="X40" t="str">
        <f t="shared" si="2"/>
        <v>MATCH</v>
      </c>
    </row>
    <row r="41" spans="1:24" x14ac:dyDescent="0.3">
      <c r="A41">
        <v>5</v>
      </c>
      <c r="B41" t="s">
        <v>18</v>
      </c>
      <c r="C41">
        <v>120074.73</v>
      </c>
      <c r="D41" t="s">
        <v>95</v>
      </c>
      <c r="E41">
        <v>120074.73</v>
      </c>
      <c r="F41">
        <v>0</v>
      </c>
      <c r="G41" t="s">
        <v>86</v>
      </c>
      <c r="H41">
        <v>0</v>
      </c>
      <c r="I41">
        <v>120074.73</v>
      </c>
      <c r="J41">
        <v>1</v>
      </c>
      <c r="K41">
        <v>0</v>
      </c>
      <c r="L41">
        <v>5</v>
      </c>
      <c r="M41">
        <v>0</v>
      </c>
      <c r="N41">
        <v>1</v>
      </c>
      <c r="O41">
        <v>120074.73</v>
      </c>
      <c r="P41">
        <v>4</v>
      </c>
      <c r="Q41">
        <v>4</v>
      </c>
      <c r="R41">
        <v>3.3000000000000003</v>
      </c>
      <c r="S41" t="s">
        <v>2310</v>
      </c>
      <c r="V41">
        <f t="shared" si="0"/>
        <v>0</v>
      </c>
      <c r="W41">
        <f t="shared" si="1"/>
        <v>0</v>
      </c>
      <c r="X41" t="str">
        <f t="shared" si="2"/>
        <v>MATCH</v>
      </c>
    </row>
    <row r="42" spans="1:24" x14ac:dyDescent="0.3">
      <c r="A42">
        <v>5</v>
      </c>
      <c r="B42" t="s">
        <v>15</v>
      </c>
      <c r="C42">
        <v>60726.57</v>
      </c>
      <c r="D42" t="s">
        <v>96</v>
      </c>
      <c r="E42">
        <v>60726.57</v>
      </c>
      <c r="F42">
        <v>0</v>
      </c>
      <c r="G42" t="s">
        <v>97</v>
      </c>
      <c r="H42">
        <v>0</v>
      </c>
      <c r="I42">
        <v>0</v>
      </c>
      <c r="J42">
        <v>1</v>
      </c>
      <c r="K42">
        <v>0</v>
      </c>
      <c r="L42">
        <v>5</v>
      </c>
      <c r="M42">
        <v>0</v>
      </c>
      <c r="N42">
        <v>1</v>
      </c>
      <c r="O42">
        <v>60726.57</v>
      </c>
      <c r="P42">
        <v>3</v>
      </c>
      <c r="Q42">
        <v>5</v>
      </c>
      <c r="R42">
        <v>3.1</v>
      </c>
      <c r="S42" t="s">
        <v>2310</v>
      </c>
      <c r="V42">
        <f t="shared" si="0"/>
        <v>0</v>
      </c>
      <c r="W42">
        <f t="shared" si="1"/>
        <v>0</v>
      </c>
      <c r="X42" t="str">
        <f t="shared" si="2"/>
        <v>MATCH</v>
      </c>
    </row>
    <row r="43" spans="1:24" x14ac:dyDescent="0.3">
      <c r="A43">
        <v>5</v>
      </c>
      <c r="B43" t="s">
        <v>18</v>
      </c>
      <c r="C43">
        <v>60726.57</v>
      </c>
      <c r="D43" t="s">
        <v>98</v>
      </c>
      <c r="E43">
        <v>60726.57</v>
      </c>
      <c r="F43">
        <v>0</v>
      </c>
      <c r="G43" t="s">
        <v>99</v>
      </c>
      <c r="H43">
        <v>13000000</v>
      </c>
      <c r="I43">
        <v>13100000</v>
      </c>
      <c r="J43">
        <v>1</v>
      </c>
      <c r="K43">
        <v>0</v>
      </c>
      <c r="L43">
        <v>5</v>
      </c>
      <c r="M43">
        <v>0</v>
      </c>
      <c r="N43">
        <v>1</v>
      </c>
      <c r="O43">
        <v>60726.57</v>
      </c>
      <c r="P43">
        <v>3</v>
      </c>
      <c r="Q43">
        <v>4</v>
      </c>
      <c r="R43">
        <v>2.8000000000000003</v>
      </c>
      <c r="S43" t="s">
        <v>2312</v>
      </c>
      <c r="V43">
        <f t="shared" si="0"/>
        <v>0</v>
      </c>
      <c r="W43">
        <f t="shared" si="1"/>
        <v>0</v>
      </c>
      <c r="X43" t="str">
        <f t="shared" si="2"/>
        <v>MATCH</v>
      </c>
    </row>
    <row r="44" spans="1:24" x14ac:dyDescent="0.3">
      <c r="A44">
        <v>5</v>
      </c>
      <c r="B44" t="s">
        <v>15</v>
      </c>
      <c r="C44">
        <v>10119.469999999999</v>
      </c>
      <c r="D44" t="s">
        <v>100</v>
      </c>
      <c r="E44">
        <v>10119.469999999999</v>
      </c>
      <c r="F44">
        <v>0</v>
      </c>
      <c r="G44" t="s">
        <v>101</v>
      </c>
      <c r="H44">
        <v>0</v>
      </c>
      <c r="I44">
        <v>0</v>
      </c>
      <c r="J44">
        <v>1</v>
      </c>
      <c r="K44">
        <v>0</v>
      </c>
      <c r="L44">
        <v>5</v>
      </c>
      <c r="M44">
        <v>0</v>
      </c>
      <c r="N44">
        <v>1</v>
      </c>
      <c r="O44">
        <v>10119.469999999999</v>
      </c>
      <c r="P44">
        <v>2</v>
      </c>
      <c r="Q44">
        <v>5</v>
      </c>
      <c r="R44">
        <v>2.6</v>
      </c>
      <c r="S44" t="s">
        <v>2312</v>
      </c>
      <c r="V44">
        <f t="shared" si="0"/>
        <v>0</v>
      </c>
      <c r="W44">
        <f t="shared" si="1"/>
        <v>0</v>
      </c>
      <c r="X44" t="str">
        <f t="shared" si="2"/>
        <v>MATCH</v>
      </c>
    </row>
    <row r="45" spans="1:24" x14ac:dyDescent="0.3">
      <c r="A45">
        <v>5</v>
      </c>
      <c r="B45" t="s">
        <v>18</v>
      </c>
      <c r="C45">
        <v>10119.469999999999</v>
      </c>
      <c r="D45" t="s">
        <v>102</v>
      </c>
      <c r="E45">
        <v>10119.469999999999</v>
      </c>
      <c r="F45">
        <v>0</v>
      </c>
      <c r="G45" t="s">
        <v>103</v>
      </c>
      <c r="H45">
        <v>0</v>
      </c>
      <c r="I45">
        <v>10119.469999999999</v>
      </c>
      <c r="J45">
        <v>1</v>
      </c>
      <c r="K45">
        <v>0</v>
      </c>
      <c r="L45">
        <v>5</v>
      </c>
      <c r="M45">
        <v>0</v>
      </c>
      <c r="N45">
        <v>1</v>
      </c>
      <c r="O45">
        <v>10119.469999999999</v>
      </c>
      <c r="P45">
        <v>2</v>
      </c>
      <c r="Q45">
        <v>4</v>
      </c>
      <c r="R45">
        <v>2.3000000000000003</v>
      </c>
      <c r="S45" t="s">
        <v>2312</v>
      </c>
      <c r="V45">
        <f t="shared" si="0"/>
        <v>0</v>
      </c>
      <c r="W45">
        <f t="shared" si="1"/>
        <v>0</v>
      </c>
      <c r="X45" t="str">
        <f t="shared" si="2"/>
        <v>MATCH</v>
      </c>
    </row>
    <row r="46" spans="1:24" x14ac:dyDescent="0.3">
      <c r="A46">
        <v>6</v>
      </c>
      <c r="B46" t="s">
        <v>15</v>
      </c>
      <c r="C46">
        <v>33332.86</v>
      </c>
      <c r="D46" t="s">
        <v>104</v>
      </c>
      <c r="E46">
        <v>33332.86</v>
      </c>
      <c r="F46">
        <v>0</v>
      </c>
      <c r="G46" t="s">
        <v>105</v>
      </c>
      <c r="H46">
        <v>0</v>
      </c>
      <c r="I46">
        <v>0</v>
      </c>
      <c r="J46">
        <v>1</v>
      </c>
      <c r="K46">
        <v>0</v>
      </c>
      <c r="L46">
        <v>6</v>
      </c>
      <c r="M46">
        <v>0</v>
      </c>
      <c r="N46">
        <v>1</v>
      </c>
      <c r="O46">
        <v>33332.86</v>
      </c>
      <c r="P46">
        <v>2</v>
      </c>
      <c r="Q46">
        <v>5</v>
      </c>
      <c r="R46">
        <v>2.6</v>
      </c>
      <c r="S46" t="s">
        <v>2312</v>
      </c>
      <c r="V46">
        <f t="shared" si="0"/>
        <v>0</v>
      </c>
      <c r="W46">
        <f t="shared" si="1"/>
        <v>0</v>
      </c>
      <c r="X46" t="str">
        <f t="shared" si="2"/>
        <v>MATCH</v>
      </c>
    </row>
    <row r="47" spans="1:24" x14ac:dyDescent="0.3">
      <c r="A47">
        <v>6</v>
      </c>
      <c r="B47" t="s">
        <v>18</v>
      </c>
      <c r="C47">
        <v>33332.86</v>
      </c>
      <c r="D47" t="s">
        <v>106</v>
      </c>
      <c r="E47">
        <v>33332.86</v>
      </c>
      <c r="F47">
        <v>0</v>
      </c>
      <c r="G47" t="s">
        <v>107</v>
      </c>
      <c r="H47">
        <v>31002</v>
      </c>
      <c r="I47">
        <v>0</v>
      </c>
      <c r="J47">
        <v>1</v>
      </c>
      <c r="K47">
        <v>0</v>
      </c>
      <c r="L47">
        <v>6</v>
      </c>
      <c r="M47">
        <v>0</v>
      </c>
      <c r="N47">
        <v>1</v>
      </c>
      <c r="O47">
        <v>33332.86</v>
      </c>
      <c r="P47">
        <v>2</v>
      </c>
      <c r="Q47">
        <v>4</v>
      </c>
      <c r="R47">
        <v>2.3000000000000003</v>
      </c>
      <c r="S47" t="s">
        <v>2312</v>
      </c>
      <c r="V47">
        <f t="shared" si="0"/>
        <v>0</v>
      </c>
      <c r="W47">
        <f t="shared" si="1"/>
        <v>0</v>
      </c>
      <c r="X47" t="str">
        <f t="shared" si="2"/>
        <v>MATCH</v>
      </c>
    </row>
    <row r="48" spans="1:24" x14ac:dyDescent="0.3">
      <c r="A48">
        <v>6</v>
      </c>
      <c r="B48" t="s">
        <v>15</v>
      </c>
      <c r="C48">
        <v>25975.86</v>
      </c>
      <c r="D48" t="s">
        <v>108</v>
      </c>
      <c r="E48">
        <v>25975.86</v>
      </c>
      <c r="F48">
        <v>0</v>
      </c>
      <c r="G48" t="s">
        <v>109</v>
      </c>
      <c r="H48">
        <v>0</v>
      </c>
      <c r="I48">
        <v>0</v>
      </c>
      <c r="J48">
        <v>1</v>
      </c>
      <c r="K48">
        <v>0</v>
      </c>
      <c r="L48">
        <v>6</v>
      </c>
      <c r="M48">
        <v>0</v>
      </c>
      <c r="N48">
        <v>1</v>
      </c>
      <c r="O48">
        <v>25975.86</v>
      </c>
      <c r="P48">
        <v>2</v>
      </c>
      <c r="Q48">
        <v>5</v>
      </c>
      <c r="R48">
        <v>2.6</v>
      </c>
      <c r="S48" t="s">
        <v>2312</v>
      </c>
      <c r="V48">
        <f t="shared" si="0"/>
        <v>0</v>
      </c>
      <c r="W48">
        <f t="shared" si="1"/>
        <v>0</v>
      </c>
      <c r="X48" t="str">
        <f t="shared" si="2"/>
        <v>MATCH</v>
      </c>
    </row>
    <row r="49" spans="1:24" x14ac:dyDescent="0.3">
      <c r="A49">
        <v>6</v>
      </c>
      <c r="B49" t="s">
        <v>18</v>
      </c>
      <c r="C49">
        <v>25975.86</v>
      </c>
      <c r="D49" t="s">
        <v>110</v>
      </c>
      <c r="E49">
        <v>25975.86</v>
      </c>
      <c r="F49">
        <v>0</v>
      </c>
      <c r="G49" t="s">
        <v>111</v>
      </c>
      <c r="H49">
        <v>98152</v>
      </c>
      <c r="I49">
        <v>28041.27</v>
      </c>
      <c r="J49">
        <v>1</v>
      </c>
      <c r="K49">
        <v>0</v>
      </c>
      <c r="L49">
        <v>6</v>
      </c>
      <c r="M49">
        <v>0</v>
      </c>
      <c r="N49">
        <v>1</v>
      </c>
      <c r="O49">
        <v>25975.86</v>
      </c>
      <c r="P49">
        <v>2</v>
      </c>
      <c r="Q49">
        <v>4</v>
      </c>
      <c r="R49">
        <v>2.3000000000000003</v>
      </c>
      <c r="S49" t="s">
        <v>2312</v>
      </c>
      <c r="V49">
        <f t="shared" si="0"/>
        <v>0</v>
      </c>
      <c r="W49">
        <f t="shared" si="1"/>
        <v>0</v>
      </c>
      <c r="X49" t="str">
        <f t="shared" si="2"/>
        <v>MATCH</v>
      </c>
    </row>
    <row r="50" spans="1:24" x14ac:dyDescent="0.3">
      <c r="A50">
        <v>6</v>
      </c>
      <c r="B50" t="s">
        <v>15</v>
      </c>
      <c r="C50">
        <v>26768.5</v>
      </c>
      <c r="D50" t="s">
        <v>112</v>
      </c>
      <c r="E50">
        <v>26768.5</v>
      </c>
      <c r="F50">
        <v>0</v>
      </c>
      <c r="G50" t="s">
        <v>113</v>
      </c>
      <c r="H50">
        <v>0</v>
      </c>
      <c r="I50">
        <v>0</v>
      </c>
      <c r="J50">
        <v>1</v>
      </c>
      <c r="K50">
        <v>0</v>
      </c>
      <c r="L50">
        <v>6</v>
      </c>
      <c r="M50">
        <v>0</v>
      </c>
      <c r="N50">
        <v>1</v>
      </c>
      <c r="O50">
        <v>26768.5</v>
      </c>
      <c r="P50">
        <v>2</v>
      </c>
      <c r="Q50">
        <v>5</v>
      </c>
      <c r="R50">
        <v>2.6</v>
      </c>
      <c r="S50" t="s">
        <v>2312</v>
      </c>
      <c r="V50">
        <f t="shared" si="0"/>
        <v>0</v>
      </c>
      <c r="W50">
        <f t="shared" si="1"/>
        <v>0</v>
      </c>
      <c r="X50" t="str">
        <f t="shared" si="2"/>
        <v>MATCH</v>
      </c>
    </row>
    <row r="51" spans="1:24" x14ac:dyDescent="0.3">
      <c r="A51">
        <v>6</v>
      </c>
      <c r="B51" t="s">
        <v>18</v>
      </c>
      <c r="C51">
        <v>26768.5</v>
      </c>
      <c r="D51" t="s">
        <v>114</v>
      </c>
      <c r="E51">
        <v>26768.5</v>
      </c>
      <c r="F51">
        <v>0</v>
      </c>
      <c r="G51" t="s">
        <v>115</v>
      </c>
      <c r="H51">
        <v>101976</v>
      </c>
      <c r="I51">
        <v>128744.5</v>
      </c>
      <c r="J51">
        <v>1</v>
      </c>
      <c r="K51">
        <v>0</v>
      </c>
      <c r="L51">
        <v>6</v>
      </c>
      <c r="M51">
        <v>0</v>
      </c>
      <c r="N51">
        <v>1</v>
      </c>
      <c r="O51">
        <v>26768.5</v>
      </c>
      <c r="P51">
        <v>2</v>
      </c>
      <c r="Q51">
        <v>4</v>
      </c>
      <c r="R51">
        <v>2.3000000000000003</v>
      </c>
      <c r="S51" t="s">
        <v>2312</v>
      </c>
      <c r="V51">
        <f t="shared" si="0"/>
        <v>0</v>
      </c>
      <c r="W51">
        <f t="shared" si="1"/>
        <v>0</v>
      </c>
      <c r="X51" t="str">
        <f t="shared" si="2"/>
        <v>MATCH</v>
      </c>
    </row>
    <row r="52" spans="1:24" x14ac:dyDescent="0.3">
      <c r="A52">
        <v>6</v>
      </c>
      <c r="B52" t="s">
        <v>15</v>
      </c>
      <c r="C52">
        <v>30521.02</v>
      </c>
      <c r="D52" t="s">
        <v>116</v>
      </c>
      <c r="E52">
        <v>30521.02</v>
      </c>
      <c r="F52">
        <v>0</v>
      </c>
      <c r="G52" t="s">
        <v>117</v>
      </c>
      <c r="H52">
        <v>0</v>
      </c>
      <c r="I52">
        <v>0</v>
      </c>
      <c r="J52">
        <v>1</v>
      </c>
      <c r="K52">
        <v>0</v>
      </c>
      <c r="L52">
        <v>6</v>
      </c>
      <c r="M52">
        <v>0</v>
      </c>
      <c r="N52">
        <v>1</v>
      </c>
      <c r="O52">
        <v>30521.02</v>
      </c>
      <c r="P52">
        <v>2</v>
      </c>
      <c r="Q52">
        <v>5</v>
      </c>
      <c r="R52">
        <v>2.6</v>
      </c>
      <c r="S52" t="s">
        <v>2312</v>
      </c>
      <c r="V52">
        <f t="shared" si="0"/>
        <v>0</v>
      </c>
      <c r="W52">
        <f t="shared" si="1"/>
        <v>0</v>
      </c>
      <c r="X52" t="str">
        <f t="shared" si="2"/>
        <v>MATCH</v>
      </c>
    </row>
    <row r="53" spans="1:24" x14ac:dyDescent="0.3">
      <c r="A53">
        <v>6</v>
      </c>
      <c r="B53" t="s">
        <v>18</v>
      </c>
      <c r="C53">
        <v>30521.02</v>
      </c>
      <c r="D53" t="s">
        <v>118</v>
      </c>
      <c r="E53">
        <v>30521.02</v>
      </c>
      <c r="F53">
        <v>0</v>
      </c>
      <c r="G53" t="s">
        <v>119</v>
      </c>
      <c r="H53">
        <v>0</v>
      </c>
      <c r="I53">
        <v>30521.02</v>
      </c>
      <c r="J53">
        <v>1</v>
      </c>
      <c r="K53">
        <v>0</v>
      </c>
      <c r="L53">
        <v>6</v>
      </c>
      <c r="M53">
        <v>0</v>
      </c>
      <c r="N53">
        <v>1</v>
      </c>
      <c r="O53">
        <v>30521.02</v>
      </c>
      <c r="P53">
        <v>2</v>
      </c>
      <c r="Q53">
        <v>4</v>
      </c>
      <c r="R53">
        <v>2.3000000000000003</v>
      </c>
      <c r="S53" t="s">
        <v>2312</v>
      </c>
      <c r="V53">
        <f t="shared" si="0"/>
        <v>0</v>
      </c>
      <c r="W53">
        <f t="shared" si="1"/>
        <v>0</v>
      </c>
      <c r="X53" t="str">
        <f t="shared" si="2"/>
        <v>MATCH</v>
      </c>
    </row>
    <row r="54" spans="1:24" x14ac:dyDescent="0.3">
      <c r="A54">
        <v>6</v>
      </c>
      <c r="B54" t="s">
        <v>15</v>
      </c>
      <c r="C54">
        <v>216422</v>
      </c>
      <c r="D54" t="s">
        <v>120</v>
      </c>
      <c r="E54">
        <v>216422</v>
      </c>
      <c r="F54">
        <v>0</v>
      </c>
      <c r="G54" t="s">
        <v>121</v>
      </c>
      <c r="H54">
        <v>0</v>
      </c>
      <c r="I54">
        <v>0</v>
      </c>
      <c r="J54">
        <v>1</v>
      </c>
      <c r="K54">
        <v>0</v>
      </c>
      <c r="L54">
        <v>6</v>
      </c>
      <c r="M54">
        <v>0</v>
      </c>
      <c r="N54">
        <v>1</v>
      </c>
      <c r="O54">
        <v>216422</v>
      </c>
      <c r="P54">
        <v>5</v>
      </c>
      <c r="Q54">
        <v>5</v>
      </c>
      <c r="R54">
        <v>4.0999999999999996</v>
      </c>
      <c r="S54" t="s">
        <v>2310</v>
      </c>
      <c r="V54">
        <f t="shared" si="0"/>
        <v>0</v>
      </c>
      <c r="W54">
        <f t="shared" si="1"/>
        <v>0</v>
      </c>
      <c r="X54" t="str">
        <f t="shared" si="2"/>
        <v>MATCH</v>
      </c>
    </row>
    <row r="55" spans="1:24" x14ac:dyDescent="0.3">
      <c r="A55">
        <v>6</v>
      </c>
      <c r="B55" t="s">
        <v>18</v>
      </c>
      <c r="C55">
        <v>216422</v>
      </c>
      <c r="D55" t="s">
        <v>122</v>
      </c>
      <c r="E55">
        <v>216422</v>
      </c>
      <c r="F55">
        <v>0</v>
      </c>
      <c r="G55" t="s">
        <v>123</v>
      </c>
      <c r="H55">
        <v>10097</v>
      </c>
      <c r="I55">
        <v>48630.5</v>
      </c>
      <c r="J55">
        <v>1</v>
      </c>
      <c r="K55">
        <v>0</v>
      </c>
      <c r="L55">
        <v>6</v>
      </c>
      <c r="M55">
        <v>0</v>
      </c>
      <c r="N55">
        <v>1</v>
      </c>
      <c r="O55">
        <v>216422</v>
      </c>
      <c r="P55">
        <v>5</v>
      </c>
      <c r="Q55">
        <v>4</v>
      </c>
      <c r="R55">
        <v>3.8000000000000003</v>
      </c>
      <c r="S55" t="s">
        <v>2310</v>
      </c>
      <c r="V55">
        <f t="shared" si="0"/>
        <v>0</v>
      </c>
      <c r="W55">
        <f t="shared" si="1"/>
        <v>0</v>
      </c>
      <c r="X55" t="str">
        <f t="shared" si="2"/>
        <v>MATCH</v>
      </c>
    </row>
    <row r="56" spans="1:24" x14ac:dyDescent="0.3">
      <c r="A56">
        <v>6</v>
      </c>
      <c r="B56" t="s">
        <v>15</v>
      </c>
      <c r="C56">
        <v>17320.91</v>
      </c>
      <c r="D56" t="s">
        <v>124</v>
      </c>
      <c r="E56">
        <v>17320.91</v>
      </c>
      <c r="F56">
        <v>0</v>
      </c>
      <c r="G56" t="s">
        <v>125</v>
      </c>
      <c r="H56">
        <v>0</v>
      </c>
      <c r="I56">
        <v>0</v>
      </c>
      <c r="J56">
        <v>1</v>
      </c>
      <c r="K56">
        <v>0</v>
      </c>
      <c r="L56">
        <v>6</v>
      </c>
      <c r="M56">
        <v>0</v>
      </c>
      <c r="N56">
        <v>1</v>
      </c>
      <c r="O56">
        <v>17320.91</v>
      </c>
      <c r="P56">
        <v>2</v>
      </c>
      <c r="Q56">
        <v>5</v>
      </c>
      <c r="R56">
        <v>2.6</v>
      </c>
      <c r="S56" t="s">
        <v>2312</v>
      </c>
      <c r="V56">
        <f t="shared" si="0"/>
        <v>0</v>
      </c>
      <c r="W56">
        <f t="shared" si="1"/>
        <v>0</v>
      </c>
      <c r="X56" t="str">
        <f t="shared" si="2"/>
        <v>MATCH</v>
      </c>
    </row>
    <row r="57" spans="1:24" x14ac:dyDescent="0.3">
      <c r="A57">
        <v>6</v>
      </c>
      <c r="B57" t="s">
        <v>18</v>
      </c>
      <c r="C57">
        <v>17320.91</v>
      </c>
      <c r="D57" t="s">
        <v>126</v>
      </c>
      <c r="E57">
        <v>17320.91</v>
      </c>
      <c r="F57">
        <v>0</v>
      </c>
      <c r="G57" t="s">
        <v>127</v>
      </c>
      <c r="H57">
        <v>6244.44</v>
      </c>
      <c r="I57">
        <v>0</v>
      </c>
      <c r="J57">
        <v>1</v>
      </c>
      <c r="K57">
        <v>0</v>
      </c>
      <c r="L57">
        <v>6</v>
      </c>
      <c r="M57">
        <v>0</v>
      </c>
      <c r="N57">
        <v>1</v>
      </c>
      <c r="O57">
        <v>17320.91</v>
      </c>
      <c r="P57">
        <v>2</v>
      </c>
      <c r="Q57">
        <v>4</v>
      </c>
      <c r="R57">
        <v>2.3000000000000003</v>
      </c>
      <c r="S57" t="s">
        <v>2312</v>
      </c>
      <c r="V57">
        <f t="shared" si="0"/>
        <v>0</v>
      </c>
      <c r="W57">
        <f t="shared" si="1"/>
        <v>0</v>
      </c>
      <c r="X57" t="str">
        <f t="shared" si="2"/>
        <v>MATCH</v>
      </c>
    </row>
    <row r="58" spans="1:24" x14ac:dyDescent="0.3">
      <c r="A58">
        <v>6</v>
      </c>
      <c r="B58" t="s">
        <v>15</v>
      </c>
      <c r="C58">
        <v>17246</v>
      </c>
      <c r="D58" t="s">
        <v>128</v>
      </c>
      <c r="E58">
        <v>17246</v>
      </c>
      <c r="F58">
        <v>0</v>
      </c>
      <c r="G58" t="s">
        <v>129</v>
      </c>
      <c r="H58">
        <v>0</v>
      </c>
      <c r="I58">
        <v>101717.84</v>
      </c>
      <c r="J58">
        <v>1</v>
      </c>
      <c r="K58">
        <v>0</v>
      </c>
      <c r="L58">
        <v>6</v>
      </c>
      <c r="M58">
        <v>0</v>
      </c>
      <c r="N58">
        <v>1</v>
      </c>
      <c r="O58">
        <v>17246</v>
      </c>
      <c r="P58">
        <v>2</v>
      </c>
      <c r="Q58">
        <v>5</v>
      </c>
      <c r="R58">
        <v>2.6</v>
      </c>
      <c r="S58" t="s">
        <v>2312</v>
      </c>
      <c r="V58">
        <f t="shared" si="0"/>
        <v>0</v>
      </c>
      <c r="W58">
        <f t="shared" si="1"/>
        <v>0</v>
      </c>
      <c r="X58" t="str">
        <f t="shared" si="2"/>
        <v>MATCH</v>
      </c>
    </row>
    <row r="59" spans="1:24" x14ac:dyDescent="0.3">
      <c r="A59">
        <v>6</v>
      </c>
      <c r="B59" t="s">
        <v>18</v>
      </c>
      <c r="C59">
        <v>17246</v>
      </c>
      <c r="D59" t="s">
        <v>130</v>
      </c>
      <c r="E59">
        <v>17246</v>
      </c>
      <c r="F59">
        <v>0</v>
      </c>
      <c r="G59" t="s">
        <v>131</v>
      </c>
      <c r="H59">
        <v>0</v>
      </c>
      <c r="I59">
        <v>17246</v>
      </c>
      <c r="J59">
        <v>1</v>
      </c>
      <c r="K59">
        <v>0</v>
      </c>
      <c r="L59">
        <v>6</v>
      </c>
      <c r="M59">
        <v>0</v>
      </c>
      <c r="N59">
        <v>1</v>
      </c>
      <c r="O59">
        <v>17246</v>
      </c>
      <c r="P59">
        <v>2</v>
      </c>
      <c r="Q59">
        <v>4</v>
      </c>
      <c r="R59">
        <v>2.3000000000000003</v>
      </c>
      <c r="S59" t="s">
        <v>2312</v>
      </c>
      <c r="V59">
        <f t="shared" si="0"/>
        <v>0</v>
      </c>
      <c r="W59">
        <f t="shared" si="1"/>
        <v>0</v>
      </c>
      <c r="X59" t="str">
        <f t="shared" si="2"/>
        <v>MATCH</v>
      </c>
    </row>
    <row r="60" spans="1:24" x14ac:dyDescent="0.3">
      <c r="A60">
        <v>6</v>
      </c>
      <c r="B60" t="s">
        <v>15</v>
      </c>
      <c r="C60">
        <v>10565</v>
      </c>
      <c r="D60" t="s">
        <v>132</v>
      </c>
      <c r="E60">
        <v>10565</v>
      </c>
      <c r="F60">
        <v>0</v>
      </c>
      <c r="G60" t="s">
        <v>133</v>
      </c>
      <c r="H60">
        <v>0</v>
      </c>
      <c r="I60">
        <v>0</v>
      </c>
      <c r="J60">
        <v>1</v>
      </c>
      <c r="K60">
        <v>0</v>
      </c>
      <c r="L60">
        <v>6</v>
      </c>
      <c r="M60">
        <v>0</v>
      </c>
      <c r="N60">
        <v>1</v>
      </c>
      <c r="O60">
        <v>10565</v>
      </c>
      <c r="P60">
        <v>2</v>
      </c>
      <c r="Q60">
        <v>5</v>
      </c>
      <c r="R60">
        <v>2.6</v>
      </c>
      <c r="S60" t="s">
        <v>2312</v>
      </c>
      <c r="V60">
        <f t="shared" si="0"/>
        <v>0</v>
      </c>
      <c r="W60">
        <f t="shared" si="1"/>
        <v>0</v>
      </c>
      <c r="X60" t="str">
        <f t="shared" si="2"/>
        <v>MATCH</v>
      </c>
    </row>
    <row r="61" spans="1:24" x14ac:dyDescent="0.3">
      <c r="A61">
        <v>6</v>
      </c>
      <c r="B61" t="s">
        <v>18</v>
      </c>
      <c r="C61">
        <v>10565</v>
      </c>
      <c r="D61" t="s">
        <v>134</v>
      </c>
      <c r="E61">
        <v>10565</v>
      </c>
      <c r="F61">
        <v>0</v>
      </c>
      <c r="G61" t="s">
        <v>135</v>
      </c>
      <c r="H61">
        <v>36275</v>
      </c>
      <c r="I61">
        <v>24380.720000000001</v>
      </c>
      <c r="J61">
        <v>1</v>
      </c>
      <c r="K61">
        <v>0</v>
      </c>
      <c r="L61">
        <v>6</v>
      </c>
      <c r="M61">
        <v>0</v>
      </c>
      <c r="N61">
        <v>1</v>
      </c>
      <c r="O61">
        <v>10565</v>
      </c>
      <c r="P61">
        <v>2</v>
      </c>
      <c r="Q61">
        <v>4</v>
      </c>
      <c r="R61">
        <v>2.3000000000000003</v>
      </c>
      <c r="S61" t="s">
        <v>2312</v>
      </c>
      <c r="V61">
        <f t="shared" si="0"/>
        <v>0</v>
      </c>
      <c r="W61">
        <f t="shared" si="1"/>
        <v>0</v>
      </c>
      <c r="X61" t="str">
        <f t="shared" si="2"/>
        <v>MATCH</v>
      </c>
    </row>
    <row r="62" spans="1:24" x14ac:dyDescent="0.3">
      <c r="A62">
        <v>6</v>
      </c>
      <c r="B62" t="s">
        <v>15</v>
      </c>
      <c r="C62">
        <v>10224</v>
      </c>
      <c r="D62" t="s">
        <v>136</v>
      </c>
      <c r="E62">
        <v>10224</v>
      </c>
      <c r="F62">
        <v>0</v>
      </c>
      <c r="G62" t="s">
        <v>137</v>
      </c>
      <c r="H62">
        <v>0</v>
      </c>
      <c r="I62">
        <v>0</v>
      </c>
      <c r="J62">
        <v>1</v>
      </c>
      <c r="K62">
        <v>0</v>
      </c>
      <c r="L62">
        <v>6</v>
      </c>
      <c r="M62">
        <v>0</v>
      </c>
      <c r="N62">
        <v>1</v>
      </c>
      <c r="O62">
        <v>10224</v>
      </c>
      <c r="P62">
        <v>2</v>
      </c>
      <c r="Q62">
        <v>5</v>
      </c>
      <c r="R62">
        <v>2.6</v>
      </c>
      <c r="S62" t="s">
        <v>2312</v>
      </c>
      <c r="V62">
        <f t="shared" si="0"/>
        <v>0</v>
      </c>
      <c r="W62">
        <f t="shared" si="1"/>
        <v>0</v>
      </c>
      <c r="X62" t="str">
        <f t="shared" si="2"/>
        <v>MATCH</v>
      </c>
    </row>
    <row r="63" spans="1:24" x14ac:dyDescent="0.3">
      <c r="A63">
        <v>6</v>
      </c>
      <c r="B63" t="s">
        <v>18</v>
      </c>
      <c r="C63">
        <v>10224</v>
      </c>
      <c r="D63" t="s">
        <v>138</v>
      </c>
      <c r="E63">
        <v>10224</v>
      </c>
      <c r="F63">
        <v>0</v>
      </c>
      <c r="G63" t="s">
        <v>139</v>
      </c>
      <c r="H63">
        <v>0</v>
      </c>
      <c r="I63">
        <v>10224</v>
      </c>
      <c r="J63">
        <v>1</v>
      </c>
      <c r="K63">
        <v>0</v>
      </c>
      <c r="L63">
        <v>6</v>
      </c>
      <c r="M63">
        <v>0</v>
      </c>
      <c r="N63">
        <v>1</v>
      </c>
      <c r="O63">
        <v>10224</v>
      </c>
      <c r="P63">
        <v>2</v>
      </c>
      <c r="Q63">
        <v>4</v>
      </c>
      <c r="R63">
        <v>2.3000000000000003</v>
      </c>
      <c r="S63" t="s">
        <v>2312</v>
      </c>
      <c r="V63">
        <f t="shared" si="0"/>
        <v>0</v>
      </c>
      <c r="W63">
        <f t="shared" si="1"/>
        <v>0</v>
      </c>
      <c r="X63" t="str">
        <f t="shared" si="2"/>
        <v>MATCH</v>
      </c>
    </row>
    <row r="64" spans="1:24" x14ac:dyDescent="0.3">
      <c r="A64">
        <v>6</v>
      </c>
      <c r="B64" t="s">
        <v>15</v>
      </c>
      <c r="C64">
        <v>85354.69</v>
      </c>
      <c r="D64" t="s">
        <v>140</v>
      </c>
      <c r="E64">
        <v>85354.69</v>
      </c>
      <c r="F64">
        <v>0</v>
      </c>
      <c r="G64" t="s">
        <v>141</v>
      </c>
      <c r="H64">
        <v>0</v>
      </c>
      <c r="I64">
        <v>0</v>
      </c>
      <c r="J64">
        <v>1</v>
      </c>
      <c r="K64">
        <v>0</v>
      </c>
      <c r="L64">
        <v>6</v>
      </c>
      <c r="M64">
        <v>0</v>
      </c>
      <c r="N64">
        <v>1</v>
      </c>
      <c r="O64">
        <v>85354.69</v>
      </c>
      <c r="P64">
        <v>3</v>
      </c>
      <c r="Q64">
        <v>5</v>
      </c>
      <c r="R64">
        <v>3.1</v>
      </c>
      <c r="S64" t="s">
        <v>2310</v>
      </c>
      <c r="V64">
        <f t="shared" si="0"/>
        <v>0</v>
      </c>
      <c r="W64">
        <f t="shared" si="1"/>
        <v>0</v>
      </c>
      <c r="X64" t="str">
        <f t="shared" si="2"/>
        <v>MATCH</v>
      </c>
    </row>
    <row r="65" spans="1:24" x14ac:dyDescent="0.3">
      <c r="A65">
        <v>6</v>
      </c>
      <c r="B65" t="s">
        <v>18</v>
      </c>
      <c r="C65">
        <v>85354.69</v>
      </c>
      <c r="D65" t="s">
        <v>142</v>
      </c>
      <c r="E65">
        <v>85354.69</v>
      </c>
      <c r="F65">
        <v>0</v>
      </c>
      <c r="G65" t="s">
        <v>143</v>
      </c>
      <c r="H65">
        <v>11170</v>
      </c>
      <c r="I65">
        <v>10612.55</v>
      </c>
      <c r="J65">
        <v>1</v>
      </c>
      <c r="K65">
        <v>0</v>
      </c>
      <c r="L65">
        <v>6</v>
      </c>
      <c r="M65">
        <v>0</v>
      </c>
      <c r="N65">
        <v>1</v>
      </c>
      <c r="O65">
        <v>85354.69</v>
      </c>
      <c r="P65">
        <v>3</v>
      </c>
      <c r="Q65">
        <v>4</v>
      </c>
      <c r="R65">
        <v>2.8000000000000003</v>
      </c>
      <c r="S65" t="s">
        <v>2312</v>
      </c>
      <c r="V65">
        <f t="shared" si="0"/>
        <v>0</v>
      </c>
      <c r="W65">
        <f t="shared" si="1"/>
        <v>0</v>
      </c>
      <c r="X65" t="str">
        <f t="shared" si="2"/>
        <v>MATCH</v>
      </c>
    </row>
    <row r="66" spans="1:24" x14ac:dyDescent="0.3">
      <c r="A66">
        <v>6</v>
      </c>
      <c r="B66" t="s">
        <v>15</v>
      </c>
      <c r="C66">
        <v>13704</v>
      </c>
      <c r="D66" t="s">
        <v>144</v>
      </c>
      <c r="E66">
        <v>13704</v>
      </c>
      <c r="F66">
        <v>0</v>
      </c>
      <c r="G66" t="s">
        <v>145</v>
      </c>
      <c r="H66">
        <v>0</v>
      </c>
      <c r="I66">
        <v>1658746.09</v>
      </c>
      <c r="J66">
        <v>1</v>
      </c>
      <c r="K66">
        <v>0</v>
      </c>
      <c r="L66">
        <v>6</v>
      </c>
      <c r="M66">
        <v>0</v>
      </c>
      <c r="N66">
        <v>1</v>
      </c>
      <c r="O66">
        <v>13704</v>
      </c>
      <c r="P66">
        <v>2</v>
      </c>
      <c r="Q66">
        <v>5</v>
      </c>
      <c r="R66">
        <v>2.6</v>
      </c>
      <c r="S66" t="s">
        <v>2312</v>
      </c>
      <c r="V66">
        <f t="shared" si="0"/>
        <v>0</v>
      </c>
      <c r="W66">
        <f t="shared" si="1"/>
        <v>0</v>
      </c>
      <c r="X66" t="str">
        <f t="shared" si="2"/>
        <v>MATCH</v>
      </c>
    </row>
    <row r="67" spans="1:24" x14ac:dyDescent="0.3">
      <c r="A67">
        <v>6</v>
      </c>
      <c r="B67" t="s">
        <v>18</v>
      </c>
      <c r="C67">
        <v>13704</v>
      </c>
      <c r="D67" t="s">
        <v>146</v>
      </c>
      <c r="E67">
        <v>13704</v>
      </c>
      <c r="F67">
        <v>0</v>
      </c>
      <c r="G67" t="s">
        <v>147</v>
      </c>
      <c r="H67">
        <v>3382.84</v>
      </c>
      <c r="I67">
        <v>143675.35</v>
      </c>
      <c r="J67">
        <v>1</v>
      </c>
      <c r="K67">
        <v>0</v>
      </c>
      <c r="L67">
        <v>6</v>
      </c>
      <c r="M67">
        <v>0</v>
      </c>
      <c r="N67">
        <v>1</v>
      </c>
      <c r="O67">
        <v>13704</v>
      </c>
      <c r="P67">
        <v>2</v>
      </c>
      <c r="Q67">
        <v>4</v>
      </c>
      <c r="R67">
        <v>2.3000000000000003</v>
      </c>
      <c r="S67" t="s">
        <v>2312</v>
      </c>
      <c r="V67">
        <f t="shared" ref="V67:V130" si="3">E67-C67</f>
        <v>0</v>
      </c>
      <c r="W67">
        <f t="shared" ref="W67:W130" si="4">ABS(F67-V67)</f>
        <v>0</v>
      </c>
      <c r="X67" t="str">
        <f t="shared" ref="X67:X130" si="5">IF(W67&lt;1,"MATCH","BREAK")</f>
        <v>MATCH</v>
      </c>
    </row>
    <row r="68" spans="1:24" x14ac:dyDescent="0.3">
      <c r="A68">
        <v>7</v>
      </c>
      <c r="B68" t="s">
        <v>15</v>
      </c>
      <c r="C68">
        <v>262434.53999999998</v>
      </c>
      <c r="D68" t="s">
        <v>148</v>
      </c>
      <c r="E68">
        <v>262434.53999999998</v>
      </c>
      <c r="F68">
        <v>0</v>
      </c>
      <c r="G68" t="s">
        <v>149</v>
      </c>
      <c r="H68">
        <v>0</v>
      </c>
      <c r="I68">
        <v>0</v>
      </c>
      <c r="J68">
        <v>1</v>
      </c>
      <c r="K68">
        <v>0</v>
      </c>
      <c r="L68">
        <v>7</v>
      </c>
      <c r="M68">
        <v>0</v>
      </c>
      <c r="N68">
        <v>1</v>
      </c>
      <c r="O68">
        <v>262434.53999999998</v>
      </c>
      <c r="P68">
        <v>5</v>
      </c>
      <c r="Q68">
        <v>5</v>
      </c>
      <c r="R68">
        <v>4.0999999999999996</v>
      </c>
      <c r="S68" t="s">
        <v>2310</v>
      </c>
      <c r="V68">
        <f t="shared" si="3"/>
        <v>0</v>
      </c>
      <c r="W68">
        <f t="shared" si="4"/>
        <v>0</v>
      </c>
      <c r="X68" t="str">
        <f t="shared" si="5"/>
        <v>MATCH</v>
      </c>
    </row>
    <row r="69" spans="1:24" x14ac:dyDescent="0.3">
      <c r="A69">
        <v>7</v>
      </c>
      <c r="B69" t="s">
        <v>18</v>
      </c>
      <c r="C69">
        <v>262434.53999999998</v>
      </c>
      <c r="D69" t="s">
        <v>150</v>
      </c>
      <c r="E69">
        <v>262434.53999999998</v>
      </c>
      <c r="F69">
        <v>0</v>
      </c>
      <c r="G69" t="s">
        <v>151</v>
      </c>
      <c r="H69">
        <v>19525.79</v>
      </c>
      <c r="I69">
        <v>438233.86</v>
      </c>
      <c r="J69">
        <v>1</v>
      </c>
      <c r="K69">
        <v>0</v>
      </c>
      <c r="L69">
        <v>7</v>
      </c>
      <c r="M69">
        <v>0</v>
      </c>
      <c r="N69">
        <v>1</v>
      </c>
      <c r="O69">
        <v>262434.53999999998</v>
      </c>
      <c r="P69">
        <v>5</v>
      </c>
      <c r="Q69">
        <v>4</v>
      </c>
      <c r="R69">
        <v>3.8000000000000003</v>
      </c>
      <c r="S69" t="s">
        <v>2310</v>
      </c>
      <c r="V69">
        <f t="shared" si="3"/>
        <v>0</v>
      </c>
      <c r="W69">
        <f t="shared" si="4"/>
        <v>0</v>
      </c>
      <c r="X69" t="str">
        <f t="shared" si="5"/>
        <v>MATCH</v>
      </c>
    </row>
    <row r="70" spans="1:24" x14ac:dyDescent="0.3">
      <c r="A70">
        <v>7</v>
      </c>
      <c r="B70" t="s">
        <v>15</v>
      </c>
      <c r="C70">
        <v>21729</v>
      </c>
      <c r="D70" t="s">
        <v>152</v>
      </c>
      <c r="E70">
        <v>21729</v>
      </c>
      <c r="F70">
        <v>0</v>
      </c>
      <c r="G70" t="s">
        <v>153</v>
      </c>
      <c r="H70">
        <v>0</v>
      </c>
      <c r="I70">
        <v>0</v>
      </c>
      <c r="J70">
        <v>1</v>
      </c>
      <c r="K70">
        <v>0</v>
      </c>
      <c r="L70">
        <v>7</v>
      </c>
      <c r="M70">
        <v>0</v>
      </c>
      <c r="N70">
        <v>1</v>
      </c>
      <c r="O70">
        <v>21729</v>
      </c>
      <c r="P70">
        <v>2</v>
      </c>
      <c r="Q70">
        <v>5</v>
      </c>
      <c r="R70">
        <v>2.6</v>
      </c>
      <c r="S70" t="s">
        <v>2312</v>
      </c>
      <c r="V70">
        <f t="shared" si="3"/>
        <v>0</v>
      </c>
      <c r="W70">
        <f t="shared" si="4"/>
        <v>0</v>
      </c>
      <c r="X70" t="str">
        <f t="shared" si="5"/>
        <v>MATCH</v>
      </c>
    </row>
    <row r="71" spans="1:24" x14ac:dyDescent="0.3">
      <c r="A71">
        <v>7</v>
      </c>
      <c r="B71" t="s">
        <v>18</v>
      </c>
      <c r="C71">
        <v>21729</v>
      </c>
      <c r="D71" t="s">
        <v>154</v>
      </c>
      <c r="E71">
        <v>21729</v>
      </c>
      <c r="F71">
        <v>0</v>
      </c>
      <c r="G71" t="s">
        <v>155</v>
      </c>
      <c r="H71">
        <v>27335</v>
      </c>
      <c r="I71">
        <v>0</v>
      </c>
      <c r="J71">
        <v>1</v>
      </c>
      <c r="K71">
        <v>0</v>
      </c>
      <c r="L71">
        <v>7</v>
      </c>
      <c r="M71">
        <v>0</v>
      </c>
      <c r="N71">
        <v>1</v>
      </c>
      <c r="O71">
        <v>21729</v>
      </c>
      <c r="P71">
        <v>2</v>
      </c>
      <c r="Q71">
        <v>4</v>
      </c>
      <c r="R71">
        <v>2.3000000000000003</v>
      </c>
      <c r="S71" t="s">
        <v>2312</v>
      </c>
      <c r="V71">
        <f t="shared" si="3"/>
        <v>0</v>
      </c>
      <c r="W71">
        <f t="shared" si="4"/>
        <v>0</v>
      </c>
      <c r="X71" t="str">
        <f t="shared" si="5"/>
        <v>MATCH</v>
      </c>
    </row>
    <row r="72" spans="1:24" x14ac:dyDescent="0.3">
      <c r="A72">
        <v>7</v>
      </c>
      <c r="B72" t="s">
        <v>15</v>
      </c>
      <c r="C72">
        <v>5460002.9100000001</v>
      </c>
      <c r="D72" t="s">
        <v>156</v>
      </c>
      <c r="E72">
        <v>5460002.9100000001</v>
      </c>
      <c r="F72">
        <v>0</v>
      </c>
      <c r="G72" t="s">
        <v>157</v>
      </c>
      <c r="H72">
        <v>0</v>
      </c>
      <c r="I72">
        <v>0</v>
      </c>
      <c r="J72">
        <v>1</v>
      </c>
      <c r="K72">
        <v>0</v>
      </c>
      <c r="L72">
        <v>7</v>
      </c>
      <c r="M72">
        <v>0</v>
      </c>
      <c r="N72">
        <v>1</v>
      </c>
      <c r="O72">
        <v>5460002.9100000001</v>
      </c>
      <c r="P72">
        <v>5</v>
      </c>
      <c r="Q72">
        <v>5</v>
      </c>
      <c r="R72">
        <v>4.0999999999999996</v>
      </c>
      <c r="S72" t="s">
        <v>2310</v>
      </c>
      <c r="V72">
        <f t="shared" si="3"/>
        <v>0</v>
      </c>
      <c r="W72">
        <f t="shared" si="4"/>
        <v>0</v>
      </c>
      <c r="X72" t="str">
        <f t="shared" si="5"/>
        <v>MATCH</v>
      </c>
    </row>
    <row r="73" spans="1:24" x14ac:dyDescent="0.3">
      <c r="A73">
        <v>7</v>
      </c>
      <c r="B73" t="s">
        <v>18</v>
      </c>
      <c r="C73">
        <v>5460002.9100000001</v>
      </c>
      <c r="D73" t="s">
        <v>158</v>
      </c>
      <c r="E73">
        <v>5460002.9100000001</v>
      </c>
      <c r="F73">
        <v>0</v>
      </c>
      <c r="G73" t="s">
        <v>159</v>
      </c>
      <c r="H73">
        <v>0</v>
      </c>
      <c r="I73">
        <v>9281535.4399999995</v>
      </c>
      <c r="J73">
        <v>1</v>
      </c>
      <c r="K73">
        <v>0</v>
      </c>
      <c r="L73">
        <v>7</v>
      </c>
      <c r="M73">
        <v>0</v>
      </c>
      <c r="N73">
        <v>1</v>
      </c>
      <c r="O73">
        <v>5460002.9100000001</v>
      </c>
      <c r="P73">
        <v>5</v>
      </c>
      <c r="Q73">
        <v>4</v>
      </c>
      <c r="R73">
        <v>3.8000000000000003</v>
      </c>
      <c r="S73" t="s">
        <v>2310</v>
      </c>
      <c r="V73">
        <f t="shared" si="3"/>
        <v>0</v>
      </c>
      <c r="W73">
        <f t="shared" si="4"/>
        <v>0</v>
      </c>
      <c r="X73" t="str">
        <f t="shared" si="5"/>
        <v>MATCH</v>
      </c>
    </row>
    <row r="74" spans="1:24" x14ac:dyDescent="0.3">
      <c r="A74">
        <v>7</v>
      </c>
      <c r="B74" t="s">
        <v>15</v>
      </c>
      <c r="C74">
        <v>164</v>
      </c>
      <c r="D74" t="s">
        <v>160</v>
      </c>
      <c r="E74">
        <v>164</v>
      </c>
      <c r="F74">
        <v>0</v>
      </c>
      <c r="G74" t="s">
        <v>161</v>
      </c>
      <c r="H74">
        <v>0</v>
      </c>
      <c r="I74">
        <v>0</v>
      </c>
      <c r="J74">
        <v>1</v>
      </c>
      <c r="K74">
        <v>0</v>
      </c>
      <c r="L74">
        <v>7</v>
      </c>
      <c r="M74">
        <v>0</v>
      </c>
      <c r="N74">
        <v>1</v>
      </c>
      <c r="O74">
        <v>164</v>
      </c>
      <c r="P74">
        <v>1</v>
      </c>
      <c r="Q74">
        <v>5</v>
      </c>
      <c r="R74">
        <v>2.1</v>
      </c>
      <c r="S74" t="s">
        <v>2312</v>
      </c>
      <c r="V74">
        <f t="shared" si="3"/>
        <v>0</v>
      </c>
      <c r="W74">
        <f t="shared" si="4"/>
        <v>0</v>
      </c>
      <c r="X74" t="str">
        <f t="shared" si="5"/>
        <v>MATCH</v>
      </c>
    </row>
    <row r="75" spans="1:24" x14ac:dyDescent="0.3">
      <c r="A75">
        <v>7</v>
      </c>
      <c r="B75" t="s">
        <v>18</v>
      </c>
      <c r="C75">
        <v>164</v>
      </c>
      <c r="D75" t="s">
        <v>162</v>
      </c>
      <c r="E75">
        <v>164</v>
      </c>
      <c r="F75">
        <v>0</v>
      </c>
      <c r="G75" t="s">
        <v>163</v>
      </c>
      <c r="H75">
        <v>4068</v>
      </c>
      <c r="I75">
        <v>0</v>
      </c>
      <c r="J75">
        <v>1</v>
      </c>
      <c r="K75">
        <v>0</v>
      </c>
      <c r="L75">
        <v>7</v>
      </c>
      <c r="M75">
        <v>0</v>
      </c>
      <c r="N75">
        <v>1</v>
      </c>
      <c r="O75">
        <v>164</v>
      </c>
      <c r="P75">
        <v>1</v>
      </c>
      <c r="Q75">
        <v>4</v>
      </c>
      <c r="R75">
        <v>1.8</v>
      </c>
      <c r="S75" t="s">
        <v>2311</v>
      </c>
      <c r="V75">
        <f t="shared" si="3"/>
        <v>0</v>
      </c>
      <c r="W75">
        <f t="shared" si="4"/>
        <v>0</v>
      </c>
      <c r="X75" t="str">
        <f t="shared" si="5"/>
        <v>MATCH</v>
      </c>
    </row>
    <row r="76" spans="1:24" x14ac:dyDescent="0.3">
      <c r="A76">
        <v>7</v>
      </c>
      <c r="B76" t="s">
        <v>15</v>
      </c>
      <c r="C76">
        <v>21571</v>
      </c>
      <c r="D76" t="s">
        <v>164</v>
      </c>
      <c r="E76">
        <v>21571</v>
      </c>
      <c r="F76">
        <v>0</v>
      </c>
      <c r="G76" t="s">
        <v>165</v>
      </c>
      <c r="H76">
        <v>0</v>
      </c>
      <c r="I76">
        <v>0</v>
      </c>
      <c r="J76">
        <v>1</v>
      </c>
      <c r="K76">
        <v>0</v>
      </c>
      <c r="L76">
        <v>7</v>
      </c>
      <c r="M76">
        <v>0</v>
      </c>
      <c r="N76">
        <v>1</v>
      </c>
      <c r="O76">
        <v>21571</v>
      </c>
      <c r="P76">
        <v>2</v>
      </c>
      <c r="Q76">
        <v>5</v>
      </c>
      <c r="R76">
        <v>2.6</v>
      </c>
      <c r="S76" t="s">
        <v>2312</v>
      </c>
      <c r="V76">
        <f t="shared" si="3"/>
        <v>0</v>
      </c>
      <c r="W76">
        <f t="shared" si="4"/>
        <v>0</v>
      </c>
      <c r="X76" t="str">
        <f t="shared" si="5"/>
        <v>MATCH</v>
      </c>
    </row>
    <row r="77" spans="1:24" x14ac:dyDescent="0.3">
      <c r="A77">
        <v>7</v>
      </c>
      <c r="B77" t="s">
        <v>18</v>
      </c>
      <c r="C77">
        <v>21571</v>
      </c>
      <c r="D77" t="s">
        <v>166</v>
      </c>
      <c r="E77">
        <v>21571</v>
      </c>
      <c r="F77">
        <v>0</v>
      </c>
      <c r="G77" t="s">
        <v>167</v>
      </c>
      <c r="H77">
        <v>30797.41</v>
      </c>
      <c r="I77">
        <v>71140.3</v>
      </c>
      <c r="J77">
        <v>1</v>
      </c>
      <c r="K77">
        <v>0</v>
      </c>
      <c r="L77">
        <v>7</v>
      </c>
      <c r="M77">
        <v>0</v>
      </c>
      <c r="N77">
        <v>1</v>
      </c>
      <c r="O77">
        <v>21571</v>
      </c>
      <c r="P77">
        <v>2</v>
      </c>
      <c r="Q77">
        <v>4</v>
      </c>
      <c r="R77">
        <v>2.3000000000000003</v>
      </c>
      <c r="S77" t="s">
        <v>2312</v>
      </c>
      <c r="V77">
        <f t="shared" si="3"/>
        <v>0</v>
      </c>
      <c r="W77">
        <f t="shared" si="4"/>
        <v>0</v>
      </c>
      <c r="X77" t="str">
        <f t="shared" si="5"/>
        <v>MATCH</v>
      </c>
    </row>
    <row r="78" spans="1:24" x14ac:dyDescent="0.3">
      <c r="A78">
        <v>7</v>
      </c>
      <c r="B78" t="s">
        <v>15</v>
      </c>
      <c r="C78">
        <v>441445.58</v>
      </c>
      <c r="D78" t="s">
        <v>168</v>
      </c>
      <c r="E78">
        <v>441445.58</v>
      </c>
      <c r="F78">
        <v>0</v>
      </c>
      <c r="G78" t="s">
        <v>169</v>
      </c>
      <c r="H78">
        <v>0</v>
      </c>
      <c r="I78">
        <v>0</v>
      </c>
      <c r="J78">
        <v>1</v>
      </c>
      <c r="K78">
        <v>0</v>
      </c>
      <c r="L78">
        <v>7</v>
      </c>
      <c r="M78">
        <v>0</v>
      </c>
      <c r="N78">
        <v>1</v>
      </c>
      <c r="O78">
        <v>441445.58</v>
      </c>
      <c r="P78">
        <v>5</v>
      </c>
      <c r="Q78">
        <v>5</v>
      </c>
      <c r="R78">
        <v>4.0999999999999996</v>
      </c>
      <c r="S78" t="s">
        <v>2310</v>
      </c>
      <c r="V78">
        <f t="shared" si="3"/>
        <v>0</v>
      </c>
      <c r="W78">
        <f t="shared" si="4"/>
        <v>0</v>
      </c>
      <c r="X78" t="str">
        <f t="shared" si="5"/>
        <v>MATCH</v>
      </c>
    </row>
    <row r="79" spans="1:24" x14ac:dyDescent="0.3">
      <c r="A79">
        <v>7</v>
      </c>
      <c r="B79" t="s">
        <v>18</v>
      </c>
      <c r="C79">
        <v>441445.58</v>
      </c>
      <c r="D79" t="s">
        <v>170</v>
      </c>
      <c r="E79">
        <v>441445.58</v>
      </c>
      <c r="F79">
        <v>0</v>
      </c>
      <c r="G79" t="s">
        <v>171</v>
      </c>
      <c r="H79">
        <v>98993.5</v>
      </c>
      <c r="I79">
        <v>0</v>
      </c>
      <c r="J79">
        <v>1</v>
      </c>
      <c r="K79">
        <v>0</v>
      </c>
      <c r="L79">
        <v>7</v>
      </c>
      <c r="M79">
        <v>0</v>
      </c>
      <c r="N79">
        <v>1</v>
      </c>
      <c r="O79">
        <v>441445.58</v>
      </c>
      <c r="P79">
        <v>5</v>
      </c>
      <c r="Q79">
        <v>4</v>
      </c>
      <c r="R79">
        <v>3.8000000000000003</v>
      </c>
      <c r="S79" t="s">
        <v>2310</v>
      </c>
      <c r="V79">
        <f t="shared" si="3"/>
        <v>0</v>
      </c>
      <c r="W79">
        <f t="shared" si="4"/>
        <v>0</v>
      </c>
      <c r="X79" t="str">
        <f t="shared" si="5"/>
        <v>MATCH</v>
      </c>
    </row>
    <row r="80" spans="1:24" x14ac:dyDescent="0.3">
      <c r="A80">
        <v>8</v>
      </c>
      <c r="B80" t="s">
        <v>18</v>
      </c>
      <c r="C80">
        <v>181728.11</v>
      </c>
      <c r="D80" t="s">
        <v>172</v>
      </c>
      <c r="E80">
        <v>0</v>
      </c>
      <c r="F80">
        <v>0</v>
      </c>
      <c r="G80" t="s">
        <v>173</v>
      </c>
      <c r="H80">
        <v>11397</v>
      </c>
      <c r="I80">
        <v>184477.77</v>
      </c>
      <c r="J80">
        <v>1</v>
      </c>
      <c r="K80">
        <v>0</v>
      </c>
      <c r="L80">
        <v>8</v>
      </c>
      <c r="M80">
        <v>0</v>
      </c>
      <c r="N80">
        <v>0</v>
      </c>
      <c r="O80">
        <v>0</v>
      </c>
      <c r="P80">
        <v>4</v>
      </c>
      <c r="Q80">
        <v>4</v>
      </c>
      <c r="R80">
        <v>3.2</v>
      </c>
      <c r="S80" t="s">
        <v>2310</v>
      </c>
      <c r="V80">
        <f t="shared" si="3"/>
        <v>-181728.11</v>
      </c>
      <c r="W80">
        <f t="shared" si="4"/>
        <v>181728.11</v>
      </c>
      <c r="X80" t="str">
        <f t="shared" si="5"/>
        <v>BREAK</v>
      </c>
    </row>
    <row r="81" spans="1:24" x14ac:dyDescent="0.3">
      <c r="A81">
        <v>8</v>
      </c>
      <c r="B81" t="s">
        <v>15</v>
      </c>
      <c r="C81">
        <v>222</v>
      </c>
      <c r="D81" t="s">
        <v>174</v>
      </c>
      <c r="E81">
        <v>222</v>
      </c>
      <c r="F81">
        <v>0</v>
      </c>
      <c r="G81" t="s">
        <v>175</v>
      </c>
      <c r="H81">
        <v>0</v>
      </c>
      <c r="I81">
        <v>267095.19</v>
      </c>
      <c r="J81">
        <v>1</v>
      </c>
      <c r="K81">
        <v>0</v>
      </c>
      <c r="L81">
        <v>8</v>
      </c>
      <c r="M81">
        <v>0</v>
      </c>
      <c r="N81">
        <v>1</v>
      </c>
      <c r="O81">
        <v>222</v>
      </c>
      <c r="P81">
        <v>1</v>
      </c>
      <c r="Q81">
        <v>5</v>
      </c>
      <c r="R81">
        <v>2.1</v>
      </c>
      <c r="S81" t="s">
        <v>2312</v>
      </c>
      <c r="V81">
        <f t="shared" si="3"/>
        <v>0</v>
      </c>
      <c r="W81">
        <f t="shared" si="4"/>
        <v>0</v>
      </c>
      <c r="X81" t="str">
        <f t="shared" si="5"/>
        <v>MATCH</v>
      </c>
    </row>
    <row r="82" spans="1:24" x14ac:dyDescent="0.3">
      <c r="A82">
        <v>8</v>
      </c>
      <c r="B82" t="s">
        <v>18</v>
      </c>
      <c r="C82">
        <v>222</v>
      </c>
      <c r="D82" t="s">
        <v>176</v>
      </c>
      <c r="E82">
        <v>222</v>
      </c>
      <c r="F82">
        <v>0</v>
      </c>
      <c r="G82" t="s">
        <v>177</v>
      </c>
      <c r="H82">
        <v>24708</v>
      </c>
      <c r="I82">
        <v>171647.35</v>
      </c>
      <c r="J82">
        <v>1</v>
      </c>
      <c r="K82">
        <v>0</v>
      </c>
      <c r="L82">
        <v>8</v>
      </c>
      <c r="M82">
        <v>0</v>
      </c>
      <c r="N82">
        <v>1</v>
      </c>
      <c r="O82">
        <v>222</v>
      </c>
      <c r="P82">
        <v>1</v>
      </c>
      <c r="Q82">
        <v>4</v>
      </c>
      <c r="R82">
        <v>1.8</v>
      </c>
      <c r="S82" t="s">
        <v>2311</v>
      </c>
      <c r="V82">
        <f t="shared" si="3"/>
        <v>0</v>
      </c>
      <c r="W82">
        <f t="shared" si="4"/>
        <v>0</v>
      </c>
      <c r="X82" t="str">
        <f t="shared" si="5"/>
        <v>MATCH</v>
      </c>
    </row>
    <row r="83" spans="1:24" x14ac:dyDescent="0.3">
      <c r="A83">
        <v>8</v>
      </c>
      <c r="B83" t="s">
        <v>15</v>
      </c>
      <c r="C83">
        <v>1996.17</v>
      </c>
      <c r="D83" t="s">
        <v>178</v>
      </c>
      <c r="E83">
        <v>1996.17</v>
      </c>
      <c r="F83">
        <v>0</v>
      </c>
      <c r="G83" t="s">
        <v>179</v>
      </c>
      <c r="H83">
        <v>0</v>
      </c>
      <c r="I83">
        <v>0</v>
      </c>
      <c r="J83">
        <v>1</v>
      </c>
      <c r="K83">
        <v>0</v>
      </c>
      <c r="L83">
        <v>8</v>
      </c>
      <c r="M83">
        <v>0</v>
      </c>
      <c r="N83">
        <v>1</v>
      </c>
      <c r="O83">
        <v>1996.17</v>
      </c>
      <c r="P83">
        <v>1</v>
      </c>
      <c r="Q83">
        <v>5</v>
      </c>
      <c r="R83">
        <v>2.1</v>
      </c>
      <c r="S83" t="s">
        <v>2312</v>
      </c>
      <c r="V83">
        <f t="shared" si="3"/>
        <v>0</v>
      </c>
      <c r="W83">
        <f t="shared" si="4"/>
        <v>0</v>
      </c>
      <c r="X83" t="str">
        <f t="shared" si="5"/>
        <v>MATCH</v>
      </c>
    </row>
    <row r="84" spans="1:24" x14ac:dyDescent="0.3">
      <c r="A84">
        <v>8</v>
      </c>
      <c r="B84" t="s">
        <v>18</v>
      </c>
      <c r="C84">
        <v>1996.17</v>
      </c>
      <c r="D84" t="s">
        <v>180</v>
      </c>
      <c r="E84">
        <v>1996.17</v>
      </c>
      <c r="F84">
        <v>0</v>
      </c>
      <c r="G84" t="s">
        <v>181</v>
      </c>
      <c r="H84">
        <v>2559.7399999999998</v>
      </c>
      <c r="I84">
        <v>4555.92</v>
      </c>
      <c r="J84">
        <v>1</v>
      </c>
      <c r="K84">
        <v>0</v>
      </c>
      <c r="L84">
        <v>8</v>
      </c>
      <c r="M84">
        <v>0</v>
      </c>
      <c r="N84">
        <v>1</v>
      </c>
      <c r="O84">
        <v>1996.17</v>
      </c>
      <c r="P84">
        <v>1</v>
      </c>
      <c r="Q84">
        <v>4</v>
      </c>
      <c r="R84">
        <v>1.8</v>
      </c>
      <c r="S84" t="s">
        <v>2311</v>
      </c>
      <c r="V84">
        <f t="shared" si="3"/>
        <v>0</v>
      </c>
      <c r="W84">
        <f t="shared" si="4"/>
        <v>0</v>
      </c>
      <c r="X84" t="str">
        <f t="shared" si="5"/>
        <v>MATCH</v>
      </c>
    </row>
    <row r="85" spans="1:24" x14ac:dyDescent="0.3">
      <c r="A85">
        <v>8</v>
      </c>
      <c r="B85" t="s">
        <v>15</v>
      </c>
      <c r="C85">
        <v>1078013.76</v>
      </c>
      <c r="D85" t="s">
        <v>182</v>
      </c>
      <c r="E85">
        <v>0</v>
      </c>
      <c r="F85">
        <v>0</v>
      </c>
      <c r="G85" t="s">
        <v>183</v>
      </c>
      <c r="H85">
        <v>0</v>
      </c>
      <c r="I85">
        <v>970749.68</v>
      </c>
      <c r="J85">
        <v>1</v>
      </c>
      <c r="K85">
        <v>0</v>
      </c>
      <c r="L85">
        <v>8</v>
      </c>
      <c r="M85">
        <v>0</v>
      </c>
      <c r="N85">
        <v>0</v>
      </c>
      <c r="O85">
        <v>0</v>
      </c>
      <c r="P85">
        <v>5</v>
      </c>
      <c r="Q85">
        <v>5</v>
      </c>
      <c r="R85">
        <v>4</v>
      </c>
      <c r="S85" t="s">
        <v>2310</v>
      </c>
      <c r="V85">
        <f t="shared" si="3"/>
        <v>-1078013.76</v>
      </c>
      <c r="W85">
        <f t="shared" si="4"/>
        <v>1078013.76</v>
      </c>
      <c r="X85" t="str">
        <f t="shared" si="5"/>
        <v>BREAK</v>
      </c>
    </row>
    <row r="86" spans="1:24" x14ac:dyDescent="0.3">
      <c r="A86">
        <v>8</v>
      </c>
      <c r="B86" t="s">
        <v>15</v>
      </c>
      <c r="C86">
        <v>89631.24</v>
      </c>
      <c r="D86" t="s">
        <v>184</v>
      </c>
      <c r="E86">
        <v>89631.24</v>
      </c>
      <c r="F86">
        <v>0</v>
      </c>
      <c r="G86" t="s">
        <v>185</v>
      </c>
      <c r="H86">
        <v>0</v>
      </c>
      <c r="I86">
        <v>0</v>
      </c>
      <c r="J86">
        <v>1</v>
      </c>
      <c r="K86">
        <v>0</v>
      </c>
      <c r="L86">
        <v>8</v>
      </c>
      <c r="M86">
        <v>0</v>
      </c>
      <c r="N86">
        <v>1</v>
      </c>
      <c r="O86">
        <v>89631.24</v>
      </c>
      <c r="P86">
        <v>3</v>
      </c>
      <c r="Q86">
        <v>5</v>
      </c>
      <c r="R86">
        <v>3.1</v>
      </c>
      <c r="S86" t="s">
        <v>2310</v>
      </c>
      <c r="V86">
        <f t="shared" si="3"/>
        <v>0</v>
      </c>
      <c r="W86">
        <f t="shared" si="4"/>
        <v>0</v>
      </c>
      <c r="X86" t="str">
        <f t="shared" si="5"/>
        <v>MATCH</v>
      </c>
    </row>
    <row r="87" spans="1:24" x14ac:dyDescent="0.3">
      <c r="A87">
        <v>8</v>
      </c>
      <c r="B87" t="s">
        <v>18</v>
      </c>
      <c r="C87">
        <v>89631.24</v>
      </c>
      <c r="D87" t="s">
        <v>186</v>
      </c>
      <c r="E87">
        <v>89631.24</v>
      </c>
      <c r="F87">
        <v>0</v>
      </c>
      <c r="G87" t="s">
        <v>187</v>
      </c>
      <c r="H87">
        <v>21175</v>
      </c>
      <c r="I87">
        <v>0</v>
      </c>
      <c r="J87">
        <v>1</v>
      </c>
      <c r="K87">
        <v>0</v>
      </c>
      <c r="L87">
        <v>8</v>
      </c>
      <c r="M87">
        <v>0</v>
      </c>
      <c r="N87">
        <v>1</v>
      </c>
      <c r="O87">
        <v>89631.24</v>
      </c>
      <c r="P87">
        <v>3</v>
      </c>
      <c r="Q87">
        <v>4</v>
      </c>
      <c r="R87">
        <v>2.8000000000000003</v>
      </c>
      <c r="S87" t="s">
        <v>2312</v>
      </c>
      <c r="V87">
        <f t="shared" si="3"/>
        <v>0</v>
      </c>
      <c r="W87">
        <f t="shared" si="4"/>
        <v>0</v>
      </c>
      <c r="X87" t="str">
        <f t="shared" si="5"/>
        <v>MATCH</v>
      </c>
    </row>
    <row r="88" spans="1:24" x14ac:dyDescent="0.3">
      <c r="A88">
        <v>8</v>
      </c>
      <c r="B88" t="s">
        <v>15</v>
      </c>
      <c r="C88">
        <v>29707.86</v>
      </c>
      <c r="D88" t="s">
        <v>188</v>
      </c>
      <c r="E88">
        <v>29707.86</v>
      </c>
      <c r="F88">
        <v>0</v>
      </c>
      <c r="G88" t="s">
        <v>189</v>
      </c>
      <c r="H88">
        <v>0</v>
      </c>
      <c r="I88">
        <v>0</v>
      </c>
      <c r="J88">
        <v>1</v>
      </c>
      <c r="K88">
        <v>0</v>
      </c>
      <c r="L88">
        <v>8</v>
      </c>
      <c r="M88">
        <v>0</v>
      </c>
      <c r="N88">
        <v>1</v>
      </c>
      <c r="O88">
        <v>29707.86</v>
      </c>
      <c r="P88">
        <v>2</v>
      </c>
      <c r="Q88">
        <v>5</v>
      </c>
      <c r="R88">
        <v>2.6</v>
      </c>
      <c r="S88" t="s">
        <v>2312</v>
      </c>
      <c r="V88">
        <f t="shared" si="3"/>
        <v>0</v>
      </c>
      <c r="W88">
        <f t="shared" si="4"/>
        <v>0</v>
      </c>
      <c r="X88" t="str">
        <f t="shared" si="5"/>
        <v>MATCH</v>
      </c>
    </row>
    <row r="89" spans="1:24" x14ac:dyDescent="0.3">
      <c r="A89">
        <v>8</v>
      </c>
      <c r="B89" t="s">
        <v>18</v>
      </c>
      <c r="C89">
        <v>29707.86</v>
      </c>
      <c r="D89" t="s">
        <v>190</v>
      </c>
      <c r="E89">
        <v>29707.86</v>
      </c>
      <c r="F89">
        <v>0</v>
      </c>
      <c r="G89" t="s">
        <v>191</v>
      </c>
      <c r="H89">
        <v>10935</v>
      </c>
      <c r="I89">
        <v>0</v>
      </c>
      <c r="J89">
        <v>1</v>
      </c>
      <c r="K89">
        <v>0</v>
      </c>
      <c r="L89">
        <v>8</v>
      </c>
      <c r="M89">
        <v>0</v>
      </c>
      <c r="N89">
        <v>1</v>
      </c>
      <c r="O89">
        <v>29707.86</v>
      </c>
      <c r="P89">
        <v>2</v>
      </c>
      <c r="Q89">
        <v>4</v>
      </c>
      <c r="R89">
        <v>2.3000000000000003</v>
      </c>
      <c r="S89" t="s">
        <v>2312</v>
      </c>
      <c r="V89">
        <f t="shared" si="3"/>
        <v>0</v>
      </c>
      <c r="W89">
        <f t="shared" si="4"/>
        <v>0</v>
      </c>
      <c r="X89" t="str">
        <f t="shared" si="5"/>
        <v>MATCH</v>
      </c>
    </row>
    <row r="90" spans="1:24" x14ac:dyDescent="0.3">
      <c r="A90">
        <v>8</v>
      </c>
      <c r="B90" t="s">
        <v>15</v>
      </c>
      <c r="C90">
        <v>43092</v>
      </c>
      <c r="D90" t="s">
        <v>192</v>
      </c>
      <c r="E90">
        <v>43092</v>
      </c>
      <c r="F90">
        <v>0</v>
      </c>
      <c r="G90" t="s">
        <v>193</v>
      </c>
      <c r="H90">
        <v>0</v>
      </c>
      <c r="I90">
        <v>0</v>
      </c>
      <c r="J90">
        <v>1</v>
      </c>
      <c r="K90">
        <v>0</v>
      </c>
      <c r="L90">
        <v>8</v>
      </c>
      <c r="M90">
        <v>0</v>
      </c>
      <c r="N90">
        <v>1</v>
      </c>
      <c r="O90">
        <v>43092</v>
      </c>
      <c r="P90">
        <v>2</v>
      </c>
      <c r="Q90">
        <v>5</v>
      </c>
      <c r="R90">
        <v>2.6</v>
      </c>
      <c r="S90" t="s">
        <v>2312</v>
      </c>
      <c r="V90">
        <f t="shared" si="3"/>
        <v>0</v>
      </c>
      <c r="W90">
        <f t="shared" si="4"/>
        <v>0</v>
      </c>
      <c r="X90" t="str">
        <f t="shared" si="5"/>
        <v>MATCH</v>
      </c>
    </row>
    <row r="91" spans="1:24" x14ac:dyDescent="0.3">
      <c r="A91">
        <v>8</v>
      </c>
      <c r="B91" t="s">
        <v>18</v>
      </c>
      <c r="C91">
        <v>43092</v>
      </c>
      <c r="D91" t="s">
        <v>194</v>
      </c>
      <c r="E91">
        <v>43092</v>
      </c>
      <c r="F91">
        <v>0</v>
      </c>
      <c r="G91" t="s">
        <v>195</v>
      </c>
      <c r="H91">
        <v>660641.74</v>
      </c>
      <c r="I91">
        <v>1158662.8999999999</v>
      </c>
      <c r="J91">
        <v>1</v>
      </c>
      <c r="K91">
        <v>0</v>
      </c>
      <c r="L91">
        <v>8</v>
      </c>
      <c r="M91">
        <v>0</v>
      </c>
      <c r="N91">
        <v>1</v>
      </c>
      <c r="O91">
        <v>43092</v>
      </c>
      <c r="P91">
        <v>2</v>
      </c>
      <c r="Q91">
        <v>4</v>
      </c>
      <c r="R91">
        <v>2.3000000000000003</v>
      </c>
      <c r="S91" t="s">
        <v>2312</v>
      </c>
      <c r="V91">
        <f t="shared" si="3"/>
        <v>0</v>
      </c>
      <c r="W91">
        <f t="shared" si="4"/>
        <v>0</v>
      </c>
      <c r="X91" t="str">
        <f t="shared" si="5"/>
        <v>MATCH</v>
      </c>
    </row>
    <row r="92" spans="1:24" x14ac:dyDescent="0.3">
      <c r="A92">
        <v>9</v>
      </c>
      <c r="B92" t="s">
        <v>15</v>
      </c>
      <c r="C92">
        <v>556218.01</v>
      </c>
      <c r="D92" t="s">
        <v>196</v>
      </c>
      <c r="E92">
        <v>556218.01</v>
      </c>
      <c r="F92">
        <v>0</v>
      </c>
      <c r="G92" t="s">
        <v>197</v>
      </c>
      <c r="H92">
        <v>0</v>
      </c>
      <c r="I92">
        <v>0</v>
      </c>
      <c r="J92">
        <v>1</v>
      </c>
      <c r="K92">
        <v>0</v>
      </c>
      <c r="L92">
        <v>9</v>
      </c>
      <c r="M92">
        <v>0</v>
      </c>
      <c r="N92">
        <v>1</v>
      </c>
      <c r="O92">
        <v>556218.01</v>
      </c>
      <c r="P92">
        <v>5</v>
      </c>
      <c r="Q92">
        <v>5</v>
      </c>
      <c r="R92">
        <v>4.0999999999999996</v>
      </c>
      <c r="S92" t="s">
        <v>2310</v>
      </c>
      <c r="V92">
        <f t="shared" si="3"/>
        <v>0</v>
      </c>
      <c r="W92">
        <f t="shared" si="4"/>
        <v>0</v>
      </c>
      <c r="X92" t="str">
        <f t="shared" si="5"/>
        <v>MATCH</v>
      </c>
    </row>
    <row r="93" spans="1:24" x14ac:dyDescent="0.3">
      <c r="A93">
        <v>9</v>
      </c>
      <c r="B93" t="s">
        <v>18</v>
      </c>
      <c r="C93">
        <v>556218.01</v>
      </c>
      <c r="D93" t="s">
        <v>198</v>
      </c>
      <c r="E93">
        <v>556218.01</v>
      </c>
      <c r="F93">
        <v>0</v>
      </c>
      <c r="G93" t="s">
        <v>199</v>
      </c>
      <c r="H93">
        <v>0</v>
      </c>
      <c r="I93">
        <v>582265.81000000006</v>
      </c>
      <c r="J93">
        <v>1</v>
      </c>
      <c r="K93">
        <v>0</v>
      </c>
      <c r="L93">
        <v>9</v>
      </c>
      <c r="M93">
        <v>0</v>
      </c>
      <c r="N93">
        <v>1</v>
      </c>
      <c r="O93">
        <v>556218.01</v>
      </c>
      <c r="P93">
        <v>5</v>
      </c>
      <c r="Q93">
        <v>4</v>
      </c>
      <c r="R93">
        <v>3.8000000000000003</v>
      </c>
      <c r="S93" t="s">
        <v>2310</v>
      </c>
      <c r="V93">
        <f t="shared" si="3"/>
        <v>0</v>
      </c>
      <c r="W93">
        <f t="shared" si="4"/>
        <v>0</v>
      </c>
      <c r="X93" t="str">
        <f t="shared" si="5"/>
        <v>MATCH</v>
      </c>
    </row>
    <row r="94" spans="1:24" x14ac:dyDescent="0.3">
      <c r="A94">
        <v>9</v>
      </c>
      <c r="B94" t="s">
        <v>15</v>
      </c>
      <c r="C94">
        <v>11308</v>
      </c>
      <c r="D94" t="s">
        <v>200</v>
      </c>
      <c r="E94">
        <v>11308</v>
      </c>
      <c r="F94">
        <v>0</v>
      </c>
      <c r="G94" t="s">
        <v>201</v>
      </c>
      <c r="H94">
        <v>0</v>
      </c>
      <c r="I94">
        <v>0</v>
      </c>
      <c r="J94">
        <v>1</v>
      </c>
      <c r="K94">
        <v>0</v>
      </c>
      <c r="L94">
        <v>9</v>
      </c>
      <c r="M94">
        <v>0</v>
      </c>
      <c r="N94">
        <v>1</v>
      </c>
      <c r="O94">
        <v>11308</v>
      </c>
      <c r="P94">
        <v>2</v>
      </c>
      <c r="Q94">
        <v>5</v>
      </c>
      <c r="R94">
        <v>2.6</v>
      </c>
      <c r="S94" t="s">
        <v>2312</v>
      </c>
      <c r="V94">
        <f t="shared" si="3"/>
        <v>0</v>
      </c>
      <c r="W94">
        <f t="shared" si="4"/>
        <v>0</v>
      </c>
      <c r="X94" t="str">
        <f t="shared" si="5"/>
        <v>MATCH</v>
      </c>
    </row>
    <row r="95" spans="1:24" x14ac:dyDescent="0.3">
      <c r="A95">
        <v>9</v>
      </c>
      <c r="B95" t="s">
        <v>18</v>
      </c>
      <c r="C95">
        <v>11308</v>
      </c>
      <c r="D95" t="s">
        <v>202</v>
      </c>
      <c r="E95">
        <v>11308</v>
      </c>
      <c r="F95">
        <v>0</v>
      </c>
      <c r="G95" t="s">
        <v>203</v>
      </c>
      <c r="H95">
        <v>0</v>
      </c>
      <c r="I95">
        <v>302550.56</v>
      </c>
      <c r="J95">
        <v>1</v>
      </c>
      <c r="K95">
        <v>0</v>
      </c>
      <c r="L95">
        <v>9</v>
      </c>
      <c r="M95">
        <v>0</v>
      </c>
      <c r="N95">
        <v>1</v>
      </c>
      <c r="O95">
        <v>11308</v>
      </c>
      <c r="P95">
        <v>2</v>
      </c>
      <c r="Q95">
        <v>4</v>
      </c>
      <c r="R95">
        <v>2.3000000000000003</v>
      </c>
      <c r="S95" t="s">
        <v>2312</v>
      </c>
      <c r="V95">
        <f t="shared" si="3"/>
        <v>0</v>
      </c>
      <c r="W95">
        <f t="shared" si="4"/>
        <v>0</v>
      </c>
      <c r="X95" t="str">
        <f t="shared" si="5"/>
        <v>MATCH</v>
      </c>
    </row>
    <row r="96" spans="1:24" x14ac:dyDescent="0.3">
      <c r="A96">
        <v>9</v>
      </c>
      <c r="B96" t="s">
        <v>15</v>
      </c>
      <c r="C96">
        <v>350705.74</v>
      </c>
      <c r="D96" t="s">
        <v>204</v>
      </c>
      <c r="E96">
        <v>350705.74</v>
      </c>
      <c r="F96">
        <v>0</v>
      </c>
      <c r="G96" t="s">
        <v>205</v>
      </c>
      <c r="H96">
        <v>0</v>
      </c>
      <c r="I96">
        <v>1184633.07</v>
      </c>
      <c r="J96">
        <v>1</v>
      </c>
      <c r="K96">
        <v>0</v>
      </c>
      <c r="L96">
        <v>9</v>
      </c>
      <c r="M96">
        <v>0</v>
      </c>
      <c r="N96">
        <v>1</v>
      </c>
      <c r="O96">
        <v>350705.74</v>
      </c>
      <c r="P96">
        <v>5</v>
      </c>
      <c r="Q96">
        <v>5</v>
      </c>
      <c r="R96">
        <v>4.0999999999999996</v>
      </c>
      <c r="S96" t="s">
        <v>2310</v>
      </c>
      <c r="V96">
        <f t="shared" si="3"/>
        <v>0</v>
      </c>
      <c r="W96">
        <f t="shared" si="4"/>
        <v>0</v>
      </c>
      <c r="X96" t="str">
        <f t="shared" si="5"/>
        <v>MATCH</v>
      </c>
    </row>
    <row r="97" spans="1:24" x14ac:dyDescent="0.3">
      <c r="A97">
        <v>9</v>
      </c>
      <c r="B97" t="s">
        <v>18</v>
      </c>
      <c r="C97">
        <v>350705.74</v>
      </c>
      <c r="D97" t="s">
        <v>206</v>
      </c>
      <c r="E97">
        <v>350705.74</v>
      </c>
      <c r="F97">
        <v>0</v>
      </c>
      <c r="G97" t="s">
        <v>207</v>
      </c>
      <c r="H97">
        <v>894760.68</v>
      </c>
      <c r="I97">
        <v>1794033.65</v>
      </c>
      <c r="J97">
        <v>1</v>
      </c>
      <c r="K97">
        <v>0</v>
      </c>
      <c r="L97">
        <v>9</v>
      </c>
      <c r="M97">
        <v>0</v>
      </c>
      <c r="N97">
        <v>1</v>
      </c>
      <c r="O97">
        <v>350705.74</v>
      </c>
      <c r="P97">
        <v>5</v>
      </c>
      <c r="Q97">
        <v>4</v>
      </c>
      <c r="R97">
        <v>3.8000000000000003</v>
      </c>
      <c r="S97" t="s">
        <v>2310</v>
      </c>
      <c r="V97">
        <f t="shared" si="3"/>
        <v>0</v>
      </c>
      <c r="W97">
        <f t="shared" si="4"/>
        <v>0</v>
      </c>
      <c r="X97" t="str">
        <f t="shared" si="5"/>
        <v>MATCH</v>
      </c>
    </row>
    <row r="98" spans="1:24" x14ac:dyDescent="0.3">
      <c r="A98">
        <v>9</v>
      </c>
      <c r="B98" t="s">
        <v>15</v>
      </c>
      <c r="C98">
        <v>2539898.0699999998</v>
      </c>
      <c r="D98" t="s">
        <v>208</v>
      </c>
      <c r="E98">
        <v>2539898.0699999998</v>
      </c>
      <c r="F98">
        <v>0</v>
      </c>
      <c r="G98" t="s">
        <v>209</v>
      </c>
      <c r="H98">
        <v>0</v>
      </c>
      <c r="I98">
        <v>261290.69</v>
      </c>
      <c r="J98">
        <v>1</v>
      </c>
      <c r="K98">
        <v>0</v>
      </c>
      <c r="L98">
        <v>9</v>
      </c>
      <c r="M98">
        <v>0</v>
      </c>
      <c r="N98">
        <v>1</v>
      </c>
      <c r="O98">
        <v>2539898.0699999998</v>
      </c>
      <c r="P98">
        <v>5</v>
      </c>
      <c r="Q98">
        <v>5</v>
      </c>
      <c r="R98">
        <v>4.0999999999999996</v>
      </c>
      <c r="S98" t="s">
        <v>2310</v>
      </c>
      <c r="V98">
        <f t="shared" si="3"/>
        <v>0</v>
      </c>
      <c r="W98">
        <f t="shared" si="4"/>
        <v>0</v>
      </c>
      <c r="X98" t="str">
        <f t="shared" si="5"/>
        <v>MATCH</v>
      </c>
    </row>
    <row r="99" spans="1:24" x14ac:dyDescent="0.3">
      <c r="A99">
        <v>9</v>
      </c>
      <c r="B99" t="s">
        <v>18</v>
      </c>
      <c r="C99">
        <v>2539898.0699999998</v>
      </c>
      <c r="D99" t="s">
        <v>210</v>
      </c>
      <c r="E99">
        <v>2539898.0699999998</v>
      </c>
      <c r="F99">
        <v>0</v>
      </c>
      <c r="G99" t="s">
        <v>211</v>
      </c>
      <c r="H99">
        <v>968</v>
      </c>
      <c r="I99">
        <v>1842864.22</v>
      </c>
      <c r="J99">
        <v>1</v>
      </c>
      <c r="K99">
        <v>0</v>
      </c>
      <c r="L99">
        <v>9</v>
      </c>
      <c r="M99">
        <v>0</v>
      </c>
      <c r="N99">
        <v>1</v>
      </c>
      <c r="O99">
        <v>2539898.0699999998</v>
      </c>
      <c r="P99">
        <v>5</v>
      </c>
      <c r="Q99">
        <v>4</v>
      </c>
      <c r="R99">
        <v>3.8000000000000003</v>
      </c>
      <c r="S99" t="s">
        <v>2310</v>
      </c>
      <c r="V99">
        <f t="shared" si="3"/>
        <v>0</v>
      </c>
      <c r="W99">
        <f t="shared" si="4"/>
        <v>0</v>
      </c>
      <c r="X99" t="str">
        <f t="shared" si="5"/>
        <v>MATCH</v>
      </c>
    </row>
    <row r="100" spans="1:24" x14ac:dyDescent="0.3">
      <c r="A100">
        <v>9</v>
      </c>
      <c r="B100" t="s">
        <v>15</v>
      </c>
      <c r="C100">
        <v>361559.69</v>
      </c>
      <c r="D100" t="s">
        <v>212</v>
      </c>
      <c r="E100">
        <v>361559.69</v>
      </c>
      <c r="F100">
        <v>0</v>
      </c>
      <c r="G100" t="s">
        <v>213</v>
      </c>
      <c r="H100">
        <v>0</v>
      </c>
      <c r="I100">
        <v>141302.12</v>
      </c>
      <c r="J100">
        <v>1</v>
      </c>
      <c r="K100">
        <v>0</v>
      </c>
      <c r="L100">
        <v>9</v>
      </c>
      <c r="M100">
        <v>0</v>
      </c>
      <c r="N100">
        <v>1</v>
      </c>
      <c r="O100">
        <v>361559.69</v>
      </c>
      <c r="P100">
        <v>5</v>
      </c>
      <c r="Q100">
        <v>5</v>
      </c>
      <c r="R100">
        <v>4.0999999999999996</v>
      </c>
      <c r="S100" t="s">
        <v>2310</v>
      </c>
      <c r="V100">
        <f t="shared" si="3"/>
        <v>0</v>
      </c>
      <c r="W100">
        <f t="shared" si="4"/>
        <v>0</v>
      </c>
      <c r="X100" t="str">
        <f t="shared" si="5"/>
        <v>MATCH</v>
      </c>
    </row>
    <row r="101" spans="1:24" x14ac:dyDescent="0.3">
      <c r="A101">
        <v>9</v>
      </c>
      <c r="B101" t="s">
        <v>18</v>
      </c>
      <c r="C101">
        <v>361559.69</v>
      </c>
      <c r="D101" t="s">
        <v>214</v>
      </c>
      <c r="E101">
        <v>361559.69</v>
      </c>
      <c r="F101">
        <v>0</v>
      </c>
      <c r="G101" t="s">
        <v>215</v>
      </c>
      <c r="H101">
        <v>504667.31</v>
      </c>
      <c r="I101">
        <v>189441.24</v>
      </c>
      <c r="J101">
        <v>1</v>
      </c>
      <c r="K101">
        <v>0</v>
      </c>
      <c r="L101">
        <v>9</v>
      </c>
      <c r="M101">
        <v>0</v>
      </c>
      <c r="N101">
        <v>1</v>
      </c>
      <c r="O101">
        <v>361559.69</v>
      </c>
      <c r="P101">
        <v>5</v>
      </c>
      <c r="Q101">
        <v>4</v>
      </c>
      <c r="R101">
        <v>3.8000000000000003</v>
      </c>
      <c r="S101" t="s">
        <v>2310</v>
      </c>
      <c r="V101">
        <f t="shared" si="3"/>
        <v>0</v>
      </c>
      <c r="W101">
        <f t="shared" si="4"/>
        <v>0</v>
      </c>
      <c r="X101" t="str">
        <f t="shared" si="5"/>
        <v>MATCH</v>
      </c>
    </row>
    <row r="102" spans="1:24" x14ac:dyDescent="0.3">
      <c r="A102">
        <v>9</v>
      </c>
      <c r="B102" t="s">
        <v>15</v>
      </c>
      <c r="C102">
        <v>1154353.99</v>
      </c>
      <c r="D102" t="s">
        <v>216</v>
      </c>
      <c r="E102">
        <v>1154353.99</v>
      </c>
      <c r="F102">
        <v>0</v>
      </c>
      <c r="G102" t="s">
        <v>217</v>
      </c>
      <c r="H102">
        <v>0</v>
      </c>
      <c r="I102">
        <v>10872.9</v>
      </c>
      <c r="J102">
        <v>1</v>
      </c>
      <c r="K102">
        <v>0</v>
      </c>
      <c r="L102">
        <v>9</v>
      </c>
      <c r="M102">
        <v>0</v>
      </c>
      <c r="N102">
        <v>1</v>
      </c>
      <c r="O102">
        <v>1154353.99</v>
      </c>
      <c r="P102">
        <v>5</v>
      </c>
      <c r="Q102">
        <v>5</v>
      </c>
      <c r="R102">
        <v>4.0999999999999996</v>
      </c>
      <c r="S102" t="s">
        <v>2310</v>
      </c>
      <c r="V102">
        <f t="shared" si="3"/>
        <v>0</v>
      </c>
      <c r="W102">
        <f t="shared" si="4"/>
        <v>0</v>
      </c>
      <c r="X102" t="str">
        <f t="shared" si="5"/>
        <v>MATCH</v>
      </c>
    </row>
    <row r="103" spans="1:24" x14ac:dyDescent="0.3">
      <c r="A103">
        <v>9</v>
      </c>
      <c r="B103" t="s">
        <v>18</v>
      </c>
      <c r="C103">
        <v>1154353.99</v>
      </c>
      <c r="D103" t="s">
        <v>218</v>
      </c>
      <c r="E103">
        <v>1154353.99</v>
      </c>
      <c r="F103">
        <v>0</v>
      </c>
      <c r="G103" t="s">
        <v>219</v>
      </c>
      <c r="H103">
        <v>162222</v>
      </c>
      <c r="I103">
        <v>1965587.6</v>
      </c>
      <c r="J103">
        <v>1</v>
      </c>
      <c r="K103">
        <v>0</v>
      </c>
      <c r="L103">
        <v>9</v>
      </c>
      <c r="M103">
        <v>0</v>
      </c>
      <c r="N103">
        <v>1</v>
      </c>
      <c r="O103">
        <v>1154353.99</v>
      </c>
      <c r="P103">
        <v>5</v>
      </c>
      <c r="Q103">
        <v>4</v>
      </c>
      <c r="R103">
        <v>3.8000000000000003</v>
      </c>
      <c r="S103" t="s">
        <v>2310</v>
      </c>
      <c r="V103">
        <f t="shared" si="3"/>
        <v>0</v>
      </c>
      <c r="W103">
        <f t="shared" si="4"/>
        <v>0</v>
      </c>
      <c r="X103" t="str">
        <f t="shared" si="5"/>
        <v>MATCH</v>
      </c>
    </row>
    <row r="104" spans="1:24" x14ac:dyDescent="0.3">
      <c r="A104">
        <v>9</v>
      </c>
      <c r="B104" t="s">
        <v>15</v>
      </c>
      <c r="C104">
        <v>21922</v>
      </c>
      <c r="D104" t="s">
        <v>220</v>
      </c>
      <c r="E104">
        <v>21922</v>
      </c>
      <c r="F104">
        <v>0</v>
      </c>
      <c r="G104" t="s">
        <v>221</v>
      </c>
      <c r="H104">
        <v>0</v>
      </c>
      <c r="I104">
        <v>0</v>
      </c>
      <c r="J104">
        <v>1</v>
      </c>
      <c r="K104">
        <v>0</v>
      </c>
      <c r="L104">
        <v>9</v>
      </c>
      <c r="M104">
        <v>0</v>
      </c>
      <c r="N104">
        <v>1</v>
      </c>
      <c r="O104">
        <v>21922</v>
      </c>
      <c r="P104">
        <v>2</v>
      </c>
      <c r="Q104">
        <v>5</v>
      </c>
      <c r="R104">
        <v>2.6</v>
      </c>
      <c r="S104" t="s">
        <v>2312</v>
      </c>
      <c r="V104">
        <f t="shared" si="3"/>
        <v>0</v>
      </c>
      <c r="W104">
        <f t="shared" si="4"/>
        <v>0</v>
      </c>
      <c r="X104" t="str">
        <f t="shared" si="5"/>
        <v>MATCH</v>
      </c>
    </row>
    <row r="105" spans="1:24" x14ac:dyDescent="0.3">
      <c r="A105">
        <v>9</v>
      </c>
      <c r="B105" t="s">
        <v>18</v>
      </c>
      <c r="C105">
        <v>21922</v>
      </c>
      <c r="D105" t="s">
        <v>222</v>
      </c>
      <c r="E105">
        <v>21922</v>
      </c>
      <c r="F105">
        <v>0</v>
      </c>
      <c r="G105" t="s">
        <v>223</v>
      </c>
      <c r="H105">
        <v>1929861.61</v>
      </c>
      <c r="I105">
        <v>2046918.8</v>
      </c>
      <c r="J105">
        <v>1</v>
      </c>
      <c r="K105">
        <v>0</v>
      </c>
      <c r="L105">
        <v>9</v>
      </c>
      <c r="M105">
        <v>0</v>
      </c>
      <c r="N105">
        <v>1</v>
      </c>
      <c r="O105">
        <v>21922</v>
      </c>
      <c r="P105">
        <v>2</v>
      </c>
      <c r="Q105">
        <v>4</v>
      </c>
      <c r="R105">
        <v>2.3000000000000003</v>
      </c>
      <c r="S105" t="s">
        <v>2312</v>
      </c>
      <c r="V105">
        <f t="shared" si="3"/>
        <v>0</v>
      </c>
      <c r="W105">
        <f t="shared" si="4"/>
        <v>0</v>
      </c>
      <c r="X105" t="str">
        <f t="shared" si="5"/>
        <v>MATCH</v>
      </c>
    </row>
    <row r="106" spans="1:24" x14ac:dyDescent="0.3">
      <c r="A106">
        <v>9</v>
      </c>
      <c r="B106" t="s">
        <v>15</v>
      </c>
      <c r="C106">
        <v>994453.2</v>
      </c>
      <c r="D106" t="s">
        <v>224</v>
      </c>
      <c r="E106">
        <v>1437370.87</v>
      </c>
      <c r="F106">
        <v>442917.67</v>
      </c>
      <c r="G106" t="s">
        <v>225</v>
      </c>
      <c r="H106">
        <v>194812.76</v>
      </c>
      <c r="I106">
        <v>665743.67000000004</v>
      </c>
      <c r="J106">
        <v>1</v>
      </c>
      <c r="K106">
        <v>0</v>
      </c>
      <c r="L106">
        <v>9</v>
      </c>
      <c r="M106">
        <v>0</v>
      </c>
      <c r="N106">
        <v>0</v>
      </c>
      <c r="O106">
        <v>994453.20000000019</v>
      </c>
      <c r="P106">
        <v>5</v>
      </c>
      <c r="Q106">
        <v>5</v>
      </c>
      <c r="R106">
        <v>4</v>
      </c>
      <c r="S106" t="s">
        <v>2310</v>
      </c>
      <c r="V106">
        <f t="shared" si="3"/>
        <v>442917.67000000016</v>
      </c>
      <c r="W106">
        <f t="shared" si="4"/>
        <v>1.7462298274040222E-10</v>
      </c>
      <c r="X106" t="str">
        <f t="shared" si="5"/>
        <v>MATCH</v>
      </c>
    </row>
    <row r="107" spans="1:24" x14ac:dyDescent="0.3">
      <c r="A107">
        <v>9</v>
      </c>
      <c r="B107" t="s">
        <v>15</v>
      </c>
      <c r="C107">
        <v>1055</v>
      </c>
      <c r="D107" t="s">
        <v>226</v>
      </c>
      <c r="E107">
        <v>1055</v>
      </c>
      <c r="F107">
        <v>0</v>
      </c>
      <c r="G107" t="s">
        <v>227</v>
      </c>
      <c r="H107">
        <v>0</v>
      </c>
      <c r="I107">
        <v>0</v>
      </c>
      <c r="J107">
        <v>1</v>
      </c>
      <c r="K107">
        <v>0</v>
      </c>
      <c r="L107">
        <v>9</v>
      </c>
      <c r="M107">
        <v>0</v>
      </c>
      <c r="N107">
        <v>1</v>
      </c>
      <c r="O107">
        <v>1055</v>
      </c>
      <c r="P107">
        <v>1</v>
      </c>
      <c r="Q107">
        <v>5</v>
      </c>
      <c r="R107">
        <v>2.1</v>
      </c>
      <c r="S107" t="s">
        <v>2312</v>
      </c>
      <c r="V107">
        <f t="shared" si="3"/>
        <v>0</v>
      </c>
      <c r="W107">
        <f t="shared" si="4"/>
        <v>0</v>
      </c>
      <c r="X107" t="str">
        <f t="shared" si="5"/>
        <v>MATCH</v>
      </c>
    </row>
    <row r="108" spans="1:24" x14ac:dyDescent="0.3">
      <c r="A108">
        <v>9</v>
      </c>
      <c r="B108" t="s">
        <v>18</v>
      </c>
      <c r="C108">
        <v>1055</v>
      </c>
      <c r="D108" t="s">
        <v>228</v>
      </c>
      <c r="E108">
        <v>1055</v>
      </c>
      <c r="F108">
        <v>0</v>
      </c>
      <c r="G108" t="s">
        <v>229</v>
      </c>
      <c r="H108">
        <v>75179</v>
      </c>
      <c r="I108">
        <v>0</v>
      </c>
      <c r="J108">
        <v>1</v>
      </c>
      <c r="K108">
        <v>0</v>
      </c>
      <c r="L108">
        <v>9</v>
      </c>
      <c r="M108">
        <v>0</v>
      </c>
      <c r="N108">
        <v>1</v>
      </c>
      <c r="O108">
        <v>1055</v>
      </c>
      <c r="P108">
        <v>1</v>
      </c>
      <c r="Q108">
        <v>4</v>
      </c>
      <c r="R108">
        <v>1.8</v>
      </c>
      <c r="S108" t="s">
        <v>2311</v>
      </c>
      <c r="V108">
        <f t="shared" si="3"/>
        <v>0</v>
      </c>
      <c r="W108">
        <f t="shared" si="4"/>
        <v>0</v>
      </c>
      <c r="X108" t="str">
        <f t="shared" si="5"/>
        <v>MATCH</v>
      </c>
    </row>
    <row r="109" spans="1:24" x14ac:dyDescent="0.3">
      <c r="A109">
        <v>9</v>
      </c>
      <c r="B109" t="s">
        <v>15</v>
      </c>
      <c r="C109">
        <v>244068.01</v>
      </c>
      <c r="D109" t="s">
        <v>230</v>
      </c>
      <c r="E109">
        <v>244068.01</v>
      </c>
      <c r="F109">
        <v>0</v>
      </c>
      <c r="G109" t="s">
        <v>231</v>
      </c>
      <c r="H109">
        <v>0</v>
      </c>
      <c r="I109">
        <v>0</v>
      </c>
      <c r="J109">
        <v>1</v>
      </c>
      <c r="K109">
        <v>0</v>
      </c>
      <c r="L109">
        <v>9</v>
      </c>
      <c r="M109">
        <v>0</v>
      </c>
      <c r="N109">
        <v>1</v>
      </c>
      <c r="O109">
        <v>244068.01</v>
      </c>
      <c r="P109">
        <v>5</v>
      </c>
      <c r="Q109">
        <v>5</v>
      </c>
      <c r="R109">
        <v>4.0999999999999996</v>
      </c>
      <c r="S109" t="s">
        <v>2310</v>
      </c>
      <c r="V109">
        <f t="shared" si="3"/>
        <v>0</v>
      </c>
      <c r="W109">
        <f t="shared" si="4"/>
        <v>0</v>
      </c>
      <c r="X109" t="str">
        <f t="shared" si="5"/>
        <v>MATCH</v>
      </c>
    </row>
    <row r="110" spans="1:24" x14ac:dyDescent="0.3">
      <c r="A110">
        <v>9</v>
      </c>
      <c r="B110" t="s">
        <v>18</v>
      </c>
      <c r="C110">
        <v>244068.01</v>
      </c>
      <c r="D110" t="s">
        <v>232</v>
      </c>
      <c r="E110">
        <v>244068.01</v>
      </c>
      <c r="F110">
        <v>0</v>
      </c>
      <c r="G110" t="s">
        <v>233</v>
      </c>
      <c r="H110">
        <v>0</v>
      </c>
      <c r="I110">
        <v>338538.16</v>
      </c>
      <c r="J110">
        <v>1</v>
      </c>
      <c r="K110">
        <v>0</v>
      </c>
      <c r="L110">
        <v>9</v>
      </c>
      <c r="M110">
        <v>0</v>
      </c>
      <c r="N110">
        <v>1</v>
      </c>
      <c r="O110">
        <v>244068.01</v>
      </c>
      <c r="P110">
        <v>5</v>
      </c>
      <c r="Q110">
        <v>4</v>
      </c>
      <c r="R110">
        <v>3.8000000000000003</v>
      </c>
      <c r="S110" t="s">
        <v>2310</v>
      </c>
      <c r="V110">
        <f t="shared" si="3"/>
        <v>0</v>
      </c>
      <c r="W110">
        <f t="shared" si="4"/>
        <v>0</v>
      </c>
      <c r="X110" t="str">
        <f t="shared" si="5"/>
        <v>MATCH</v>
      </c>
    </row>
    <row r="111" spans="1:24" x14ac:dyDescent="0.3">
      <c r="A111">
        <v>10</v>
      </c>
      <c r="B111" t="s">
        <v>15</v>
      </c>
      <c r="C111">
        <v>59835</v>
      </c>
      <c r="D111" t="s">
        <v>234</v>
      </c>
      <c r="E111">
        <v>59835</v>
      </c>
      <c r="F111">
        <v>0</v>
      </c>
      <c r="G111" t="s">
        <v>235</v>
      </c>
      <c r="H111">
        <v>0</v>
      </c>
      <c r="I111">
        <v>0</v>
      </c>
      <c r="J111">
        <v>1</v>
      </c>
      <c r="K111">
        <v>0</v>
      </c>
      <c r="L111">
        <v>10</v>
      </c>
      <c r="M111">
        <v>0</v>
      </c>
      <c r="N111">
        <v>1</v>
      </c>
      <c r="O111">
        <v>59835</v>
      </c>
      <c r="P111">
        <v>3</v>
      </c>
      <c r="Q111">
        <v>5</v>
      </c>
      <c r="R111">
        <v>3.1</v>
      </c>
      <c r="S111" t="s">
        <v>2310</v>
      </c>
      <c r="V111">
        <f t="shared" si="3"/>
        <v>0</v>
      </c>
      <c r="W111">
        <f t="shared" si="4"/>
        <v>0</v>
      </c>
      <c r="X111" t="str">
        <f t="shared" si="5"/>
        <v>MATCH</v>
      </c>
    </row>
    <row r="112" spans="1:24" x14ac:dyDescent="0.3">
      <c r="A112">
        <v>10</v>
      </c>
      <c r="B112" t="s">
        <v>18</v>
      </c>
      <c r="C112">
        <v>59835</v>
      </c>
      <c r="D112" t="s">
        <v>236</v>
      </c>
      <c r="E112">
        <v>59835</v>
      </c>
      <c r="F112">
        <v>0</v>
      </c>
      <c r="G112" t="s">
        <v>237</v>
      </c>
      <c r="H112">
        <v>255480.76</v>
      </c>
      <c r="I112">
        <v>315315.76</v>
      </c>
      <c r="J112">
        <v>1</v>
      </c>
      <c r="K112">
        <v>0</v>
      </c>
      <c r="L112">
        <v>10</v>
      </c>
      <c r="M112">
        <v>0</v>
      </c>
      <c r="N112">
        <v>1</v>
      </c>
      <c r="O112">
        <v>59835</v>
      </c>
      <c r="P112">
        <v>3</v>
      </c>
      <c r="Q112">
        <v>4</v>
      </c>
      <c r="R112">
        <v>2.8000000000000003</v>
      </c>
      <c r="S112" t="s">
        <v>2312</v>
      </c>
      <c r="V112">
        <f t="shared" si="3"/>
        <v>0</v>
      </c>
      <c r="W112">
        <f t="shared" si="4"/>
        <v>0</v>
      </c>
      <c r="X112" t="str">
        <f t="shared" si="5"/>
        <v>MATCH</v>
      </c>
    </row>
    <row r="113" spans="1:24" x14ac:dyDescent="0.3">
      <c r="A113">
        <v>10</v>
      </c>
      <c r="B113" t="s">
        <v>18</v>
      </c>
      <c r="C113">
        <v>277970.88</v>
      </c>
      <c r="D113" t="s">
        <v>238</v>
      </c>
      <c r="E113">
        <v>0</v>
      </c>
      <c r="F113">
        <v>0</v>
      </c>
      <c r="G113" t="s">
        <v>239</v>
      </c>
      <c r="H113">
        <v>0</v>
      </c>
      <c r="I113">
        <v>277970.88</v>
      </c>
      <c r="J113">
        <v>1</v>
      </c>
      <c r="K113">
        <v>0</v>
      </c>
      <c r="L113">
        <v>10</v>
      </c>
      <c r="M113">
        <v>0</v>
      </c>
      <c r="N113">
        <v>0</v>
      </c>
      <c r="O113">
        <v>0</v>
      </c>
      <c r="P113">
        <v>5</v>
      </c>
      <c r="Q113">
        <v>4</v>
      </c>
      <c r="R113">
        <v>3.7</v>
      </c>
      <c r="S113" t="s">
        <v>2310</v>
      </c>
      <c r="V113">
        <f t="shared" si="3"/>
        <v>-277970.88</v>
      </c>
      <c r="W113">
        <f t="shared" si="4"/>
        <v>277970.88</v>
      </c>
      <c r="X113" t="str">
        <f t="shared" si="5"/>
        <v>BREAK</v>
      </c>
    </row>
    <row r="114" spans="1:24" x14ac:dyDescent="0.3">
      <c r="A114">
        <v>10</v>
      </c>
      <c r="B114" t="s">
        <v>15</v>
      </c>
      <c r="C114">
        <v>93810.76</v>
      </c>
      <c r="D114" t="s">
        <v>240</v>
      </c>
      <c r="E114">
        <v>93810.76</v>
      </c>
      <c r="F114">
        <v>0</v>
      </c>
      <c r="G114" t="s">
        <v>241</v>
      </c>
      <c r="H114">
        <v>0</v>
      </c>
      <c r="I114">
        <v>0</v>
      </c>
      <c r="J114">
        <v>1</v>
      </c>
      <c r="K114">
        <v>0</v>
      </c>
      <c r="L114">
        <v>10</v>
      </c>
      <c r="M114">
        <v>0</v>
      </c>
      <c r="N114">
        <v>1</v>
      </c>
      <c r="O114">
        <v>93810.76</v>
      </c>
      <c r="P114">
        <v>3</v>
      </c>
      <c r="Q114">
        <v>5</v>
      </c>
      <c r="R114">
        <v>3.1</v>
      </c>
      <c r="S114" t="s">
        <v>2310</v>
      </c>
      <c r="V114">
        <f t="shared" si="3"/>
        <v>0</v>
      </c>
      <c r="W114">
        <f t="shared" si="4"/>
        <v>0</v>
      </c>
      <c r="X114" t="str">
        <f t="shared" si="5"/>
        <v>MATCH</v>
      </c>
    </row>
    <row r="115" spans="1:24" x14ac:dyDescent="0.3">
      <c r="A115">
        <v>10</v>
      </c>
      <c r="B115" t="s">
        <v>18</v>
      </c>
      <c r="C115">
        <v>93810.76</v>
      </c>
      <c r="D115" t="s">
        <v>242</v>
      </c>
      <c r="E115">
        <v>93810.76</v>
      </c>
      <c r="F115">
        <v>0</v>
      </c>
      <c r="G115" t="s">
        <v>243</v>
      </c>
      <c r="H115">
        <v>4096048.05</v>
      </c>
      <c r="I115">
        <v>4189858.81</v>
      </c>
      <c r="J115">
        <v>1</v>
      </c>
      <c r="K115">
        <v>0</v>
      </c>
      <c r="L115">
        <v>10</v>
      </c>
      <c r="M115">
        <v>0</v>
      </c>
      <c r="N115">
        <v>1</v>
      </c>
      <c r="O115">
        <v>93810.76</v>
      </c>
      <c r="P115">
        <v>3</v>
      </c>
      <c r="Q115">
        <v>4</v>
      </c>
      <c r="R115">
        <v>2.8000000000000003</v>
      </c>
      <c r="S115" t="s">
        <v>2312</v>
      </c>
      <c r="V115">
        <f t="shared" si="3"/>
        <v>0</v>
      </c>
      <c r="W115">
        <f t="shared" si="4"/>
        <v>0</v>
      </c>
      <c r="X115" t="str">
        <f t="shared" si="5"/>
        <v>MATCH</v>
      </c>
    </row>
    <row r="116" spans="1:24" x14ac:dyDescent="0.3">
      <c r="A116">
        <v>10</v>
      </c>
      <c r="B116" t="s">
        <v>15</v>
      </c>
      <c r="C116">
        <v>503405.88</v>
      </c>
      <c r="D116" t="s">
        <v>244</v>
      </c>
      <c r="E116">
        <v>503405.88</v>
      </c>
      <c r="F116">
        <v>0</v>
      </c>
      <c r="G116" t="s">
        <v>245</v>
      </c>
      <c r="H116">
        <v>0</v>
      </c>
      <c r="I116">
        <v>0</v>
      </c>
      <c r="J116">
        <v>1</v>
      </c>
      <c r="K116">
        <v>0</v>
      </c>
      <c r="L116">
        <v>10</v>
      </c>
      <c r="M116">
        <v>0</v>
      </c>
      <c r="N116">
        <v>1</v>
      </c>
      <c r="O116">
        <v>503405.88</v>
      </c>
      <c r="P116">
        <v>5</v>
      </c>
      <c r="Q116">
        <v>5</v>
      </c>
      <c r="R116">
        <v>4.0999999999999996</v>
      </c>
      <c r="S116" t="s">
        <v>2310</v>
      </c>
      <c r="V116">
        <f t="shared" si="3"/>
        <v>0</v>
      </c>
      <c r="W116">
        <f t="shared" si="4"/>
        <v>0</v>
      </c>
      <c r="X116" t="str">
        <f t="shared" si="5"/>
        <v>MATCH</v>
      </c>
    </row>
    <row r="117" spans="1:24" x14ac:dyDescent="0.3">
      <c r="A117">
        <v>10</v>
      </c>
      <c r="B117" t="s">
        <v>18</v>
      </c>
      <c r="C117">
        <v>503405.88</v>
      </c>
      <c r="D117" t="s">
        <v>246</v>
      </c>
      <c r="E117">
        <v>503405.88</v>
      </c>
      <c r="F117">
        <v>0</v>
      </c>
      <c r="G117" t="s">
        <v>247</v>
      </c>
      <c r="H117">
        <v>29669</v>
      </c>
      <c r="I117">
        <v>533074.88</v>
      </c>
      <c r="J117">
        <v>1</v>
      </c>
      <c r="K117">
        <v>0</v>
      </c>
      <c r="L117">
        <v>10</v>
      </c>
      <c r="M117">
        <v>0</v>
      </c>
      <c r="N117">
        <v>1</v>
      </c>
      <c r="O117">
        <v>503405.88</v>
      </c>
      <c r="P117">
        <v>5</v>
      </c>
      <c r="Q117">
        <v>4</v>
      </c>
      <c r="R117">
        <v>3.8000000000000003</v>
      </c>
      <c r="S117" t="s">
        <v>2310</v>
      </c>
      <c r="V117">
        <f t="shared" si="3"/>
        <v>0</v>
      </c>
      <c r="W117">
        <f t="shared" si="4"/>
        <v>0</v>
      </c>
      <c r="X117" t="str">
        <f t="shared" si="5"/>
        <v>MATCH</v>
      </c>
    </row>
    <row r="118" spans="1:24" x14ac:dyDescent="0.3">
      <c r="A118">
        <v>10</v>
      </c>
      <c r="B118" t="s">
        <v>15</v>
      </c>
      <c r="C118">
        <v>2662734.59</v>
      </c>
      <c r="D118" t="s">
        <v>248</v>
      </c>
      <c r="E118">
        <v>2662734.59</v>
      </c>
      <c r="F118">
        <v>0</v>
      </c>
      <c r="G118" t="s">
        <v>249</v>
      </c>
      <c r="H118">
        <v>0</v>
      </c>
      <c r="I118">
        <v>0</v>
      </c>
      <c r="J118">
        <v>1</v>
      </c>
      <c r="K118">
        <v>0</v>
      </c>
      <c r="L118">
        <v>10</v>
      </c>
      <c r="M118">
        <v>0</v>
      </c>
      <c r="N118">
        <v>1</v>
      </c>
      <c r="O118">
        <v>2662734.59</v>
      </c>
      <c r="P118">
        <v>5</v>
      </c>
      <c r="Q118">
        <v>5</v>
      </c>
      <c r="R118">
        <v>4.0999999999999996</v>
      </c>
      <c r="S118" t="s">
        <v>2310</v>
      </c>
      <c r="V118">
        <f t="shared" si="3"/>
        <v>0</v>
      </c>
      <c r="W118">
        <f t="shared" si="4"/>
        <v>0</v>
      </c>
      <c r="X118" t="str">
        <f t="shared" si="5"/>
        <v>MATCH</v>
      </c>
    </row>
    <row r="119" spans="1:24" x14ac:dyDescent="0.3">
      <c r="A119">
        <v>10</v>
      </c>
      <c r="B119" t="s">
        <v>18</v>
      </c>
      <c r="C119">
        <v>2662734.59</v>
      </c>
      <c r="D119" t="s">
        <v>250</v>
      </c>
      <c r="E119">
        <v>2662734.59</v>
      </c>
      <c r="F119">
        <v>0</v>
      </c>
      <c r="G119" t="s">
        <v>251</v>
      </c>
      <c r="H119">
        <v>14165.62</v>
      </c>
      <c r="I119">
        <v>2930405.33</v>
      </c>
      <c r="J119">
        <v>1</v>
      </c>
      <c r="K119">
        <v>0</v>
      </c>
      <c r="L119">
        <v>10</v>
      </c>
      <c r="M119">
        <v>0</v>
      </c>
      <c r="N119">
        <v>1</v>
      </c>
      <c r="O119">
        <v>2662734.59</v>
      </c>
      <c r="P119">
        <v>5</v>
      </c>
      <c r="Q119">
        <v>4</v>
      </c>
      <c r="R119">
        <v>3.8000000000000003</v>
      </c>
      <c r="S119" t="s">
        <v>2310</v>
      </c>
      <c r="V119">
        <f t="shared" si="3"/>
        <v>0</v>
      </c>
      <c r="W119">
        <f t="shared" si="4"/>
        <v>0</v>
      </c>
      <c r="X119" t="str">
        <f t="shared" si="5"/>
        <v>MATCH</v>
      </c>
    </row>
    <row r="120" spans="1:24" x14ac:dyDescent="0.3">
      <c r="A120">
        <v>10</v>
      </c>
      <c r="B120" t="s">
        <v>15</v>
      </c>
      <c r="C120">
        <v>9217.19</v>
      </c>
      <c r="D120" t="s">
        <v>252</v>
      </c>
      <c r="E120">
        <v>9217.19</v>
      </c>
      <c r="F120">
        <v>0</v>
      </c>
      <c r="G120" t="s">
        <v>253</v>
      </c>
      <c r="H120">
        <v>0</v>
      </c>
      <c r="I120">
        <v>96795.6</v>
      </c>
      <c r="J120">
        <v>1</v>
      </c>
      <c r="K120">
        <v>0</v>
      </c>
      <c r="L120">
        <v>10</v>
      </c>
      <c r="M120">
        <v>0</v>
      </c>
      <c r="N120">
        <v>1</v>
      </c>
      <c r="O120">
        <v>9217.19</v>
      </c>
      <c r="P120">
        <v>1</v>
      </c>
      <c r="Q120">
        <v>5</v>
      </c>
      <c r="R120">
        <v>2.1</v>
      </c>
      <c r="S120" t="s">
        <v>2312</v>
      </c>
      <c r="V120">
        <f t="shared" si="3"/>
        <v>0</v>
      </c>
      <c r="W120">
        <f t="shared" si="4"/>
        <v>0</v>
      </c>
      <c r="X120" t="str">
        <f t="shared" si="5"/>
        <v>MATCH</v>
      </c>
    </row>
    <row r="121" spans="1:24" x14ac:dyDescent="0.3">
      <c r="A121">
        <v>10</v>
      </c>
      <c r="B121" t="s">
        <v>18</v>
      </c>
      <c r="C121">
        <v>9217.19</v>
      </c>
      <c r="D121" t="s">
        <v>254</v>
      </c>
      <c r="E121">
        <v>9217.19</v>
      </c>
      <c r="F121">
        <v>0</v>
      </c>
      <c r="G121" t="s">
        <v>255</v>
      </c>
      <c r="H121">
        <v>0</v>
      </c>
      <c r="I121">
        <v>9217.19</v>
      </c>
      <c r="J121">
        <v>1</v>
      </c>
      <c r="K121">
        <v>0</v>
      </c>
      <c r="L121">
        <v>10</v>
      </c>
      <c r="M121">
        <v>0</v>
      </c>
      <c r="N121">
        <v>1</v>
      </c>
      <c r="O121">
        <v>9217.19</v>
      </c>
      <c r="P121">
        <v>1</v>
      </c>
      <c r="Q121">
        <v>4</v>
      </c>
      <c r="R121">
        <v>1.8</v>
      </c>
      <c r="S121" t="s">
        <v>2311</v>
      </c>
      <c r="V121">
        <f t="shared" si="3"/>
        <v>0</v>
      </c>
      <c r="W121">
        <f t="shared" si="4"/>
        <v>0</v>
      </c>
      <c r="X121" t="str">
        <f t="shared" si="5"/>
        <v>MATCH</v>
      </c>
    </row>
    <row r="122" spans="1:24" x14ac:dyDescent="0.3">
      <c r="A122">
        <v>11</v>
      </c>
      <c r="B122" t="s">
        <v>15</v>
      </c>
      <c r="C122">
        <v>2100</v>
      </c>
      <c r="D122" t="s">
        <v>256</v>
      </c>
      <c r="E122">
        <v>2100</v>
      </c>
      <c r="F122">
        <v>0</v>
      </c>
      <c r="G122" t="s">
        <v>257</v>
      </c>
      <c r="H122">
        <v>0</v>
      </c>
      <c r="I122">
        <v>0</v>
      </c>
      <c r="J122">
        <v>1</v>
      </c>
      <c r="K122">
        <v>0</v>
      </c>
      <c r="L122">
        <v>11</v>
      </c>
      <c r="M122">
        <v>0</v>
      </c>
      <c r="N122">
        <v>1</v>
      </c>
      <c r="O122">
        <v>2100</v>
      </c>
      <c r="P122">
        <v>1</v>
      </c>
      <c r="Q122">
        <v>5</v>
      </c>
      <c r="R122">
        <v>2.1</v>
      </c>
      <c r="S122" t="s">
        <v>2312</v>
      </c>
      <c r="V122">
        <f t="shared" si="3"/>
        <v>0</v>
      </c>
      <c r="W122">
        <f t="shared" si="4"/>
        <v>0</v>
      </c>
      <c r="X122" t="str">
        <f t="shared" si="5"/>
        <v>MATCH</v>
      </c>
    </row>
    <row r="123" spans="1:24" x14ac:dyDescent="0.3">
      <c r="A123">
        <v>11</v>
      </c>
      <c r="B123" t="s">
        <v>18</v>
      </c>
      <c r="C123">
        <v>2100</v>
      </c>
      <c r="D123" t="s">
        <v>258</v>
      </c>
      <c r="E123">
        <v>2100</v>
      </c>
      <c r="F123">
        <v>0</v>
      </c>
      <c r="G123" t="s">
        <v>259</v>
      </c>
      <c r="H123">
        <v>112512.48</v>
      </c>
      <c r="I123">
        <v>114612.48</v>
      </c>
      <c r="J123">
        <v>1</v>
      </c>
      <c r="K123">
        <v>0</v>
      </c>
      <c r="L123">
        <v>11</v>
      </c>
      <c r="M123">
        <v>0</v>
      </c>
      <c r="N123">
        <v>1</v>
      </c>
      <c r="O123">
        <v>2100</v>
      </c>
      <c r="P123">
        <v>1</v>
      </c>
      <c r="Q123">
        <v>4</v>
      </c>
      <c r="R123">
        <v>1.8</v>
      </c>
      <c r="S123" t="s">
        <v>2311</v>
      </c>
      <c r="V123">
        <f t="shared" si="3"/>
        <v>0</v>
      </c>
      <c r="W123">
        <f t="shared" si="4"/>
        <v>0</v>
      </c>
      <c r="X123" t="str">
        <f t="shared" si="5"/>
        <v>MATCH</v>
      </c>
    </row>
    <row r="124" spans="1:24" x14ac:dyDescent="0.3">
      <c r="A124">
        <v>11</v>
      </c>
      <c r="B124" t="s">
        <v>15</v>
      </c>
      <c r="C124">
        <v>1933920.8</v>
      </c>
      <c r="D124" t="s">
        <v>260</v>
      </c>
      <c r="E124">
        <v>0</v>
      </c>
      <c r="F124">
        <v>0</v>
      </c>
      <c r="G124" t="s">
        <v>261</v>
      </c>
      <c r="H124">
        <v>1283762.8500000001</v>
      </c>
      <c r="I124">
        <v>3217683.65</v>
      </c>
      <c r="J124">
        <v>1</v>
      </c>
      <c r="K124">
        <v>0</v>
      </c>
      <c r="L124">
        <v>11</v>
      </c>
      <c r="M124">
        <v>0</v>
      </c>
      <c r="N124">
        <v>0</v>
      </c>
      <c r="O124">
        <v>0</v>
      </c>
      <c r="P124">
        <v>5</v>
      </c>
      <c r="Q124">
        <v>5</v>
      </c>
      <c r="R124">
        <v>4</v>
      </c>
      <c r="S124" t="s">
        <v>2310</v>
      </c>
      <c r="V124">
        <f t="shared" si="3"/>
        <v>-1933920.8</v>
      </c>
      <c r="W124">
        <f t="shared" si="4"/>
        <v>1933920.8</v>
      </c>
      <c r="X124" t="str">
        <f t="shared" si="5"/>
        <v>BREAK</v>
      </c>
    </row>
    <row r="125" spans="1:24" x14ac:dyDescent="0.3">
      <c r="A125">
        <v>11</v>
      </c>
      <c r="B125" t="s">
        <v>15</v>
      </c>
      <c r="C125">
        <v>313418.28000000003</v>
      </c>
      <c r="D125" t="s">
        <v>262</v>
      </c>
      <c r="E125">
        <v>313418.28000000003</v>
      </c>
      <c r="F125">
        <v>0</v>
      </c>
      <c r="G125" t="s">
        <v>263</v>
      </c>
      <c r="H125">
        <v>0</v>
      </c>
      <c r="I125">
        <v>97980.88</v>
      </c>
      <c r="J125">
        <v>1</v>
      </c>
      <c r="K125">
        <v>0</v>
      </c>
      <c r="L125">
        <v>11</v>
      </c>
      <c r="M125">
        <v>0</v>
      </c>
      <c r="N125">
        <v>1</v>
      </c>
      <c r="O125">
        <v>313418.28000000003</v>
      </c>
      <c r="P125">
        <v>5</v>
      </c>
      <c r="Q125">
        <v>5</v>
      </c>
      <c r="R125">
        <v>4.0999999999999996</v>
      </c>
      <c r="S125" t="s">
        <v>2310</v>
      </c>
      <c r="V125">
        <f t="shared" si="3"/>
        <v>0</v>
      </c>
      <c r="W125">
        <f t="shared" si="4"/>
        <v>0</v>
      </c>
      <c r="X125" t="str">
        <f t="shared" si="5"/>
        <v>MATCH</v>
      </c>
    </row>
    <row r="126" spans="1:24" x14ac:dyDescent="0.3">
      <c r="A126">
        <v>11</v>
      </c>
      <c r="B126" t="s">
        <v>18</v>
      </c>
      <c r="C126">
        <v>313418.28000000003</v>
      </c>
      <c r="D126" t="s">
        <v>264</v>
      </c>
      <c r="E126">
        <v>313418.28000000003</v>
      </c>
      <c r="F126">
        <v>0</v>
      </c>
      <c r="G126" t="s">
        <v>265</v>
      </c>
      <c r="H126">
        <v>688164.64</v>
      </c>
      <c r="I126">
        <v>1029922.17</v>
      </c>
      <c r="J126">
        <v>1</v>
      </c>
      <c r="K126">
        <v>0</v>
      </c>
      <c r="L126">
        <v>11</v>
      </c>
      <c r="M126">
        <v>0</v>
      </c>
      <c r="N126">
        <v>1</v>
      </c>
      <c r="O126">
        <v>313418.28000000003</v>
      </c>
      <c r="P126">
        <v>5</v>
      </c>
      <c r="Q126">
        <v>4</v>
      </c>
      <c r="R126">
        <v>3.8000000000000003</v>
      </c>
      <c r="S126" t="s">
        <v>2310</v>
      </c>
      <c r="V126">
        <f t="shared" si="3"/>
        <v>0</v>
      </c>
      <c r="W126">
        <f t="shared" si="4"/>
        <v>0</v>
      </c>
      <c r="X126" t="str">
        <f t="shared" si="5"/>
        <v>MATCH</v>
      </c>
    </row>
    <row r="127" spans="1:24" x14ac:dyDescent="0.3">
      <c r="A127">
        <v>11</v>
      </c>
      <c r="B127" t="s">
        <v>15</v>
      </c>
      <c r="C127">
        <v>12461</v>
      </c>
      <c r="D127" t="s">
        <v>266</v>
      </c>
      <c r="E127">
        <v>12461</v>
      </c>
      <c r="F127">
        <v>0</v>
      </c>
      <c r="G127" t="s">
        <v>267</v>
      </c>
      <c r="H127">
        <v>0</v>
      </c>
      <c r="I127">
        <v>0</v>
      </c>
      <c r="J127">
        <v>1</v>
      </c>
      <c r="K127">
        <v>0</v>
      </c>
      <c r="L127">
        <v>11</v>
      </c>
      <c r="M127">
        <v>0</v>
      </c>
      <c r="N127">
        <v>1</v>
      </c>
      <c r="O127">
        <v>12461</v>
      </c>
      <c r="P127">
        <v>2</v>
      </c>
      <c r="Q127">
        <v>5</v>
      </c>
      <c r="R127">
        <v>2.6</v>
      </c>
      <c r="S127" t="s">
        <v>2312</v>
      </c>
      <c r="V127">
        <f t="shared" si="3"/>
        <v>0</v>
      </c>
      <c r="W127">
        <f t="shared" si="4"/>
        <v>0</v>
      </c>
      <c r="X127" t="str">
        <f t="shared" si="5"/>
        <v>MATCH</v>
      </c>
    </row>
    <row r="128" spans="1:24" x14ac:dyDescent="0.3">
      <c r="A128">
        <v>11</v>
      </c>
      <c r="B128" t="s">
        <v>18</v>
      </c>
      <c r="C128">
        <v>12461</v>
      </c>
      <c r="D128" t="s">
        <v>268</v>
      </c>
      <c r="E128">
        <v>12461</v>
      </c>
      <c r="F128">
        <v>0</v>
      </c>
      <c r="G128" t="s">
        <v>269</v>
      </c>
      <c r="H128">
        <v>27964.11</v>
      </c>
      <c r="I128">
        <v>40425.11</v>
      </c>
      <c r="J128">
        <v>1</v>
      </c>
      <c r="K128">
        <v>0</v>
      </c>
      <c r="L128">
        <v>11</v>
      </c>
      <c r="M128">
        <v>0</v>
      </c>
      <c r="N128">
        <v>1</v>
      </c>
      <c r="O128">
        <v>12461</v>
      </c>
      <c r="P128">
        <v>2</v>
      </c>
      <c r="Q128">
        <v>4</v>
      </c>
      <c r="R128">
        <v>2.3000000000000003</v>
      </c>
      <c r="S128" t="s">
        <v>2312</v>
      </c>
      <c r="V128">
        <f t="shared" si="3"/>
        <v>0</v>
      </c>
      <c r="W128">
        <f t="shared" si="4"/>
        <v>0</v>
      </c>
      <c r="X128" t="str">
        <f t="shared" si="5"/>
        <v>MATCH</v>
      </c>
    </row>
    <row r="129" spans="1:24" x14ac:dyDescent="0.3">
      <c r="A129">
        <v>12</v>
      </c>
      <c r="B129" t="s">
        <v>15</v>
      </c>
      <c r="C129">
        <v>19472</v>
      </c>
      <c r="D129" t="s">
        <v>270</v>
      </c>
      <c r="E129">
        <v>19472</v>
      </c>
      <c r="F129">
        <v>0</v>
      </c>
      <c r="G129" t="s">
        <v>271</v>
      </c>
      <c r="H129">
        <v>0</v>
      </c>
      <c r="I129">
        <v>0</v>
      </c>
      <c r="J129">
        <v>1</v>
      </c>
      <c r="K129">
        <v>0</v>
      </c>
      <c r="L129">
        <v>12</v>
      </c>
      <c r="M129">
        <v>0</v>
      </c>
      <c r="N129">
        <v>1</v>
      </c>
      <c r="O129">
        <v>19472</v>
      </c>
      <c r="P129">
        <v>2</v>
      </c>
      <c r="Q129">
        <v>5</v>
      </c>
      <c r="R129">
        <v>2.6</v>
      </c>
      <c r="S129" t="s">
        <v>2312</v>
      </c>
      <c r="V129">
        <f t="shared" si="3"/>
        <v>0</v>
      </c>
      <c r="W129">
        <f t="shared" si="4"/>
        <v>0</v>
      </c>
      <c r="X129" t="str">
        <f t="shared" si="5"/>
        <v>MATCH</v>
      </c>
    </row>
    <row r="130" spans="1:24" x14ac:dyDescent="0.3">
      <c r="A130">
        <v>12</v>
      </c>
      <c r="B130" t="s">
        <v>18</v>
      </c>
      <c r="C130">
        <v>19472</v>
      </c>
      <c r="D130" t="s">
        <v>272</v>
      </c>
      <c r="E130">
        <v>19472</v>
      </c>
      <c r="F130">
        <v>0</v>
      </c>
      <c r="G130" t="s">
        <v>273</v>
      </c>
      <c r="H130">
        <v>0</v>
      </c>
      <c r="I130">
        <v>19472</v>
      </c>
      <c r="J130">
        <v>1</v>
      </c>
      <c r="K130">
        <v>0</v>
      </c>
      <c r="L130">
        <v>12</v>
      </c>
      <c r="M130">
        <v>0</v>
      </c>
      <c r="N130">
        <v>1</v>
      </c>
      <c r="O130">
        <v>19472</v>
      </c>
      <c r="P130">
        <v>2</v>
      </c>
      <c r="Q130">
        <v>4</v>
      </c>
      <c r="R130">
        <v>2.3000000000000003</v>
      </c>
      <c r="S130" t="s">
        <v>2312</v>
      </c>
      <c r="V130">
        <f t="shared" si="3"/>
        <v>0</v>
      </c>
      <c r="W130">
        <f t="shared" si="4"/>
        <v>0</v>
      </c>
      <c r="X130" t="str">
        <f t="shared" si="5"/>
        <v>MATCH</v>
      </c>
    </row>
    <row r="131" spans="1:24" x14ac:dyDescent="0.3">
      <c r="A131">
        <v>12</v>
      </c>
      <c r="B131" t="s">
        <v>15</v>
      </c>
      <c r="C131">
        <v>3964129.99</v>
      </c>
      <c r="D131" t="s">
        <v>274</v>
      </c>
      <c r="E131">
        <v>3964129.99</v>
      </c>
      <c r="F131">
        <v>0</v>
      </c>
      <c r="G131" t="s">
        <v>275</v>
      </c>
      <c r="H131">
        <v>0</v>
      </c>
      <c r="I131">
        <v>0</v>
      </c>
      <c r="J131">
        <v>1</v>
      </c>
      <c r="K131">
        <v>0</v>
      </c>
      <c r="L131">
        <v>12</v>
      </c>
      <c r="M131">
        <v>0</v>
      </c>
      <c r="N131">
        <v>1</v>
      </c>
      <c r="O131">
        <v>3964129.99</v>
      </c>
      <c r="P131">
        <v>5</v>
      </c>
      <c r="Q131">
        <v>5</v>
      </c>
      <c r="R131">
        <v>4.0999999999999996</v>
      </c>
      <c r="S131" t="s">
        <v>2310</v>
      </c>
      <c r="V131">
        <f t="shared" ref="V131:V194" si="6">E131-C131</f>
        <v>0</v>
      </c>
      <c r="W131">
        <f t="shared" ref="W131:W194" si="7">ABS(F131-V131)</f>
        <v>0</v>
      </c>
      <c r="X131" t="str">
        <f t="shared" ref="X131:X194" si="8">IF(W131&lt;1,"MATCH","BREAK")</f>
        <v>MATCH</v>
      </c>
    </row>
    <row r="132" spans="1:24" x14ac:dyDescent="0.3">
      <c r="A132">
        <v>12</v>
      </c>
      <c r="B132" t="s">
        <v>18</v>
      </c>
      <c r="C132">
        <v>3964129.99</v>
      </c>
      <c r="D132" t="s">
        <v>276</v>
      </c>
      <c r="E132">
        <v>3964129.99</v>
      </c>
      <c r="F132">
        <v>0</v>
      </c>
      <c r="G132" t="s">
        <v>277</v>
      </c>
      <c r="H132">
        <v>1912955.54</v>
      </c>
      <c r="I132">
        <v>5811064.0700000003</v>
      </c>
      <c r="J132">
        <v>1</v>
      </c>
      <c r="K132">
        <v>0</v>
      </c>
      <c r="L132">
        <v>12</v>
      </c>
      <c r="M132">
        <v>0</v>
      </c>
      <c r="N132">
        <v>1</v>
      </c>
      <c r="O132">
        <v>3964129.99</v>
      </c>
      <c r="P132">
        <v>5</v>
      </c>
      <c r="Q132">
        <v>4</v>
      </c>
      <c r="R132">
        <v>3.8000000000000003</v>
      </c>
      <c r="S132" t="s">
        <v>2310</v>
      </c>
      <c r="V132">
        <f t="shared" si="6"/>
        <v>0</v>
      </c>
      <c r="W132">
        <f t="shared" si="7"/>
        <v>0</v>
      </c>
      <c r="X132" t="str">
        <f t="shared" si="8"/>
        <v>MATCH</v>
      </c>
    </row>
    <row r="133" spans="1:24" x14ac:dyDescent="0.3">
      <c r="A133">
        <v>12</v>
      </c>
      <c r="B133" t="s">
        <v>15</v>
      </c>
      <c r="C133">
        <v>1041647.06</v>
      </c>
      <c r="D133" t="s">
        <v>278</v>
      </c>
      <c r="E133">
        <v>1041647.06</v>
      </c>
      <c r="F133">
        <v>0</v>
      </c>
      <c r="G133" t="s">
        <v>279</v>
      </c>
      <c r="H133">
        <v>0</v>
      </c>
      <c r="I133">
        <v>0</v>
      </c>
      <c r="J133">
        <v>1</v>
      </c>
      <c r="K133">
        <v>0</v>
      </c>
      <c r="L133">
        <v>12</v>
      </c>
      <c r="M133">
        <v>0</v>
      </c>
      <c r="N133">
        <v>1</v>
      </c>
      <c r="O133">
        <v>1041647.06</v>
      </c>
      <c r="P133">
        <v>5</v>
      </c>
      <c r="Q133">
        <v>5</v>
      </c>
      <c r="R133">
        <v>4.0999999999999996</v>
      </c>
      <c r="S133" t="s">
        <v>2310</v>
      </c>
      <c r="V133">
        <f t="shared" si="6"/>
        <v>0</v>
      </c>
      <c r="W133">
        <f t="shared" si="7"/>
        <v>0</v>
      </c>
      <c r="X133" t="str">
        <f t="shared" si="8"/>
        <v>MATCH</v>
      </c>
    </row>
    <row r="134" spans="1:24" x14ac:dyDescent="0.3">
      <c r="A134">
        <v>12</v>
      </c>
      <c r="B134" t="s">
        <v>18</v>
      </c>
      <c r="C134">
        <v>1041647.06</v>
      </c>
      <c r="D134" t="s">
        <v>280</v>
      </c>
      <c r="E134">
        <v>1041647.06</v>
      </c>
      <c r="F134">
        <v>0</v>
      </c>
      <c r="G134" t="s">
        <v>281</v>
      </c>
      <c r="H134">
        <v>52730.33</v>
      </c>
      <c r="I134">
        <v>1094377.3899999999</v>
      </c>
      <c r="J134">
        <v>1</v>
      </c>
      <c r="K134">
        <v>0</v>
      </c>
      <c r="L134">
        <v>12</v>
      </c>
      <c r="M134">
        <v>0</v>
      </c>
      <c r="N134">
        <v>1</v>
      </c>
      <c r="O134">
        <v>1041647.06</v>
      </c>
      <c r="P134">
        <v>5</v>
      </c>
      <c r="Q134">
        <v>4</v>
      </c>
      <c r="R134">
        <v>3.8000000000000003</v>
      </c>
      <c r="S134" t="s">
        <v>2310</v>
      </c>
      <c r="V134">
        <f t="shared" si="6"/>
        <v>0</v>
      </c>
      <c r="W134">
        <f t="shared" si="7"/>
        <v>0</v>
      </c>
      <c r="X134" t="str">
        <f t="shared" si="8"/>
        <v>MATCH</v>
      </c>
    </row>
    <row r="135" spans="1:24" x14ac:dyDescent="0.3">
      <c r="A135">
        <v>12</v>
      </c>
      <c r="B135" t="s">
        <v>15</v>
      </c>
      <c r="C135">
        <v>2066467.64</v>
      </c>
      <c r="D135" t="s">
        <v>282</v>
      </c>
      <c r="E135">
        <v>2066467.64</v>
      </c>
      <c r="F135">
        <v>0</v>
      </c>
      <c r="G135" t="s">
        <v>283</v>
      </c>
      <c r="H135">
        <v>0</v>
      </c>
      <c r="I135">
        <v>81209.81</v>
      </c>
      <c r="J135">
        <v>1</v>
      </c>
      <c r="K135">
        <v>0</v>
      </c>
      <c r="L135">
        <v>12</v>
      </c>
      <c r="M135">
        <v>0</v>
      </c>
      <c r="N135">
        <v>1</v>
      </c>
      <c r="O135">
        <v>2066467.64</v>
      </c>
      <c r="P135">
        <v>5</v>
      </c>
      <c r="Q135">
        <v>5</v>
      </c>
      <c r="R135">
        <v>4.0999999999999996</v>
      </c>
      <c r="S135" t="s">
        <v>2310</v>
      </c>
      <c r="V135">
        <f t="shared" si="6"/>
        <v>0</v>
      </c>
      <c r="W135">
        <f t="shared" si="7"/>
        <v>0</v>
      </c>
      <c r="X135" t="str">
        <f t="shared" si="8"/>
        <v>MATCH</v>
      </c>
    </row>
    <row r="136" spans="1:24" x14ac:dyDescent="0.3">
      <c r="A136">
        <v>12</v>
      </c>
      <c r="B136" t="s">
        <v>18</v>
      </c>
      <c r="C136">
        <v>2066467.64</v>
      </c>
      <c r="D136" t="s">
        <v>284</v>
      </c>
      <c r="E136">
        <v>2066467.64</v>
      </c>
      <c r="F136">
        <v>0</v>
      </c>
      <c r="G136" t="s">
        <v>285</v>
      </c>
      <c r="H136">
        <v>194510.24</v>
      </c>
      <c r="I136">
        <v>3098566.67</v>
      </c>
      <c r="J136">
        <v>1</v>
      </c>
      <c r="K136">
        <v>0</v>
      </c>
      <c r="L136">
        <v>12</v>
      </c>
      <c r="M136">
        <v>0</v>
      </c>
      <c r="N136">
        <v>1</v>
      </c>
      <c r="O136">
        <v>2066467.64</v>
      </c>
      <c r="P136">
        <v>5</v>
      </c>
      <c r="Q136">
        <v>4</v>
      </c>
      <c r="R136">
        <v>3.8000000000000003</v>
      </c>
      <c r="S136" t="s">
        <v>2310</v>
      </c>
      <c r="V136">
        <f t="shared" si="6"/>
        <v>0</v>
      </c>
      <c r="W136">
        <f t="shared" si="7"/>
        <v>0</v>
      </c>
      <c r="X136" t="str">
        <f t="shared" si="8"/>
        <v>MATCH</v>
      </c>
    </row>
    <row r="137" spans="1:24" x14ac:dyDescent="0.3">
      <c r="A137">
        <v>12</v>
      </c>
      <c r="B137" t="s">
        <v>18</v>
      </c>
      <c r="C137">
        <v>149668.66</v>
      </c>
      <c r="D137" t="s">
        <v>286</v>
      </c>
      <c r="E137">
        <v>0</v>
      </c>
      <c r="F137">
        <v>0</v>
      </c>
      <c r="G137" t="s">
        <v>287</v>
      </c>
      <c r="H137">
        <v>44170.11</v>
      </c>
      <c r="I137">
        <v>193838.76</v>
      </c>
      <c r="J137">
        <v>1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4</v>
      </c>
      <c r="Q137">
        <v>4</v>
      </c>
      <c r="R137">
        <v>3.2</v>
      </c>
      <c r="S137" t="s">
        <v>2310</v>
      </c>
      <c r="V137">
        <f t="shared" si="6"/>
        <v>-149668.66</v>
      </c>
      <c r="W137">
        <f t="shared" si="7"/>
        <v>149668.66</v>
      </c>
      <c r="X137" t="str">
        <f t="shared" si="8"/>
        <v>BREAK</v>
      </c>
    </row>
    <row r="138" spans="1:24" x14ac:dyDescent="0.3">
      <c r="A138">
        <v>12</v>
      </c>
      <c r="B138" t="s">
        <v>15</v>
      </c>
      <c r="C138">
        <v>2007</v>
      </c>
      <c r="D138" t="s">
        <v>288</v>
      </c>
      <c r="E138">
        <v>2007</v>
      </c>
      <c r="F138">
        <v>0</v>
      </c>
      <c r="G138" t="s">
        <v>289</v>
      </c>
      <c r="H138">
        <v>0</v>
      </c>
      <c r="I138">
        <v>0</v>
      </c>
      <c r="J138">
        <v>1</v>
      </c>
      <c r="K138">
        <v>0</v>
      </c>
      <c r="L138">
        <v>12</v>
      </c>
      <c r="M138">
        <v>0</v>
      </c>
      <c r="N138">
        <v>1</v>
      </c>
      <c r="O138">
        <v>2007</v>
      </c>
      <c r="P138">
        <v>1</v>
      </c>
      <c r="Q138">
        <v>5</v>
      </c>
      <c r="R138">
        <v>2.1</v>
      </c>
      <c r="S138" t="s">
        <v>2312</v>
      </c>
      <c r="V138">
        <f t="shared" si="6"/>
        <v>0</v>
      </c>
      <c r="W138">
        <f t="shared" si="7"/>
        <v>0</v>
      </c>
      <c r="X138" t="str">
        <f t="shared" si="8"/>
        <v>MATCH</v>
      </c>
    </row>
    <row r="139" spans="1:24" x14ac:dyDescent="0.3">
      <c r="A139">
        <v>12</v>
      </c>
      <c r="B139" t="s">
        <v>18</v>
      </c>
      <c r="C139">
        <v>2007</v>
      </c>
      <c r="D139" t="s">
        <v>290</v>
      </c>
      <c r="E139">
        <v>2007</v>
      </c>
      <c r="F139">
        <v>0</v>
      </c>
      <c r="G139" t="s">
        <v>291</v>
      </c>
      <c r="H139">
        <v>129917.8</v>
      </c>
      <c r="I139">
        <v>250910.76</v>
      </c>
      <c r="J139">
        <v>1</v>
      </c>
      <c r="K139">
        <v>0</v>
      </c>
      <c r="L139">
        <v>12</v>
      </c>
      <c r="M139">
        <v>0</v>
      </c>
      <c r="N139">
        <v>1</v>
      </c>
      <c r="O139">
        <v>2007</v>
      </c>
      <c r="P139">
        <v>1</v>
      </c>
      <c r="Q139">
        <v>4</v>
      </c>
      <c r="R139">
        <v>1.8</v>
      </c>
      <c r="S139" t="s">
        <v>2311</v>
      </c>
      <c r="V139">
        <f t="shared" si="6"/>
        <v>0</v>
      </c>
      <c r="W139">
        <f t="shared" si="7"/>
        <v>0</v>
      </c>
      <c r="X139" t="str">
        <f t="shared" si="8"/>
        <v>MATCH</v>
      </c>
    </row>
    <row r="140" spans="1:24" x14ac:dyDescent="0.3">
      <c r="A140">
        <v>12</v>
      </c>
      <c r="B140" t="s">
        <v>18</v>
      </c>
      <c r="C140">
        <v>222048.71</v>
      </c>
      <c r="D140" t="s">
        <v>292</v>
      </c>
      <c r="E140">
        <v>0</v>
      </c>
      <c r="F140">
        <v>0</v>
      </c>
      <c r="G140" t="s">
        <v>293</v>
      </c>
      <c r="H140">
        <v>2979</v>
      </c>
      <c r="I140">
        <v>225027.71</v>
      </c>
      <c r="J140">
        <v>1</v>
      </c>
      <c r="K140">
        <v>0</v>
      </c>
      <c r="L140">
        <v>12</v>
      </c>
      <c r="M140">
        <v>0</v>
      </c>
      <c r="N140">
        <v>0</v>
      </c>
      <c r="O140">
        <v>0</v>
      </c>
      <c r="P140">
        <v>5</v>
      </c>
      <c r="Q140">
        <v>4</v>
      </c>
      <c r="R140">
        <v>3.7</v>
      </c>
      <c r="S140" t="s">
        <v>2310</v>
      </c>
      <c r="V140">
        <f t="shared" si="6"/>
        <v>-222048.71</v>
      </c>
      <c r="W140">
        <f t="shared" si="7"/>
        <v>222048.71</v>
      </c>
      <c r="X140" t="str">
        <f t="shared" si="8"/>
        <v>BREAK</v>
      </c>
    </row>
    <row r="141" spans="1:24" x14ac:dyDescent="0.3">
      <c r="A141">
        <v>12</v>
      </c>
      <c r="B141" t="s">
        <v>15</v>
      </c>
      <c r="C141">
        <v>8677</v>
      </c>
      <c r="D141" t="s">
        <v>294</v>
      </c>
      <c r="E141">
        <v>8677</v>
      </c>
      <c r="F141">
        <v>0</v>
      </c>
      <c r="G141" t="s">
        <v>295</v>
      </c>
      <c r="H141">
        <v>0</v>
      </c>
      <c r="I141">
        <v>0</v>
      </c>
      <c r="J141">
        <v>1</v>
      </c>
      <c r="K141">
        <v>0</v>
      </c>
      <c r="L141">
        <v>12</v>
      </c>
      <c r="M141">
        <v>0</v>
      </c>
      <c r="N141">
        <v>1</v>
      </c>
      <c r="O141">
        <v>8677</v>
      </c>
      <c r="P141">
        <v>1</v>
      </c>
      <c r="Q141">
        <v>5</v>
      </c>
      <c r="R141">
        <v>2.1</v>
      </c>
      <c r="S141" t="s">
        <v>2312</v>
      </c>
      <c r="V141">
        <f t="shared" si="6"/>
        <v>0</v>
      </c>
      <c r="W141">
        <f t="shared" si="7"/>
        <v>0</v>
      </c>
      <c r="X141" t="str">
        <f t="shared" si="8"/>
        <v>MATCH</v>
      </c>
    </row>
    <row r="142" spans="1:24" x14ac:dyDescent="0.3">
      <c r="A142">
        <v>12</v>
      </c>
      <c r="B142" t="s">
        <v>18</v>
      </c>
      <c r="C142">
        <v>8677</v>
      </c>
      <c r="D142" t="s">
        <v>296</v>
      </c>
      <c r="E142">
        <v>8677</v>
      </c>
      <c r="F142">
        <v>0</v>
      </c>
      <c r="G142" t="s">
        <v>297</v>
      </c>
      <c r="H142">
        <v>225127.62</v>
      </c>
      <c r="I142">
        <v>233804.62</v>
      </c>
      <c r="J142">
        <v>1</v>
      </c>
      <c r="K142">
        <v>0</v>
      </c>
      <c r="L142">
        <v>12</v>
      </c>
      <c r="M142">
        <v>0</v>
      </c>
      <c r="N142">
        <v>1</v>
      </c>
      <c r="O142">
        <v>8677</v>
      </c>
      <c r="P142">
        <v>1</v>
      </c>
      <c r="Q142">
        <v>4</v>
      </c>
      <c r="R142">
        <v>1.8</v>
      </c>
      <c r="S142" t="s">
        <v>2311</v>
      </c>
      <c r="V142">
        <f t="shared" si="6"/>
        <v>0</v>
      </c>
      <c r="W142">
        <f t="shared" si="7"/>
        <v>0</v>
      </c>
      <c r="X142" t="str">
        <f t="shared" si="8"/>
        <v>MATCH</v>
      </c>
    </row>
    <row r="143" spans="1:24" x14ac:dyDescent="0.3">
      <c r="A143">
        <v>13</v>
      </c>
      <c r="B143" t="s">
        <v>15</v>
      </c>
      <c r="C143">
        <v>408</v>
      </c>
      <c r="D143" t="s">
        <v>298</v>
      </c>
      <c r="E143">
        <v>408</v>
      </c>
      <c r="F143">
        <v>0</v>
      </c>
      <c r="G143" t="s">
        <v>299</v>
      </c>
      <c r="H143">
        <v>0</v>
      </c>
      <c r="I143">
        <v>226013.18</v>
      </c>
      <c r="J143">
        <v>1</v>
      </c>
      <c r="K143">
        <v>0</v>
      </c>
      <c r="L143">
        <v>13</v>
      </c>
      <c r="M143">
        <v>0</v>
      </c>
      <c r="N143">
        <v>1</v>
      </c>
      <c r="O143">
        <v>408</v>
      </c>
      <c r="P143">
        <v>1</v>
      </c>
      <c r="Q143">
        <v>5</v>
      </c>
      <c r="R143">
        <v>2.1</v>
      </c>
      <c r="S143" t="s">
        <v>2312</v>
      </c>
      <c r="V143">
        <f t="shared" si="6"/>
        <v>0</v>
      </c>
      <c r="W143">
        <f t="shared" si="7"/>
        <v>0</v>
      </c>
      <c r="X143" t="str">
        <f t="shared" si="8"/>
        <v>MATCH</v>
      </c>
    </row>
    <row r="144" spans="1:24" x14ac:dyDescent="0.3">
      <c r="A144">
        <v>13</v>
      </c>
      <c r="B144" t="s">
        <v>18</v>
      </c>
      <c r="C144">
        <v>408</v>
      </c>
      <c r="D144" t="s">
        <v>300</v>
      </c>
      <c r="E144">
        <v>408</v>
      </c>
      <c r="F144">
        <v>0</v>
      </c>
      <c r="G144" t="s">
        <v>301</v>
      </c>
      <c r="H144">
        <v>898297.85</v>
      </c>
      <c r="I144">
        <v>1075854.1399999999</v>
      </c>
      <c r="J144">
        <v>1</v>
      </c>
      <c r="K144">
        <v>0</v>
      </c>
      <c r="L144">
        <v>13</v>
      </c>
      <c r="M144">
        <v>0</v>
      </c>
      <c r="N144">
        <v>1</v>
      </c>
      <c r="O144">
        <v>408</v>
      </c>
      <c r="P144">
        <v>1</v>
      </c>
      <c r="Q144">
        <v>4</v>
      </c>
      <c r="R144">
        <v>1.8</v>
      </c>
      <c r="S144" t="s">
        <v>2311</v>
      </c>
      <c r="V144">
        <f t="shared" si="6"/>
        <v>0</v>
      </c>
      <c r="W144">
        <f t="shared" si="7"/>
        <v>0</v>
      </c>
      <c r="X144" t="str">
        <f t="shared" si="8"/>
        <v>MATCH</v>
      </c>
    </row>
    <row r="145" spans="1:24" x14ac:dyDescent="0.3">
      <c r="A145">
        <v>13</v>
      </c>
      <c r="B145" t="s">
        <v>15</v>
      </c>
      <c r="C145">
        <v>48375.02</v>
      </c>
      <c r="D145" t="s">
        <v>302</v>
      </c>
      <c r="E145">
        <v>48375.02</v>
      </c>
      <c r="F145">
        <v>0</v>
      </c>
      <c r="G145" t="s">
        <v>303</v>
      </c>
      <c r="H145">
        <v>0</v>
      </c>
      <c r="I145">
        <v>0</v>
      </c>
      <c r="J145">
        <v>1</v>
      </c>
      <c r="K145">
        <v>0</v>
      </c>
      <c r="L145">
        <v>13</v>
      </c>
      <c r="M145">
        <v>0</v>
      </c>
      <c r="N145">
        <v>1</v>
      </c>
      <c r="O145">
        <v>48375.02</v>
      </c>
      <c r="P145">
        <v>2</v>
      </c>
      <c r="Q145">
        <v>5</v>
      </c>
      <c r="R145">
        <v>2.6</v>
      </c>
      <c r="S145" t="s">
        <v>2312</v>
      </c>
      <c r="V145">
        <f t="shared" si="6"/>
        <v>0</v>
      </c>
      <c r="W145">
        <f t="shared" si="7"/>
        <v>0</v>
      </c>
      <c r="X145" t="str">
        <f t="shared" si="8"/>
        <v>MATCH</v>
      </c>
    </row>
    <row r="146" spans="1:24" x14ac:dyDescent="0.3">
      <c r="A146">
        <v>13</v>
      </c>
      <c r="B146" t="s">
        <v>18</v>
      </c>
      <c r="C146">
        <v>48375.02</v>
      </c>
      <c r="D146" t="s">
        <v>304</v>
      </c>
      <c r="E146">
        <v>48375.02</v>
      </c>
      <c r="F146">
        <v>0</v>
      </c>
      <c r="G146" t="s">
        <v>305</v>
      </c>
      <c r="H146">
        <v>374803.26</v>
      </c>
      <c r="I146">
        <v>658520.32999999996</v>
      </c>
      <c r="J146">
        <v>1</v>
      </c>
      <c r="K146">
        <v>0</v>
      </c>
      <c r="L146">
        <v>13</v>
      </c>
      <c r="M146">
        <v>0</v>
      </c>
      <c r="N146">
        <v>1</v>
      </c>
      <c r="O146">
        <v>48375.02</v>
      </c>
      <c r="P146">
        <v>2</v>
      </c>
      <c r="Q146">
        <v>4</v>
      </c>
      <c r="R146">
        <v>2.3000000000000003</v>
      </c>
      <c r="S146" t="s">
        <v>2312</v>
      </c>
      <c r="V146">
        <f t="shared" si="6"/>
        <v>0</v>
      </c>
      <c r="W146">
        <f t="shared" si="7"/>
        <v>0</v>
      </c>
      <c r="X146" t="str">
        <f t="shared" si="8"/>
        <v>MATCH</v>
      </c>
    </row>
    <row r="147" spans="1:24" x14ac:dyDescent="0.3">
      <c r="A147">
        <v>13</v>
      </c>
      <c r="B147" t="s">
        <v>15</v>
      </c>
      <c r="C147">
        <v>4022667.54</v>
      </c>
      <c r="D147" t="s">
        <v>306</v>
      </c>
      <c r="E147">
        <v>4022667.54</v>
      </c>
      <c r="F147">
        <v>0</v>
      </c>
      <c r="G147" t="s">
        <v>307</v>
      </c>
      <c r="H147">
        <v>0</v>
      </c>
      <c r="I147">
        <v>0</v>
      </c>
      <c r="J147">
        <v>1</v>
      </c>
      <c r="K147">
        <v>0</v>
      </c>
      <c r="L147">
        <v>13</v>
      </c>
      <c r="M147">
        <v>0</v>
      </c>
      <c r="N147">
        <v>1</v>
      </c>
      <c r="O147">
        <v>4022667.54</v>
      </c>
      <c r="P147">
        <v>5</v>
      </c>
      <c r="Q147">
        <v>5</v>
      </c>
      <c r="R147">
        <v>4.0999999999999996</v>
      </c>
      <c r="S147" t="s">
        <v>2310</v>
      </c>
      <c r="V147">
        <f t="shared" si="6"/>
        <v>0</v>
      </c>
      <c r="W147">
        <f t="shared" si="7"/>
        <v>0</v>
      </c>
      <c r="X147" t="str">
        <f t="shared" si="8"/>
        <v>MATCH</v>
      </c>
    </row>
    <row r="148" spans="1:24" x14ac:dyDescent="0.3">
      <c r="A148">
        <v>13</v>
      </c>
      <c r="B148" t="s">
        <v>18</v>
      </c>
      <c r="C148">
        <v>4022667.54</v>
      </c>
      <c r="D148" t="s">
        <v>308</v>
      </c>
      <c r="E148">
        <v>4022667.54</v>
      </c>
      <c r="F148">
        <v>0</v>
      </c>
      <c r="G148" t="s">
        <v>309</v>
      </c>
      <c r="H148">
        <v>80136.56</v>
      </c>
      <c r="I148">
        <v>4057191.21</v>
      </c>
      <c r="J148">
        <v>1</v>
      </c>
      <c r="K148">
        <v>0</v>
      </c>
      <c r="L148">
        <v>13</v>
      </c>
      <c r="M148">
        <v>0</v>
      </c>
      <c r="N148">
        <v>1</v>
      </c>
      <c r="O148">
        <v>4022667.54</v>
      </c>
      <c r="P148">
        <v>5</v>
      </c>
      <c r="Q148">
        <v>4</v>
      </c>
      <c r="R148">
        <v>3.8000000000000003</v>
      </c>
      <c r="S148" t="s">
        <v>2310</v>
      </c>
      <c r="V148">
        <f t="shared" si="6"/>
        <v>0</v>
      </c>
      <c r="W148">
        <f t="shared" si="7"/>
        <v>0</v>
      </c>
      <c r="X148" t="str">
        <f t="shared" si="8"/>
        <v>MATCH</v>
      </c>
    </row>
    <row r="149" spans="1:24" x14ac:dyDescent="0.3">
      <c r="A149">
        <v>13</v>
      </c>
      <c r="B149" t="s">
        <v>18</v>
      </c>
      <c r="C149">
        <v>454859.39</v>
      </c>
      <c r="D149" t="s">
        <v>310</v>
      </c>
      <c r="E149">
        <v>0</v>
      </c>
      <c r="F149">
        <v>0</v>
      </c>
      <c r="G149" t="s">
        <v>311</v>
      </c>
      <c r="H149">
        <v>0</v>
      </c>
      <c r="I149">
        <v>454859.39</v>
      </c>
      <c r="J149">
        <v>1</v>
      </c>
      <c r="K149">
        <v>0</v>
      </c>
      <c r="L149">
        <v>13</v>
      </c>
      <c r="M149">
        <v>0</v>
      </c>
      <c r="N149">
        <v>0</v>
      </c>
      <c r="O149">
        <v>0</v>
      </c>
      <c r="P149">
        <v>5</v>
      </c>
      <c r="Q149">
        <v>4</v>
      </c>
      <c r="R149">
        <v>3.7</v>
      </c>
      <c r="S149" t="s">
        <v>2310</v>
      </c>
      <c r="V149">
        <f t="shared" si="6"/>
        <v>-454859.39</v>
      </c>
      <c r="W149">
        <f t="shared" si="7"/>
        <v>454859.39</v>
      </c>
      <c r="X149" t="str">
        <f t="shared" si="8"/>
        <v>BREAK</v>
      </c>
    </row>
    <row r="150" spans="1:24" x14ac:dyDescent="0.3">
      <c r="A150">
        <v>13</v>
      </c>
      <c r="B150" t="s">
        <v>15</v>
      </c>
      <c r="C150">
        <v>1161495.82</v>
      </c>
      <c r="D150" t="s">
        <v>312</v>
      </c>
      <c r="E150">
        <v>1161495.82</v>
      </c>
      <c r="F150">
        <v>0</v>
      </c>
      <c r="G150" t="s">
        <v>313</v>
      </c>
      <c r="H150">
        <v>0</v>
      </c>
      <c r="I150">
        <v>0</v>
      </c>
      <c r="J150">
        <v>1</v>
      </c>
      <c r="K150">
        <v>0</v>
      </c>
      <c r="L150">
        <v>13</v>
      </c>
      <c r="M150">
        <v>0</v>
      </c>
      <c r="N150">
        <v>1</v>
      </c>
      <c r="O150">
        <v>1161495.82</v>
      </c>
      <c r="P150">
        <v>5</v>
      </c>
      <c r="Q150">
        <v>5</v>
      </c>
      <c r="R150">
        <v>4.0999999999999996</v>
      </c>
      <c r="S150" t="s">
        <v>2310</v>
      </c>
      <c r="V150">
        <f t="shared" si="6"/>
        <v>0</v>
      </c>
      <c r="W150">
        <f t="shared" si="7"/>
        <v>0</v>
      </c>
      <c r="X150" t="str">
        <f t="shared" si="8"/>
        <v>MATCH</v>
      </c>
    </row>
    <row r="151" spans="1:24" x14ac:dyDescent="0.3">
      <c r="A151">
        <v>13</v>
      </c>
      <c r="B151" t="s">
        <v>18</v>
      </c>
      <c r="C151">
        <v>1161495.82</v>
      </c>
      <c r="D151" t="s">
        <v>314</v>
      </c>
      <c r="E151">
        <v>1161495.82</v>
      </c>
      <c r="F151">
        <v>0</v>
      </c>
      <c r="G151" t="s">
        <v>315</v>
      </c>
      <c r="H151">
        <v>319036.02</v>
      </c>
      <c r="I151">
        <v>1565123.81</v>
      </c>
      <c r="J151">
        <v>1</v>
      </c>
      <c r="K151">
        <v>0</v>
      </c>
      <c r="L151">
        <v>13</v>
      </c>
      <c r="M151">
        <v>0</v>
      </c>
      <c r="N151">
        <v>1</v>
      </c>
      <c r="O151">
        <v>1161495.82</v>
      </c>
      <c r="P151">
        <v>5</v>
      </c>
      <c r="Q151">
        <v>4</v>
      </c>
      <c r="R151">
        <v>3.8000000000000003</v>
      </c>
      <c r="S151" t="s">
        <v>2310</v>
      </c>
      <c r="V151">
        <f t="shared" si="6"/>
        <v>0</v>
      </c>
      <c r="W151">
        <f t="shared" si="7"/>
        <v>0</v>
      </c>
      <c r="X151" t="str">
        <f t="shared" si="8"/>
        <v>MATCH</v>
      </c>
    </row>
    <row r="152" spans="1:24" x14ac:dyDescent="0.3">
      <c r="A152">
        <v>13</v>
      </c>
      <c r="B152" t="s">
        <v>15</v>
      </c>
      <c r="C152">
        <v>2686564.04</v>
      </c>
      <c r="D152" t="s">
        <v>316</v>
      </c>
      <c r="E152">
        <v>2686564.04</v>
      </c>
      <c r="F152">
        <v>0</v>
      </c>
      <c r="G152" t="s">
        <v>317</v>
      </c>
      <c r="H152">
        <v>0</v>
      </c>
      <c r="I152">
        <v>0</v>
      </c>
      <c r="J152">
        <v>1</v>
      </c>
      <c r="K152">
        <v>0</v>
      </c>
      <c r="L152">
        <v>13</v>
      </c>
      <c r="M152">
        <v>0</v>
      </c>
      <c r="N152">
        <v>1</v>
      </c>
      <c r="O152">
        <v>2686564.04</v>
      </c>
      <c r="P152">
        <v>5</v>
      </c>
      <c r="Q152">
        <v>5</v>
      </c>
      <c r="R152">
        <v>4.0999999999999996</v>
      </c>
      <c r="S152" t="s">
        <v>2310</v>
      </c>
      <c r="V152">
        <f t="shared" si="6"/>
        <v>0</v>
      </c>
      <c r="W152">
        <f t="shared" si="7"/>
        <v>0</v>
      </c>
      <c r="X152" t="str">
        <f t="shared" si="8"/>
        <v>MATCH</v>
      </c>
    </row>
    <row r="153" spans="1:24" x14ac:dyDescent="0.3">
      <c r="A153">
        <v>13</v>
      </c>
      <c r="B153" t="s">
        <v>18</v>
      </c>
      <c r="C153">
        <v>2686564.04</v>
      </c>
      <c r="D153" t="s">
        <v>318</v>
      </c>
      <c r="E153">
        <v>2686564.04</v>
      </c>
      <c r="F153">
        <v>0</v>
      </c>
      <c r="G153" t="s">
        <v>319</v>
      </c>
      <c r="H153">
        <v>438199.37</v>
      </c>
      <c r="I153">
        <v>3124763.41</v>
      </c>
      <c r="J153">
        <v>1</v>
      </c>
      <c r="K153">
        <v>0</v>
      </c>
      <c r="L153">
        <v>13</v>
      </c>
      <c r="M153">
        <v>0</v>
      </c>
      <c r="N153">
        <v>1</v>
      </c>
      <c r="O153">
        <v>2686564.04</v>
      </c>
      <c r="P153">
        <v>5</v>
      </c>
      <c r="Q153">
        <v>4</v>
      </c>
      <c r="R153">
        <v>3.8000000000000003</v>
      </c>
      <c r="S153" t="s">
        <v>2310</v>
      </c>
      <c r="V153">
        <f t="shared" si="6"/>
        <v>0</v>
      </c>
      <c r="W153">
        <f t="shared" si="7"/>
        <v>0</v>
      </c>
      <c r="X153" t="str">
        <f t="shared" si="8"/>
        <v>MATCH</v>
      </c>
    </row>
    <row r="154" spans="1:24" x14ac:dyDescent="0.3">
      <c r="A154">
        <v>13</v>
      </c>
      <c r="B154" t="s">
        <v>15</v>
      </c>
      <c r="C154">
        <v>6188514.8099999996</v>
      </c>
      <c r="D154" t="s">
        <v>320</v>
      </c>
      <c r="E154">
        <v>6188514.8099999996</v>
      </c>
      <c r="F154">
        <v>0</v>
      </c>
      <c r="G154" t="s">
        <v>321</v>
      </c>
      <c r="H154">
        <v>0</v>
      </c>
      <c r="I154">
        <v>0</v>
      </c>
      <c r="J154">
        <v>1</v>
      </c>
      <c r="K154">
        <v>0</v>
      </c>
      <c r="L154">
        <v>13</v>
      </c>
      <c r="M154">
        <v>0</v>
      </c>
      <c r="N154">
        <v>1</v>
      </c>
      <c r="O154">
        <v>6188514.8099999996</v>
      </c>
      <c r="P154">
        <v>5</v>
      </c>
      <c r="Q154">
        <v>5</v>
      </c>
      <c r="R154">
        <v>4.0999999999999996</v>
      </c>
      <c r="S154" t="s">
        <v>2310</v>
      </c>
      <c r="V154">
        <f t="shared" si="6"/>
        <v>0</v>
      </c>
      <c r="W154">
        <f t="shared" si="7"/>
        <v>0</v>
      </c>
      <c r="X154" t="str">
        <f t="shared" si="8"/>
        <v>MATCH</v>
      </c>
    </row>
    <row r="155" spans="1:24" x14ac:dyDescent="0.3">
      <c r="A155">
        <v>13</v>
      </c>
      <c r="B155" t="s">
        <v>18</v>
      </c>
      <c r="C155">
        <v>6188514.8099999996</v>
      </c>
      <c r="D155" t="s">
        <v>322</v>
      </c>
      <c r="E155">
        <v>6188514.8099999996</v>
      </c>
      <c r="F155">
        <v>0</v>
      </c>
      <c r="G155" t="s">
        <v>323</v>
      </c>
      <c r="H155">
        <v>381607.21</v>
      </c>
      <c r="I155">
        <v>6424681.5599999996</v>
      </c>
      <c r="J155">
        <v>1</v>
      </c>
      <c r="K155">
        <v>0</v>
      </c>
      <c r="L155">
        <v>13</v>
      </c>
      <c r="M155">
        <v>0</v>
      </c>
      <c r="N155">
        <v>1</v>
      </c>
      <c r="O155">
        <v>6188514.8099999996</v>
      </c>
      <c r="P155">
        <v>5</v>
      </c>
      <c r="Q155">
        <v>4</v>
      </c>
      <c r="R155">
        <v>3.8000000000000003</v>
      </c>
      <c r="S155" t="s">
        <v>2310</v>
      </c>
      <c r="V155">
        <f t="shared" si="6"/>
        <v>0</v>
      </c>
      <c r="W155">
        <f t="shared" si="7"/>
        <v>0</v>
      </c>
      <c r="X155" t="str">
        <f t="shared" si="8"/>
        <v>MATCH</v>
      </c>
    </row>
    <row r="156" spans="1:24" x14ac:dyDescent="0.3">
      <c r="A156">
        <v>13</v>
      </c>
      <c r="B156" t="s">
        <v>15</v>
      </c>
      <c r="C156">
        <v>123194.95</v>
      </c>
      <c r="D156" t="s">
        <v>324</v>
      </c>
      <c r="E156">
        <v>79466.45</v>
      </c>
      <c r="F156">
        <v>0</v>
      </c>
      <c r="G156" t="s">
        <v>325</v>
      </c>
      <c r="H156">
        <v>535933.16</v>
      </c>
      <c r="I156">
        <v>263908.84000000003</v>
      </c>
      <c r="J156">
        <v>1</v>
      </c>
      <c r="K156">
        <v>0</v>
      </c>
      <c r="L156">
        <v>13</v>
      </c>
      <c r="M156">
        <v>0</v>
      </c>
      <c r="N156">
        <v>1</v>
      </c>
      <c r="O156">
        <v>79466.45</v>
      </c>
      <c r="P156">
        <v>4</v>
      </c>
      <c r="Q156">
        <v>5</v>
      </c>
      <c r="R156">
        <v>3.6</v>
      </c>
      <c r="S156" t="s">
        <v>2310</v>
      </c>
      <c r="V156">
        <f t="shared" si="6"/>
        <v>-43728.5</v>
      </c>
      <c r="W156">
        <f t="shared" si="7"/>
        <v>43728.5</v>
      </c>
      <c r="X156" t="str">
        <f t="shared" si="8"/>
        <v>BREAK</v>
      </c>
    </row>
    <row r="157" spans="1:24" x14ac:dyDescent="0.3">
      <c r="A157">
        <v>14</v>
      </c>
      <c r="B157" t="s">
        <v>15</v>
      </c>
      <c r="C157">
        <v>2093951.47</v>
      </c>
      <c r="D157" t="s">
        <v>326</v>
      </c>
      <c r="E157">
        <v>2093951.47</v>
      </c>
      <c r="F157">
        <v>0</v>
      </c>
      <c r="G157" t="s">
        <v>327</v>
      </c>
      <c r="H157">
        <v>0</v>
      </c>
      <c r="I157">
        <v>0</v>
      </c>
      <c r="J157">
        <v>1</v>
      </c>
      <c r="K157">
        <v>0</v>
      </c>
      <c r="L157">
        <v>14</v>
      </c>
      <c r="M157">
        <v>0</v>
      </c>
      <c r="N157">
        <v>1</v>
      </c>
      <c r="O157">
        <v>2093951.47</v>
      </c>
      <c r="P157">
        <v>5</v>
      </c>
      <c r="Q157">
        <v>5</v>
      </c>
      <c r="R157">
        <v>4.0999999999999996</v>
      </c>
      <c r="S157" t="s">
        <v>2310</v>
      </c>
      <c r="V157">
        <f t="shared" si="6"/>
        <v>0</v>
      </c>
      <c r="W157">
        <f t="shared" si="7"/>
        <v>0</v>
      </c>
      <c r="X157" t="str">
        <f t="shared" si="8"/>
        <v>MATCH</v>
      </c>
    </row>
    <row r="158" spans="1:24" x14ac:dyDescent="0.3">
      <c r="A158">
        <v>14</v>
      </c>
      <c r="B158" t="s">
        <v>18</v>
      </c>
      <c r="C158">
        <v>2093951.47</v>
      </c>
      <c r="D158" t="s">
        <v>328</v>
      </c>
      <c r="E158">
        <v>2093951.47</v>
      </c>
      <c r="F158">
        <v>0</v>
      </c>
      <c r="G158" t="s">
        <v>329</v>
      </c>
      <c r="H158">
        <v>0</v>
      </c>
      <c r="I158">
        <v>2093951.47</v>
      </c>
      <c r="J158">
        <v>1</v>
      </c>
      <c r="K158">
        <v>0</v>
      </c>
      <c r="L158">
        <v>14</v>
      </c>
      <c r="M158">
        <v>0</v>
      </c>
      <c r="N158">
        <v>1</v>
      </c>
      <c r="O158">
        <v>2093951.47</v>
      </c>
      <c r="P158">
        <v>5</v>
      </c>
      <c r="Q158">
        <v>4</v>
      </c>
      <c r="R158">
        <v>3.8000000000000003</v>
      </c>
      <c r="S158" t="s">
        <v>2310</v>
      </c>
      <c r="V158">
        <f t="shared" si="6"/>
        <v>0</v>
      </c>
      <c r="W158">
        <f t="shared" si="7"/>
        <v>0</v>
      </c>
      <c r="X158" t="str">
        <f t="shared" si="8"/>
        <v>MATCH</v>
      </c>
    </row>
    <row r="159" spans="1:24" x14ac:dyDescent="0.3">
      <c r="A159">
        <v>14</v>
      </c>
      <c r="B159" t="s">
        <v>15</v>
      </c>
      <c r="C159">
        <v>143032</v>
      </c>
      <c r="D159" t="s">
        <v>330</v>
      </c>
      <c r="E159">
        <v>143032</v>
      </c>
      <c r="F159">
        <v>0</v>
      </c>
      <c r="G159" t="s">
        <v>331</v>
      </c>
      <c r="H159">
        <v>0</v>
      </c>
      <c r="I159">
        <v>0</v>
      </c>
      <c r="J159">
        <v>1</v>
      </c>
      <c r="K159">
        <v>0</v>
      </c>
      <c r="L159">
        <v>14</v>
      </c>
      <c r="M159">
        <v>0</v>
      </c>
      <c r="N159">
        <v>1</v>
      </c>
      <c r="O159">
        <v>143032</v>
      </c>
      <c r="P159">
        <v>4</v>
      </c>
      <c r="Q159">
        <v>5</v>
      </c>
      <c r="R159">
        <v>3.6</v>
      </c>
      <c r="S159" t="s">
        <v>2310</v>
      </c>
      <c r="V159">
        <f t="shared" si="6"/>
        <v>0</v>
      </c>
      <c r="W159">
        <f t="shared" si="7"/>
        <v>0</v>
      </c>
      <c r="X159" t="str">
        <f t="shared" si="8"/>
        <v>MATCH</v>
      </c>
    </row>
    <row r="160" spans="1:24" x14ac:dyDescent="0.3">
      <c r="A160">
        <v>14</v>
      </c>
      <c r="B160" t="s">
        <v>18</v>
      </c>
      <c r="C160">
        <v>143032</v>
      </c>
      <c r="D160" t="s">
        <v>332</v>
      </c>
      <c r="E160">
        <v>143032</v>
      </c>
      <c r="F160">
        <v>0</v>
      </c>
      <c r="G160" t="s">
        <v>333</v>
      </c>
      <c r="H160">
        <v>814654.61</v>
      </c>
      <c r="I160">
        <v>1020323.73</v>
      </c>
      <c r="J160">
        <v>1</v>
      </c>
      <c r="K160">
        <v>0</v>
      </c>
      <c r="L160">
        <v>14</v>
      </c>
      <c r="M160">
        <v>0</v>
      </c>
      <c r="N160">
        <v>1</v>
      </c>
      <c r="O160">
        <v>143032</v>
      </c>
      <c r="P160">
        <v>4</v>
      </c>
      <c r="Q160">
        <v>4</v>
      </c>
      <c r="R160">
        <v>3.3000000000000003</v>
      </c>
      <c r="S160" t="s">
        <v>2310</v>
      </c>
      <c r="V160">
        <f t="shared" si="6"/>
        <v>0</v>
      </c>
      <c r="W160">
        <f t="shared" si="7"/>
        <v>0</v>
      </c>
      <c r="X160" t="str">
        <f t="shared" si="8"/>
        <v>MATCH</v>
      </c>
    </row>
    <row r="161" spans="1:24" x14ac:dyDescent="0.3">
      <c r="A161">
        <v>14</v>
      </c>
      <c r="B161" t="s">
        <v>15</v>
      </c>
      <c r="C161">
        <v>2927005.15</v>
      </c>
      <c r="D161" t="s">
        <v>334</v>
      </c>
      <c r="E161">
        <v>2927005.15</v>
      </c>
      <c r="F161">
        <v>0</v>
      </c>
      <c r="G161" t="s">
        <v>335</v>
      </c>
      <c r="H161">
        <v>0</v>
      </c>
      <c r="I161">
        <v>0</v>
      </c>
      <c r="J161">
        <v>1</v>
      </c>
      <c r="K161">
        <v>0</v>
      </c>
      <c r="L161">
        <v>14</v>
      </c>
      <c r="M161">
        <v>0</v>
      </c>
      <c r="N161">
        <v>1</v>
      </c>
      <c r="O161">
        <v>2927005.15</v>
      </c>
      <c r="P161">
        <v>5</v>
      </c>
      <c r="Q161">
        <v>5</v>
      </c>
      <c r="R161">
        <v>4.0999999999999996</v>
      </c>
      <c r="S161" t="s">
        <v>2310</v>
      </c>
      <c r="V161">
        <f t="shared" si="6"/>
        <v>0</v>
      </c>
      <c r="W161">
        <f t="shared" si="7"/>
        <v>0</v>
      </c>
      <c r="X161" t="str">
        <f t="shared" si="8"/>
        <v>MATCH</v>
      </c>
    </row>
    <row r="162" spans="1:24" x14ac:dyDescent="0.3">
      <c r="A162">
        <v>14</v>
      </c>
      <c r="B162" t="s">
        <v>18</v>
      </c>
      <c r="C162">
        <v>2927005.15</v>
      </c>
      <c r="D162" t="s">
        <v>336</v>
      </c>
      <c r="E162">
        <v>2927005.15</v>
      </c>
      <c r="F162">
        <v>0</v>
      </c>
      <c r="G162" t="s">
        <v>337</v>
      </c>
      <c r="H162">
        <v>0</v>
      </c>
      <c r="I162">
        <v>2994420.07</v>
      </c>
      <c r="J162">
        <v>1</v>
      </c>
      <c r="K162">
        <v>0</v>
      </c>
      <c r="L162">
        <v>14</v>
      </c>
      <c r="M162">
        <v>0</v>
      </c>
      <c r="N162">
        <v>1</v>
      </c>
      <c r="O162">
        <v>2927005.15</v>
      </c>
      <c r="P162">
        <v>5</v>
      </c>
      <c r="Q162">
        <v>4</v>
      </c>
      <c r="R162">
        <v>3.8000000000000003</v>
      </c>
      <c r="S162" t="s">
        <v>2310</v>
      </c>
      <c r="V162">
        <f t="shared" si="6"/>
        <v>0</v>
      </c>
      <c r="W162">
        <f t="shared" si="7"/>
        <v>0</v>
      </c>
      <c r="X162" t="str">
        <f t="shared" si="8"/>
        <v>MATCH</v>
      </c>
    </row>
    <row r="163" spans="1:24" x14ac:dyDescent="0.3">
      <c r="A163">
        <v>14</v>
      </c>
      <c r="B163" t="s">
        <v>15</v>
      </c>
      <c r="C163">
        <v>1832319.42</v>
      </c>
      <c r="D163" t="s">
        <v>338</v>
      </c>
      <c r="E163">
        <v>1832319.42</v>
      </c>
      <c r="F163">
        <v>0</v>
      </c>
      <c r="G163" t="s">
        <v>339</v>
      </c>
      <c r="H163">
        <v>0</v>
      </c>
      <c r="I163">
        <v>0</v>
      </c>
      <c r="J163">
        <v>1</v>
      </c>
      <c r="K163">
        <v>0</v>
      </c>
      <c r="L163">
        <v>14</v>
      </c>
      <c r="M163">
        <v>0</v>
      </c>
      <c r="N163">
        <v>1</v>
      </c>
      <c r="O163">
        <v>1832319.42</v>
      </c>
      <c r="P163">
        <v>5</v>
      </c>
      <c r="Q163">
        <v>5</v>
      </c>
      <c r="R163">
        <v>4.0999999999999996</v>
      </c>
      <c r="S163" t="s">
        <v>2310</v>
      </c>
      <c r="V163">
        <f t="shared" si="6"/>
        <v>0</v>
      </c>
      <c r="W163">
        <f t="shared" si="7"/>
        <v>0</v>
      </c>
      <c r="X163" t="str">
        <f t="shared" si="8"/>
        <v>MATCH</v>
      </c>
    </row>
    <row r="164" spans="1:24" x14ac:dyDescent="0.3">
      <c r="A164">
        <v>14</v>
      </c>
      <c r="B164" t="s">
        <v>18</v>
      </c>
      <c r="C164">
        <v>1832319.42</v>
      </c>
      <c r="D164" t="s">
        <v>340</v>
      </c>
      <c r="E164">
        <v>1832319.42</v>
      </c>
      <c r="F164">
        <v>0</v>
      </c>
      <c r="G164" t="s">
        <v>341</v>
      </c>
      <c r="H164">
        <v>43962.42</v>
      </c>
      <c r="I164">
        <v>2440139.69</v>
      </c>
      <c r="J164">
        <v>1</v>
      </c>
      <c r="K164">
        <v>0</v>
      </c>
      <c r="L164">
        <v>14</v>
      </c>
      <c r="M164">
        <v>0</v>
      </c>
      <c r="N164">
        <v>1</v>
      </c>
      <c r="O164">
        <v>1832319.42</v>
      </c>
      <c r="P164">
        <v>5</v>
      </c>
      <c r="Q164">
        <v>4</v>
      </c>
      <c r="R164">
        <v>3.8000000000000003</v>
      </c>
      <c r="S164" t="s">
        <v>2310</v>
      </c>
      <c r="V164">
        <f t="shared" si="6"/>
        <v>0</v>
      </c>
      <c r="W164">
        <f t="shared" si="7"/>
        <v>0</v>
      </c>
      <c r="X164" t="str">
        <f t="shared" si="8"/>
        <v>MATCH</v>
      </c>
    </row>
    <row r="165" spans="1:24" x14ac:dyDescent="0.3">
      <c r="A165">
        <v>14</v>
      </c>
      <c r="B165" t="s">
        <v>15</v>
      </c>
      <c r="C165">
        <v>1561891.66</v>
      </c>
      <c r="D165" t="s">
        <v>342</v>
      </c>
      <c r="E165">
        <v>1561891.66</v>
      </c>
      <c r="F165">
        <v>0</v>
      </c>
      <c r="G165" t="s">
        <v>343</v>
      </c>
      <c r="H165">
        <v>0</v>
      </c>
      <c r="I165">
        <v>0</v>
      </c>
      <c r="J165">
        <v>1</v>
      </c>
      <c r="K165">
        <v>0</v>
      </c>
      <c r="L165">
        <v>14</v>
      </c>
      <c r="M165">
        <v>0</v>
      </c>
      <c r="N165">
        <v>1</v>
      </c>
      <c r="O165">
        <v>1561891.66</v>
      </c>
      <c r="P165">
        <v>5</v>
      </c>
      <c r="Q165">
        <v>5</v>
      </c>
      <c r="R165">
        <v>4.0999999999999996</v>
      </c>
      <c r="S165" t="s">
        <v>2310</v>
      </c>
      <c r="V165">
        <f t="shared" si="6"/>
        <v>0</v>
      </c>
      <c r="W165">
        <f t="shared" si="7"/>
        <v>0</v>
      </c>
      <c r="X165" t="str">
        <f t="shared" si="8"/>
        <v>MATCH</v>
      </c>
    </row>
    <row r="166" spans="1:24" x14ac:dyDescent="0.3">
      <c r="A166">
        <v>14</v>
      </c>
      <c r="B166" t="s">
        <v>18</v>
      </c>
      <c r="C166">
        <v>1561891.66</v>
      </c>
      <c r="D166" t="s">
        <v>344</v>
      </c>
      <c r="E166">
        <v>1561891.66</v>
      </c>
      <c r="F166">
        <v>0</v>
      </c>
      <c r="G166" t="s">
        <v>345</v>
      </c>
      <c r="H166">
        <v>3471928.95</v>
      </c>
      <c r="I166">
        <v>6443177.5599999996</v>
      </c>
      <c r="J166">
        <v>1</v>
      </c>
      <c r="K166">
        <v>0</v>
      </c>
      <c r="L166">
        <v>14</v>
      </c>
      <c r="M166">
        <v>0</v>
      </c>
      <c r="N166">
        <v>1</v>
      </c>
      <c r="O166">
        <v>1561891.66</v>
      </c>
      <c r="P166">
        <v>5</v>
      </c>
      <c r="Q166">
        <v>4</v>
      </c>
      <c r="R166">
        <v>3.8000000000000003</v>
      </c>
      <c r="S166" t="s">
        <v>2310</v>
      </c>
      <c r="V166">
        <f t="shared" si="6"/>
        <v>0</v>
      </c>
      <c r="W166">
        <f t="shared" si="7"/>
        <v>0</v>
      </c>
      <c r="X166" t="str">
        <f t="shared" si="8"/>
        <v>MATCH</v>
      </c>
    </row>
    <row r="167" spans="1:24" x14ac:dyDescent="0.3">
      <c r="A167">
        <v>14</v>
      </c>
      <c r="B167" t="s">
        <v>15</v>
      </c>
      <c r="C167">
        <v>65488.05</v>
      </c>
      <c r="D167" t="s">
        <v>346</v>
      </c>
      <c r="E167">
        <v>65488.05</v>
      </c>
      <c r="F167">
        <v>0</v>
      </c>
      <c r="G167" t="s">
        <v>347</v>
      </c>
      <c r="H167">
        <v>0</v>
      </c>
      <c r="I167">
        <v>0</v>
      </c>
      <c r="J167">
        <v>1</v>
      </c>
      <c r="K167">
        <v>0</v>
      </c>
      <c r="L167">
        <v>14</v>
      </c>
      <c r="M167">
        <v>0</v>
      </c>
      <c r="N167">
        <v>1</v>
      </c>
      <c r="O167">
        <v>65488.05</v>
      </c>
      <c r="P167">
        <v>3</v>
      </c>
      <c r="Q167">
        <v>5</v>
      </c>
      <c r="R167">
        <v>3.1</v>
      </c>
      <c r="S167" t="s">
        <v>2310</v>
      </c>
      <c r="V167">
        <f t="shared" si="6"/>
        <v>0</v>
      </c>
      <c r="W167">
        <f t="shared" si="7"/>
        <v>0</v>
      </c>
      <c r="X167" t="str">
        <f t="shared" si="8"/>
        <v>MATCH</v>
      </c>
    </row>
    <row r="168" spans="1:24" x14ac:dyDescent="0.3">
      <c r="A168">
        <v>14</v>
      </c>
      <c r="B168" t="s">
        <v>18</v>
      </c>
      <c r="C168">
        <v>65488.05</v>
      </c>
      <c r="D168" t="s">
        <v>348</v>
      </c>
      <c r="E168">
        <v>65488.05</v>
      </c>
      <c r="F168">
        <v>0</v>
      </c>
      <c r="G168" t="s">
        <v>349</v>
      </c>
      <c r="H168">
        <v>0</v>
      </c>
      <c r="I168">
        <v>65488.05</v>
      </c>
      <c r="J168">
        <v>1</v>
      </c>
      <c r="K168">
        <v>0</v>
      </c>
      <c r="L168">
        <v>14</v>
      </c>
      <c r="M168">
        <v>0</v>
      </c>
      <c r="N168">
        <v>1</v>
      </c>
      <c r="O168">
        <v>65488.05</v>
      </c>
      <c r="P168">
        <v>3</v>
      </c>
      <c r="Q168">
        <v>4</v>
      </c>
      <c r="R168">
        <v>2.8000000000000003</v>
      </c>
      <c r="S168" t="s">
        <v>2312</v>
      </c>
      <c r="V168">
        <f t="shared" si="6"/>
        <v>0</v>
      </c>
      <c r="W168">
        <f t="shared" si="7"/>
        <v>0</v>
      </c>
      <c r="X168" t="str">
        <f t="shared" si="8"/>
        <v>MATCH</v>
      </c>
    </row>
    <row r="169" spans="1:24" x14ac:dyDescent="0.3">
      <c r="A169">
        <v>15</v>
      </c>
      <c r="B169" t="s">
        <v>15</v>
      </c>
      <c r="C169">
        <v>696763.08</v>
      </c>
      <c r="D169" t="s">
        <v>350</v>
      </c>
      <c r="E169">
        <v>696763.08</v>
      </c>
      <c r="F169">
        <v>0</v>
      </c>
      <c r="G169" t="s">
        <v>351</v>
      </c>
      <c r="H169">
        <v>0</v>
      </c>
      <c r="I169">
        <v>69861.259999999995</v>
      </c>
      <c r="J169">
        <v>1</v>
      </c>
      <c r="K169">
        <v>0</v>
      </c>
      <c r="L169">
        <v>15</v>
      </c>
      <c r="M169">
        <v>0</v>
      </c>
      <c r="N169">
        <v>1</v>
      </c>
      <c r="O169">
        <v>696763.08</v>
      </c>
      <c r="P169">
        <v>5</v>
      </c>
      <c r="Q169">
        <v>5</v>
      </c>
      <c r="R169">
        <v>4.0999999999999996</v>
      </c>
      <c r="S169" t="s">
        <v>2310</v>
      </c>
      <c r="V169">
        <f t="shared" si="6"/>
        <v>0</v>
      </c>
      <c r="W169">
        <f t="shared" si="7"/>
        <v>0</v>
      </c>
      <c r="X169" t="str">
        <f t="shared" si="8"/>
        <v>MATCH</v>
      </c>
    </row>
    <row r="170" spans="1:24" x14ac:dyDescent="0.3">
      <c r="A170">
        <v>15</v>
      </c>
      <c r="B170" t="s">
        <v>18</v>
      </c>
      <c r="C170">
        <v>696763.08</v>
      </c>
      <c r="D170" t="s">
        <v>352</v>
      </c>
      <c r="E170">
        <v>696763.08</v>
      </c>
      <c r="F170">
        <v>0</v>
      </c>
      <c r="G170" t="s">
        <v>353</v>
      </c>
      <c r="H170">
        <v>366114.58</v>
      </c>
      <c r="I170">
        <v>1347073.81</v>
      </c>
      <c r="J170">
        <v>1</v>
      </c>
      <c r="K170">
        <v>0</v>
      </c>
      <c r="L170">
        <v>15</v>
      </c>
      <c r="M170">
        <v>0</v>
      </c>
      <c r="N170">
        <v>1</v>
      </c>
      <c r="O170">
        <v>696763.08</v>
      </c>
      <c r="P170">
        <v>5</v>
      </c>
      <c r="Q170">
        <v>4</v>
      </c>
      <c r="R170">
        <v>3.8000000000000003</v>
      </c>
      <c r="S170" t="s">
        <v>2310</v>
      </c>
      <c r="V170">
        <f t="shared" si="6"/>
        <v>0</v>
      </c>
      <c r="W170">
        <f t="shared" si="7"/>
        <v>0</v>
      </c>
      <c r="X170" t="str">
        <f t="shared" si="8"/>
        <v>MATCH</v>
      </c>
    </row>
    <row r="171" spans="1:24" x14ac:dyDescent="0.3">
      <c r="A171">
        <v>15</v>
      </c>
      <c r="B171" t="s">
        <v>15</v>
      </c>
      <c r="C171">
        <v>119</v>
      </c>
      <c r="D171" t="s">
        <v>354</v>
      </c>
      <c r="E171">
        <v>119</v>
      </c>
      <c r="F171">
        <v>0</v>
      </c>
      <c r="G171" t="s">
        <v>355</v>
      </c>
      <c r="H171">
        <v>0</v>
      </c>
      <c r="I171">
        <v>0</v>
      </c>
      <c r="J171">
        <v>1</v>
      </c>
      <c r="K171">
        <v>0</v>
      </c>
      <c r="L171">
        <v>15</v>
      </c>
      <c r="M171">
        <v>0</v>
      </c>
      <c r="N171">
        <v>1</v>
      </c>
      <c r="O171">
        <v>119</v>
      </c>
      <c r="P171">
        <v>1</v>
      </c>
      <c r="Q171">
        <v>5</v>
      </c>
      <c r="R171">
        <v>2.1</v>
      </c>
      <c r="S171" t="s">
        <v>2312</v>
      </c>
      <c r="V171">
        <f t="shared" si="6"/>
        <v>0</v>
      </c>
      <c r="W171">
        <f t="shared" si="7"/>
        <v>0</v>
      </c>
      <c r="X171" t="str">
        <f t="shared" si="8"/>
        <v>MATCH</v>
      </c>
    </row>
    <row r="172" spans="1:24" x14ac:dyDescent="0.3">
      <c r="A172">
        <v>15</v>
      </c>
      <c r="B172" t="s">
        <v>18</v>
      </c>
      <c r="C172">
        <v>119</v>
      </c>
      <c r="D172" t="s">
        <v>356</v>
      </c>
      <c r="E172">
        <v>119</v>
      </c>
      <c r="F172">
        <v>0</v>
      </c>
      <c r="G172" t="s">
        <v>357</v>
      </c>
      <c r="H172">
        <v>4844060.13</v>
      </c>
      <c r="I172">
        <v>4844179.13</v>
      </c>
      <c r="J172">
        <v>1</v>
      </c>
      <c r="K172">
        <v>0</v>
      </c>
      <c r="L172">
        <v>15</v>
      </c>
      <c r="M172">
        <v>0</v>
      </c>
      <c r="N172">
        <v>1</v>
      </c>
      <c r="O172">
        <v>119</v>
      </c>
      <c r="P172">
        <v>1</v>
      </c>
      <c r="Q172">
        <v>4</v>
      </c>
      <c r="R172">
        <v>1.8</v>
      </c>
      <c r="S172" t="s">
        <v>2311</v>
      </c>
      <c r="V172">
        <f t="shared" si="6"/>
        <v>0</v>
      </c>
      <c r="W172">
        <f t="shared" si="7"/>
        <v>0</v>
      </c>
      <c r="X172" t="str">
        <f t="shared" si="8"/>
        <v>MATCH</v>
      </c>
    </row>
    <row r="173" spans="1:24" x14ac:dyDescent="0.3">
      <c r="A173">
        <v>15</v>
      </c>
      <c r="B173" t="s">
        <v>15</v>
      </c>
      <c r="C173">
        <v>128473.62</v>
      </c>
      <c r="D173" t="s">
        <v>358</v>
      </c>
      <c r="E173">
        <v>128473.62</v>
      </c>
      <c r="F173">
        <v>0</v>
      </c>
      <c r="G173" t="s">
        <v>359</v>
      </c>
      <c r="H173">
        <v>0</v>
      </c>
      <c r="I173">
        <v>0</v>
      </c>
      <c r="J173">
        <v>1</v>
      </c>
      <c r="K173">
        <v>0</v>
      </c>
      <c r="L173">
        <v>15</v>
      </c>
      <c r="M173">
        <v>0</v>
      </c>
      <c r="N173">
        <v>1</v>
      </c>
      <c r="O173">
        <v>128473.62</v>
      </c>
      <c r="P173">
        <v>4</v>
      </c>
      <c r="Q173">
        <v>5</v>
      </c>
      <c r="R173">
        <v>3.6</v>
      </c>
      <c r="S173" t="s">
        <v>2310</v>
      </c>
      <c r="V173">
        <f t="shared" si="6"/>
        <v>0</v>
      </c>
      <c r="W173">
        <f t="shared" si="7"/>
        <v>0</v>
      </c>
      <c r="X173" t="str">
        <f t="shared" si="8"/>
        <v>MATCH</v>
      </c>
    </row>
    <row r="174" spans="1:24" x14ac:dyDescent="0.3">
      <c r="A174">
        <v>15</v>
      </c>
      <c r="B174" t="s">
        <v>18</v>
      </c>
      <c r="C174">
        <v>128473.62</v>
      </c>
      <c r="D174" t="s">
        <v>360</v>
      </c>
      <c r="E174">
        <v>128473.62</v>
      </c>
      <c r="F174">
        <v>0</v>
      </c>
      <c r="G174" t="s">
        <v>361</v>
      </c>
      <c r="H174">
        <v>0</v>
      </c>
      <c r="I174">
        <v>128473.62</v>
      </c>
      <c r="J174">
        <v>1</v>
      </c>
      <c r="K174">
        <v>0</v>
      </c>
      <c r="L174">
        <v>15</v>
      </c>
      <c r="M174">
        <v>0</v>
      </c>
      <c r="N174">
        <v>1</v>
      </c>
      <c r="O174">
        <v>128473.62</v>
      </c>
      <c r="P174">
        <v>4</v>
      </c>
      <c r="Q174">
        <v>4</v>
      </c>
      <c r="R174">
        <v>3.3000000000000003</v>
      </c>
      <c r="S174" t="s">
        <v>2310</v>
      </c>
      <c r="V174">
        <f t="shared" si="6"/>
        <v>0</v>
      </c>
      <c r="W174">
        <f t="shared" si="7"/>
        <v>0</v>
      </c>
      <c r="X174" t="str">
        <f t="shared" si="8"/>
        <v>MATCH</v>
      </c>
    </row>
    <row r="175" spans="1:24" x14ac:dyDescent="0.3">
      <c r="A175">
        <v>15</v>
      </c>
      <c r="B175" t="s">
        <v>15</v>
      </c>
      <c r="C175">
        <v>248056.41</v>
      </c>
      <c r="D175" t="s">
        <v>362</v>
      </c>
      <c r="E175">
        <v>248056.41</v>
      </c>
      <c r="F175">
        <v>0</v>
      </c>
      <c r="G175" t="s">
        <v>363</v>
      </c>
      <c r="H175">
        <v>0</v>
      </c>
      <c r="I175">
        <v>0</v>
      </c>
      <c r="J175">
        <v>1</v>
      </c>
      <c r="K175">
        <v>0</v>
      </c>
      <c r="L175">
        <v>15</v>
      </c>
      <c r="M175">
        <v>0</v>
      </c>
      <c r="N175">
        <v>1</v>
      </c>
      <c r="O175">
        <v>248056.41</v>
      </c>
      <c r="P175">
        <v>5</v>
      </c>
      <c r="Q175">
        <v>5</v>
      </c>
      <c r="R175">
        <v>4.0999999999999996</v>
      </c>
      <c r="S175" t="s">
        <v>2310</v>
      </c>
      <c r="V175">
        <f t="shared" si="6"/>
        <v>0</v>
      </c>
      <c r="W175">
        <f t="shared" si="7"/>
        <v>0</v>
      </c>
      <c r="X175" t="str">
        <f t="shared" si="8"/>
        <v>MATCH</v>
      </c>
    </row>
    <row r="176" spans="1:24" x14ac:dyDescent="0.3">
      <c r="A176">
        <v>15</v>
      </c>
      <c r="B176" t="s">
        <v>18</v>
      </c>
      <c r="C176">
        <v>248056.41</v>
      </c>
      <c r="D176" t="s">
        <v>364</v>
      </c>
      <c r="E176">
        <v>248056.41</v>
      </c>
      <c r="F176">
        <v>0</v>
      </c>
      <c r="G176" t="s">
        <v>365</v>
      </c>
      <c r="H176">
        <v>0</v>
      </c>
      <c r="I176">
        <v>201427.47</v>
      </c>
      <c r="J176">
        <v>1</v>
      </c>
      <c r="K176">
        <v>0</v>
      </c>
      <c r="L176">
        <v>15</v>
      </c>
      <c r="M176">
        <v>0</v>
      </c>
      <c r="N176">
        <v>1</v>
      </c>
      <c r="O176">
        <v>248056.41</v>
      </c>
      <c r="P176">
        <v>5</v>
      </c>
      <c r="Q176">
        <v>4</v>
      </c>
      <c r="R176">
        <v>3.8000000000000003</v>
      </c>
      <c r="S176" t="s">
        <v>2310</v>
      </c>
      <c r="V176">
        <f t="shared" si="6"/>
        <v>0</v>
      </c>
      <c r="W176">
        <f t="shared" si="7"/>
        <v>0</v>
      </c>
      <c r="X176" t="str">
        <f t="shared" si="8"/>
        <v>MATCH</v>
      </c>
    </row>
    <row r="177" spans="1:24" x14ac:dyDescent="0.3">
      <c r="A177">
        <v>15</v>
      </c>
      <c r="B177" t="s">
        <v>15</v>
      </c>
      <c r="C177">
        <v>164500.81</v>
      </c>
      <c r="D177" t="s">
        <v>366</v>
      </c>
      <c r="E177">
        <v>164500.81</v>
      </c>
      <c r="F177">
        <v>0</v>
      </c>
      <c r="G177" t="s">
        <v>367</v>
      </c>
      <c r="H177">
        <v>0</v>
      </c>
      <c r="I177">
        <v>0</v>
      </c>
      <c r="J177">
        <v>1</v>
      </c>
      <c r="K177">
        <v>0</v>
      </c>
      <c r="L177">
        <v>15</v>
      </c>
      <c r="M177">
        <v>0</v>
      </c>
      <c r="N177">
        <v>1</v>
      </c>
      <c r="O177">
        <v>164500.81</v>
      </c>
      <c r="P177">
        <v>4</v>
      </c>
      <c r="Q177">
        <v>5</v>
      </c>
      <c r="R177">
        <v>3.6</v>
      </c>
      <c r="S177" t="s">
        <v>2310</v>
      </c>
      <c r="V177">
        <f t="shared" si="6"/>
        <v>0</v>
      </c>
      <c r="W177">
        <f t="shared" si="7"/>
        <v>0</v>
      </c>
      <c r="X177" t="str">
        <f t="shared" si="8"/>
        <v>MATCH</v>
      </c>
    </row>
    <row r="178" spans="1:24" x14ac:dyDescent="0.3">
      <c r="A178">
        <v>15</v>
      </c>
      <c r="B178" t="s">
        <v>18</v>
      </c>
      <c r="C178">
        <v>164500.81</v>
      </c>
      <c r="D178" t="s">
        <v>368</v>
      </c>
      <c r="E178">
        <v>164500.81</v>
      </c>
      <c r="F178">
        <v>0</v>
      </c>
      <c r="G178" t="s">
        <v>369</v>
      </c>
      <c r="H178">
        <v>685636.21</v>
      </c>
      <c r="I178">
        <v>850137.02</v>
      </c>
      <c r="J178">
        <v>1</v>
      </c>
      <c r="K178">
        <v>0</v>
      </c>
      <c r="L178">
        <v>15</v>
      </c>
      <c r="M178">
        <v>0</v>
      </c>
      <c r="N178">
        <v>1</v>
      </c>
      <c r="O178">
        <v>164500.81</v>
      </c>
      <c r="P178">
        <v>4</v>
      </c>
      <c r="Q178">
        <v>4</v>
      </c>
      <c r="R178">
        <v>3.3000000000000003</v>
      </c>
      <c r="S178" t="s">
        <v>2310</v>
      </c>
      <c r="V178">
        <f t="shared" si="6"/>
        <v>0</v>
      </c>
      <c r="W178">
        <f t="shared" si="7"/>
        <v>0</v>
      </c>
      <c r="X178" t="str">
        <f t="shared" si="8"/>
        <v>MATCH</v>
      </c>
    </row>
    <row r="179" spans="1:24" x14ac:dyDescent="0.3">
      <c r="A179">
        <v>15</v>
      </c>
      <c r="B179" t="s">
        <v>15</v>
      </c>
      <c r="C179">
        <v>212089.74</v>
      </c>
      <c r="D179" t="s">
        <v>370</v>
      </c>
      <c r="E179">
        <v>212089.74</v>
      </c>
      <c r="F179">
        <v>0</v>
      </c>
      <c r="G179" t="s">
        <v>371</v>
      </c>
      <c r="H179">
        <v>0</v>
      </c>
      <c r="I179">
        <v>0</v>
      </c>
      <c r="J179">
        <v>1</v>
      </c>
      <c r="K179">
        <v>0</v>
      </c>
      <c r="L179">
        <v>15</v>
      </c>
      <c r="M179">
        <v>0</v>
      </c>
      <c r="N179">
        <v>1</v>
      </c>
      <c r="O179">
        <v>212089.74</v>
      </c>
      <c r="P179">
        <v>5</v>
      </c>
      <c r="Q179">
        <v>5</v>
      </c>
      <c r="R179">
        <v>4.0999999999999996</v>
      </c>
      <c r="S179" t="s">
        <v>2310</v>
      </c>
      <c r="V179">
        <f t="shared" si="6"/>
        <v>0</v>
      </c>
      <c r="W179">
        <f t="shared" si="7"/>
        <v>0</v>
      </c>
      <c r="X179" t="str">
        <f t="shared" si="8"/>
        <v>MATCH</v>
      </c>
    </row>
    <row r="180" spans="1:24" x14ac:dyDescent="0.3">
      <c r="A180">
        <v>15</v>
      </c>
      <c r="B180" t="s">
        <v>18</v>
      </c>
      <c r="C180">
        <v>212089.74</v>
      </c>
      <c r="D180" t="s">
        <v>372</v>
      </c>
      <c r="E180">
        <v>212089.74</v>
      </c>
      <c r="F180">
        <v>0</v>
      </c>
      <c r="G180" t="s">
        <v>373</v>
      </c>
      <c r="H180">
        <v>257758.48</v>
      </c>
      <c r="I180">
        <v>469848.23</v>
      </c>
      <c r="J180">
        <v>1</v>
      </c>
      <c r="K180">
        <v>0</v>
      </c>
      <c r="L180">
        <v>15</v>
      </c>
      <c r="M180">
        <v>0</v>
      </c>
      <c r="N180">
        <v>1</v>
      </c>
      <c r="O180">
        <v>212089.74</v>
      </c>
      <c r="P180">
        <v>5</v>
      </c>
      <c r="Q180">
        <v>4</v>
      </c>
      <c r="R180">
        <v>3.8000000000000003</v>
      </c>
      <c r="S180" t="s">
        <v>2310</v>
      </c>
      <c r="V180">
        <f t="shared" si="6"/>
        <v>0</v>
      </c>
      <c r="W180">
        <f t="shared" si="7"/>
        <v>0</v>
      </c>
      <c r="X180" t="str">
        <f t="shared" si="8"/>
        <v>MATCH</v>
      </c>
    </row>
    <row r="181" spans="1:24" x14ac:dyDescent="0.3">
      <c r="A181">
        <v>15</v>
      </c>
      <c r="B181" t="s">
        <v>18</v>
      </c>
      <c r="C181">
        <v>95428.32</v>
      </c>
      <c r="D181" t="s">
        <v>374</v>
      </c>
      <c r="E181">
        <v>0</v>
      </c>
      <c r="F181">
        <v>0</v>
      </c>
      <c r="G181" t="s">
        <v>375</v>
      </c>
      <c r="H181">
        <v>0</v>
      </c>
      <c r="I181">
        <v>95428.32</v>
      </c>
      <c r="J181">
        <v>1</v>
      </c>
      <c r="K181">
        <v>0</v>
      </c>
      <c r="L181">
        <v>15</v>
      </c>
      <c r="M181">
        <v>0</v>
      </c>
      <c r="N181">
        <v>0</v>
      </c>
      <c r="O181">
        <v>0</v>
      </c>
      <c r="P181">
        <v>3</v>
      </c>
      <c r="Q181">
        <v>4</v>
      </c>
      <c r="R181">
        <v>2.7</v>
      </c>
      <c r="S181" t="s">
        <v>2312</v>
      </c>
      <c r="V181">
        <f t="shared" si="6"/>
        <v>-95428.32</v>
      </c>
      <c r="W181">
        <f t="shared" si="7"/>
        <v>95428.32</v>
      </c>
      <c r="X181" t="str">
        <f t="shared" si="8"/>
        <v>BREAK</v>
      </c>
    </row>
    <row r="182" spans="1:24" x14ac:dyDescent="0.3">
      <c r="A182">
        <v>15</v>
      </c>
      <c r="B182" t="s">
        <v>18</v>
      </c>
      <c r="C182">
        <v>39713.279999999999</v>
      </c>
      <c r="D182" t="s">
        <v>376</v>
      </c>
      <c r="E182">
        <v>0</v>
      </c>
      <c r="F182">
        <v>0</v>
      </c>
      <c r="G182" t="s">
        <v>377</v>
      </c>
      <c r="H182">
        <v>1274866.51</v>
      </c>
      <c r="I182">
        <v>1314579.79</v>
      </c>
      <c r="J182">
        <v>1</v>
      </c>
      <c r="K182">
        <v>0</v>
      </c>
      <c r="L182">
        <v>15</v>
      </c>
      <c r="M182">
        <v>0</v>
      </c>
      <c r="N182">
        <v>0</v>
      </c>
      <c r="O182">
        <v>0</v>
      </c>
      <c r="P182">
        <v>2</v>
      </c>
      <c r="Q182">
        <v>4</v>
      </c>
      <c r="R182">
        <v>2.2000000000000002</v>
      </c>
      <c r="S182" t="s">
        <v>2312</v>
      </c>
      <c r="V182">
        <f t="shared" si="6"/>
        <v>-39713.279999999999</v>
      </c>
      <c r="W182">
        <f t="shared" si="7"/>
        <v>39713.279999999999</v>
      </c>
      <c r="X182" t="str">
        <f t="shared" si="8"/>
        <v>BREAK</v>
      </c>
    </row>
    <row r="183" spans="1:24" x14ac:dyDescent="0.3">
      <c r="A183">
        <v>15</v>
      </c>
      <c r="B183" t="s">
        <v>15</v>
      </c>
      <c r="C183">
        <v>170</v>
      </c>
      <c r="D183" t="s">
        <v>378</v>
      </c>
      <c r="E183">
        <v>170</v>
      </c>
      <c r="F183">
        <v>0</v>
      </c>
      <c r="G183" t="s">
        <v>379</v>
      </c>
      <c r="H183">
        <v>0</v>
      </c>
      <c r="I183">
        <v>0</v>
      </c>
      <c r="J183">
        <v>1</v>
      </c>
      <c r="K183">
        <v>0</v>
      </c>
      <c r="L183">
        <v>15</v>
      </c>
      <c r="M183">
        <v>0</v>
      </c>
      <c r="N183">
        <v>1</v>
      </c>
      <c r="O183">
        <v>170</v>
      </c>
      <c r="P183">
        <v>1</v>
      </c>
      <c r="Q183">
        <v>5</v>
      </c>
      <c r="R183">
        <v>2.1</v>
      </c>
      <c r="S183" t="s">
        <v>2312</v>
      </c>
      <c r="V183">
        <f t="shared" si="6"/>
        <v>0</v>
      </c>
      <c r="W183">
        <f t="shared" si="7"/>
        <v>0</v>
      </c>
      <c r="X183" t="str">
        <f t="shared" si="8"/>
        <v>MATCH</v>
      </c>
    </row>
    <row r="184" spans="1:24" x14ac:dyDescent="0.3">
      <c r="A184">
        <v>15</v>
      </c>
      <c r="B184" t="s">
        <v>18</v>
      </c>
      <c r="C184">
        <v>170</v>
      </c>
      <c r="D184" t="s">
        <v>380</v>
      </c>
      <c r="E184">
        <v>170</v>
      </c>
      <c r="F184">
        <v>0</v>
      </c>
      <c r="G184" t="s">
        <v>297</v>
      </c>
      <c r="H184">
        <v>413421.36</v>
      </c>
      <c r="I184">
        <v>345764.15</v>
      </c>
      <c r="J184">
        <v>1</v>
      </c>
      <c r="K184">
        <v>0</v>
      </c>
      <c r="L184">
        <v>15</v>
      </c>
      <c r="M184">
        <v>0</v>
      </c>
      <c r="N184">
        <v>1</v>
      </c>
      <c r="O184">
        <v>170</v>
      </c>
      <c r="P184">
        <v>1</v>
      </c>
      <c r="Q184">
        <v>4</v>
      </c>
      <c r="R184">
        <v>1.8</v>
      </c>
      <c r="S184" t="s">
        <v>2311</v>
      </c>
      <c r="V184">
        <f t="shared" si="6"/>
        <v>0</v>
      </c>
      <c r="W184">
        <f t="shared" si="7"/>
        <v>0</v>
      </c>
      <c r="X184" t="str">
        <f t="shared" si="8"/>
        <v>MATCH</v>
      </c>
    </row>
    <row r="185" spans="1:24" x14ac:dyDescent="0.3">
      <c r="A185">
        <v>15</v>
      </c>
      <c r="B185" t="s">
        <v>15</v>
      </c>
      <c r="C185">
        <v>747282.4</v>
      </c>
      <c r="D185" t="s">
        <v>381</v>
      </c>
      <c r="E185">
        <v>747282.4</v>
      </c>
      <c r="F185">
        <v>0</v>
      </c>
      <c r="G185" t="s">
        <v>382</v>
      </c>
      <c r="H185">
        <v>0</v>
      </c>
      <c r="I185">
        <v>0</v>
      </c>
      <c r="J185">
        <v>1</v>
      </c>
      <c r="K185">
        <v>0</v>
      </c>
      <c r="L185">
        <v>15</v>
      </c>
      <c r="M185">
        <v>0</v>
      </c>
      <c r="N185">
        <v>1</v>
      </c>
      <c r="O185">
        <v>747282.4</v>
      </c>
      <c r="P185">
        <v>5</v>
      </c>
      <c r="Q185">
        <v>5</v>
      </c>
      <c r="R185">
        <v>4.0999999999999996</v>
      </c>
      <c r="S185" t="s">
        <v>2310</v>
      </c>
      <c r="V185">
        <f t="shared" si="6"/>
        <v>0</v>
      </c>
      <c r="W185">
        <f t="shared" si="7"/>
        <v>0</v>
      </c>
      <c r="X185" t="str">
        <f t="shared" si="8"/>
        <v>MATCH</v>
      </c>
    </row>
    <row r="186" spans="1:24" x14ac:dyDescent="0.3">
      <c r="A186">
        <v>15</v>
      </c>
      <c r="B186" t="s">
        <v>18</v>
      </c>
      <c r="C186">
        <v>747282.4</v>
      </c>
      <c r="D186" t="s">
        <v>383</v>
      </c>
      <c r="E186">
        <v>747282.4</v>
      </c>
      <c r="F186">
        <v>0</v>
      </c>
      <c r="G186" t="s">
        <v>384</v>
      </c>
      <c r="H186">
        <v>5340917.82</v>
      </c>
      <c r="I186">
        <v>6088200.2199999997</v>
      </c>
      <c r="J186">
        <v>1</v>
      </c>
      <c r="K186">
        <v>0</v>
      </c>
      <c r="L186">
        <v>15</v>
      </c>
      <c r="M186">
        <v>0</v>
      </c>
      <c r="N186">
        <v>1</v>
      </c>
      <c r="O186">
        <v>747282.4</v>
      </c>
      <c r="P186">
        <v>5</v>
      </c>
      <c r="Q186">
        <v>4</v>
      </c>
      <c r="R186">
        <v>3.8000000000000003</v>
      </c>
      <c r="S186" t="s">
        <v>2310</v>
      </c>
      <c r="V186">
        <f t="shared" si="6"/>
        <v>0</v>
      </c>
      <c r="W186">
        <f t="shared" si="7"/>
        <v>0</v>
      </c>
      <c r="X186" t="str">
        <f t="shared" si="8"/>
        <v>MATCH</v>
      </c>
    </row>
    <row r="187" spans="1:24" x14ac:dyDescent="0.3">
      <c r="A187">
        <v>15</v>
      </c>
      <c r="B187" t="s">
        <v>15</v>
      </c>
      <c r="C187">
        <v>59385.67</v>
      </c>
      <c r="D187" t="s">
        <v>385</v>
      </c>
      <c r="E187">
        <v>59385.67</v>
      </c>
      <c r="F187">
        <v>0</v>
      </c>
      <c r="G187" t="s">
        <v>386</v>
      </c>
      <c r="H187">
        <v>0</v>
      </c>
      <c r="I187">
        <v>0</v>
      </c>
      <c r="J187">
        <v>1</v>
      </c>
      <c r="K187">
        <v>0</v>
      </c>
      <c r="L187">
        <v>15</v>
      </c>
      <c r="M187">
        <v>0</v>
      </c>
      <c r="N187">
        <v>1</v>
      </c>
      <c r="O187">
        <v>59385.67</v>
      </c>
      <c r="P187">
        <v>3</v>
      </c>
      <c r="Q187">
        <v>5</v>
      </c>
      <c r="R187">
        <v>3.1</v>
      </c>
      <c r="S187" t="s">
        <v>2310</v>
      </c>
      <c r="V187">
        <f t="shared" si="6"/>
        <v>0</v>
      </c>
      <c r="W187">
        <f t="shared" si="7"/>
        <v>0</v>
      </c>
      <c r="X187" t="str">
        <f t="shared" si="8"/>
        <v>MATCH</v>
      </c>
    </row>
    <row r="188" spans="1:24" x14ac:dyDescent="0.3">
      <c r="A188">
        <v>15</v>
      </c>
      <c r="B188" t="s">
        <v>18</v>
      </c>
      <c r="C188">
        <v>59385.67</v>
      </c>
      <c r="D188" t="s">
        <v>387</v>
      </c>
      <c r="E188">
        <v>59385.67</v>
      </c>
      <c r="F188">
        <v>0</v>
      </c>
      <c r="G188" t="s">
        <v>388</v>
      </c>
      <c r="H188">
        <v>74371</v>
      </c>
      <c r="I188">
        <v>133756.67000000001</v>
      </c>
      <c r="J188">
        <v>1</v>
      </c>
      <c r="K188">
        <v>0</v>
      </c>
      <c r="L188">
        <v>15</v>
      </c>
      <c r="M188">
        <v>0</v>
      </c>
      <c r="N188">
        <v>1</v>
      </c>
      <c r="O188">
        <v>59385.67</v>
      </c>
      <c r="P188">
        <v>3</v>
      </c>
      <c r="Q188">
        <v>4</v>
      </c>
      <c r="R188">
        <v>2.8000000000000003</v>
      </c>
      <c r="S188" t="s">
        <v>2312</v>
      </c>
      <c r="V188">
        <f t="shared" si="6"/>
        <v>0</v>
      </c>
      <c r="W188">
        <f t="shared" si="7"/>
        <v>0</v>
      </c>
      <c r="X188" t="str">
        <f t="shared" si="8"/>
        <v>MATCH</v>
      </c>
    </row>
    <row r="189" spans="1:24" x14ac:dyDescent="0.3">
      <c r="A189">
        <v>16</v>
      </c>
      <c r="B189" t="s">
        <v>15</v>
      </c>
      <c r="C189">
        <v>2198224.71</v>
      </c>
      <c r="D189" t="s">
        <v>389</v>
      </c>
      <c r="E189">
        <v>2198224.71</v>
      </c>
      <c r="F189">
        <v>0</v>
      </c>
      <c r="G189" t="s">
        <v>390</v>
      </c>
      <c r="H189">
        <v>0</v>
      </c>
      <c r="I189">
        <v>0</v>
      </c>
      <c r="J189">
        <v>1</v>
      </c>
      <c r="K189">
        <v>0</v>
      </c>
      <c r="L189">
        <v>16</v>
      </c>
      <c r="M189">
        <v>0</v>
      </c>
      <c r="N189">
        <v>1</v>
      </c>
      <c r="O189">
        <v>2198224.71</v>
      </c>
      <c r="P189">
        <v>5</v>
      </c>
      <c r="Q189">
        <v>5</v>
      </c>
      <c r="R189">
        <v>4.0999999999999996</v>
      </c>
      <c r="S189" t="s">
        <v>2310</v>
      </c>
      <c r="V189">
        <f t="shared" si="6"/>
        <v>0</v>
      </c>
      <c r="W189">
        <f t="shared" si="7"/>
        <v>0</v>
      </c>
      <c r="X189" t="str">
        <f t="shared" si="8"/>
        <v>MATCH</v>
      </c>
    </row>
    <row r="190" spans="1:24" x14ac:dyDescent="0.3">
      <c r="A190">
        <v>16</v>
      </c>
      <c r="B190" t="s">
        <v>18</v>
      </c>
      <c r="C190">
        <v>2198224.71</v>
      </c>
      <c r="D190" t="s">
        <v>391</v>
      </c>
      <c r="E190">
        <v>2198224.71</v>
      </c>
      <c r="F190">
        <v>0</v>
      </c>
      <c r="G190" t="s">
        <v>392</v>
      </c>
      <c r="H190">
        <v>0</v>
      </c>
      <c r="I190">
        <v>2198224.71</v>
      </c>
      <c r="J190">
        <v>1</v>
      </c>
      <c r="K190">
        <v>0</v>
      </c>
      <c r="L190">
        <v>16</v>
      </c>
      <c r="M190">
        <v>0</v>
      </c>
      <c r="N190">
        <v>1</v>
      </c>
      <c r="O190">
        <v>2198224.71</v>
      </c>
      <c r="P190">
        <v>5</v>
      </c>
      <c r="Q190">
        <v>4</v>
      </c>
      <c r="R190">
        <v>3.8000000000000003</v>
      </c>
      <c r="S190" t="s">
        <v>2310</v>
      </c>
      <c r="V190">
        <f t="shared" si="6"/>
        <v>0</v>
      </c>
      <c r="W190">
        <f t="shared" si="7"/>
        <v>0</v>
      </c>
      <c r="X190" t="str">
        <f t="shared" si="8"/>
        <v>MATCH</v>
      </c>
    </row>
    <row r="191" spans="1:24" x14ac:dyDescent="0.3">
      <c r="A191">
        <v>16</v>
      </c>
      <c r="B191" t="s">
        <v>15</v>
      </c>
      <c r="C191">
        <v>828720.89</v>
      </c>
      <c r="D191" t="s">
        <v>393</v>
      </c>
      <c r="E191">
        <v>828720.89</v>
      </c>
      <c r="F191">
        <v>0</v>
      </c>
      <c r="G191" t="s">
        <v>394</v>
      </c>
      <c r="H191">
        <v>0</v>
      </c>
      <c r="I191">
        <v>0</v>
      </c>
      <c r="J191">
        <v>1</v>
      </c>
      <c r="K191">
        <v>0</v>
      </c>
      <c r="L191">
        <v>16</v>
      </c>
      <c r="M191">
        <v>0</v>
      </c>
      <c r="N191">
        <v>1</v>
      </c>
      <c r="O191">
        <v>828720.89</v>
      </c>
      <c r="P191">
        <v>5</v>
      </c>
      <c r="Q191">
        <v>5</v>
      </c>
      <c r="R191">
        <v>4.0999999999999996</v>
      </c>
      <c r="S191" t="s">
        <v>2310</v>
      </c>
      <c r="V191">
        <f t="shared" si="6"/>
        <v>0</v>
      </c>
      <c r="W191">
        <f t="shared" si="7"/>
        <v>0</v>
      </c>
      <c r="X191" t="str">
        <f t="shared" si="8"/>
        <v>MATCH</v>
      </c>
    </row>
    <row r="192" spans="1:24" x14ac:dyDescent="0.3">
      <c r="A192">
        <v>16</v>
      </c>
      <c r="B192" t="s">
        <v>18</v>
      </c>
      <c r="C192">
        <v>828720.89</v>
      </c>
      <c r="D192" t="s">
        <v>395</v>
      </c>
      <c r="E192">
        <v>828720.89</v>
      </c>
      <c r="F192">
        <v>0</v>
      </c>
      <c r="G192" t="s">
        <v>396</v>
      </c>
      <c r="H192">
        <v>9142622.5899999999</v>
      </c>
      <c r="I192">
        <v>10200000</v>
      </c>
      <c r="J192">
        <v>1</v>
      </c>
      <c r="K192">
        <v>0</v>
      </c>
      <c r="L192">
        <v>16</v>
      </c>
      <c r="M192">
        <v>0</v>
      </c>
      <c r="N192">
        <v>1</v>
      </c>
      <c r="O192">
        <v>828720.89</v>
      </c>
      <c r="P192">
        <v>5</v>
      </c>
      <c r="Q192">
        <v>4</v>
      </c>
      <c r="R192">
        <v>3.8000000000000003</v>
      </c>
      <c r="S192" t="s">
        <v>2310</v>
      </c>
      <c r="V192">
        <f t="shared" si="6"/>
        <v>0</v>
      </c>
      <c r="W192">
        <f t="shared" si="7"/>
        <v>0</v>
      </c>
      <c r="X192" t="str">
        <f t="shared" si="8"/>
        <v>MATCH</v>
      </c>
    </row>
    <row r="193" spans="1:24" x14ac:dyDescent="0.3">
      <c r="A193">
        <v>16</v>
      </c>
      <c r="B193" t="s">
        <v>15</v>
      </c>
      <c r="C193">
        <v>2701905.3</v>
      </c>
      <c r="D193" t="s">
        <v>397</v>
      </c>
      <c r="E193">
        <v>2701905.3</v>
      </c>
      <c r="F193">
        <v>0</v>
      </c>
      <c r="G193" t="s">
        <v>398</v>
      </c>
      <c r="H193">
        <v>0</v>
      </c>
      <c r="I193">
        <v>0</v>
      </c>
      <c r="J193">
        <v>1</v>
      </c>
      <c r="K193">
        <v>0</v>
      </c>
      <c r="L193">
        <v>16</v>
      </c>
      <c r="M193">
        <v>0</v>
      </c>
      <c r="N193">
        <v>1</v>
      </c>
      <c r="O193">
        <v>2701905.3</v>
      </c>
      <c r="P193">
        <v>5</v>
      </c>
      <c r="Q193">
        <v>5</v>
      </c>
      <c r="R193">
        <v>4.0999999999999996</v>
      </c>
      <c r="S193" t="s">
        <v>2310</v>
      </c>
      <c r="V193">
        <f t="shared" si="6"/>
        <v>0</v>
      </c>
      <c r="W193">
        <f t="shared" si="7"/>
        <v>0</v>
      </c>
      <c r="X193" t="str">
        <f t="shared" si="8"/>
        <v>MATCH</v>
      </c>
    </row>
    <row r="194" spans="1:24" x14ac:dyDescent="0.3">
      <c r="A194">
        <v>16</v>
      </c>
      <c r="B194" t="s">
        <v>18</v>
      </c>
      <c r="C194">
        <v>2701905.3</v>
      </c>
      <c r="D194" t="s">
        <v>399</v>
      </c>
      <c r="E194">
        <v>2701905.3</v>
      </c>
      <c r="F194">
        <v>0</v>
      </c>
      <c r="G194" t="s">
        <v>400</v>
      </c>
      <c r="H194">
        <v>57418</v>
      </c>
      <c r="I194">
        <v>2759323.3</v>
      </c>
      <c r="J194">
        <v>1</v>
      </c>
      <c r="K194">
        <v>0</v>
      </c>
      <c r="L194">
        <v>16</v>
      </c>
      <c r="M194">
        <v>0</v>
      </c>
      <c r="N194">
        <v>1</v>
      </c>
      <c r="O194">
        <v>2701905.3</v>
      </c>
      <c r="P194">
        <v>5</v>
      </c>
      <c r="Q194">
        <v>4</v>
      </c>
      <c r="R194">
        <v>3.8000000000000003</v>
      </c>
      <c r="S194" t="s">
        <v>2310</v>
      </c>
      <c r="V194">
        <f t="shared" si="6"/>
        <v>0</v>
      </c>
      <c r="W194">
        <f t="shared" si="7"/>
        <v>0</v>
      </c>
      <c r="X194" t="str">
        <f t="shared" si="8"/>
        <v>MATCH</v>
      </c>
    </row>
    <row r="195" spans="1:24" x14ac:dyDescent="0.3">
      <c r="A195">
        <v>16</v>
      </c>
      <c r="B195" t="s">
        <v>15</v>
      </c>
      <c r="C195">
        <v>31074</v>
      </c>
      <c r="D195" t="s">
        <v>401</v>
      </c>
      <c r="E195">
        <v>31074</v>
      </c>
      <c r="F195">
        <v>0</v>
      </c>
      <c r="G195" t="s">
        <v>402</v>
      </c>
      <c r="H195">
        <v>0</v>
      </c>
      <c r="I195">
        <v>0</v>
      </c>
      <c r="J195">
        <v>1</v>
      </c>
      <c r="K195">
        <v>0</v>
      </c>
      <c r="L195">
        <v>16</v>
      </c>
      <c r="M195">
        <v>0</v>
      </c>
      <c r="N195">
        <v>1</v>
      </c>
      <c r="O195">
        <v>31074</v>
      </c>
      <c r="P195">
        <v>2</v>
      </c>
      <c r="Q195">
        <v>5</v>
      </c>
      <c r="R195">
        <v>2.6</v>
      </c>
      <c r="S195" t="s">
        <v>2312</v>
      </c>
      <c r="V195">
        <f t="shared" ref="V195:V258" si="9">E195-C195</f>
        <v>0</v>
      </c>
      <c r="W195">
        <f t="shared" ref="W195:W258" si="10">ABS(F195-V195)</f>
        <v>0</v>
      </c>
      <c r="X195" t="str">
        <f t="shared" ref="X195:X258" si="11">IF(W195&lt;1,"MATCH","BREAK")</f>
        <v>MATCH</v>
      </c>
    </row>
    <row r="196" spans="1:24" x14ac:dyDescent="0.3">
      <c r="A196">
        <v>16</v>
      </c>
      <c r="B196" t="s">
        <v>18</v>
      </c>
      <c r="C196">
        <v>31074</v>
      </c>
      <c r="D196" t="s">
        <v>403</v>
      </c>
      <c r="E196">
        <v>31074</v>
      </c>
      <c r="F196">
        <v>0</v>
      </c>
      <c r="G196" t="s">
        <v>404</v>
      </c>
      <c r="H196">
        <v>0</v>
      </c>
      <c r="I196">
        <v>31074</v>
      </c>
      <c r="J196">
        <v>1</v>
      </c>
      <c r="K196">
        <v>0</v>
      </c>
      <c r="L196">
        <v>16</v>
      </c>
      <c r="M196">
        <v>0</v>
      </c>
      <c r="N196">
        <v>1</v>
      </c>
      <c r="O196">
        <v>31074</v>
      </c>
      <c r="P196">
        <v>2</v>
      </c>
      <c r="Q196">
        <v>4</v>
      </c>
      <c r="R196">
        <v>2.3000000000000003</v>
      </c>
      <c r="S196" t="s">
        <v>2312</v>
      </c>
      <c r="V196">
        <f t="shared" si="9"/>
        <v>0</v>
      </c>
      <c r="W196">
        <f t="shared" si="10"/>
        <v>0</v>
      </c>
      <c r="X196" t="str">
        <f t="shared" si="11"/>
        <v>MATCH</v>
      </c>
    </row>
    <row r="197" spans="1:24" x14ac:dyDescent="0.3">
      <c r="A197">
        <v>16</v>
      </c>
      <c r="B197" t="s">
        <v>15</v>
      </c>
      <c r="C197">
        <v>121626.82</v>
      </c>
      <c r="D197" t="s">
        <v>405</v>
      </c>
      <c r="E197">
        <v>121626.82</v>
      </c>
      <c r="F197">
        <v>0</v>
      </c>
      <c r="G197" t="s">
        <v>406</v>
      </c>
      <c r="H197">
        <v>0</v>
      </c>
      <c r="I197">
        <v>0</v>
      </c>
      <c r="J197">
        <v>1</v>
      </c>
      <c r="K197">
        <v>0</v>
      </c>
      <c r="L197">
        <v>16</v>
      </c>
      <c r="M197">
        <v>0</v>
      </c>
      <c r="N197">
        <v>1</v>
      </c>
      <c r="O197">
        <v>121626.82</v>
      </c>
      <c r="P197">
        <v>4</v>
      </c>
      <c r="Q197">
        <v>5</v>
      </c>
      <c r="R197">
        <v>3.6</v>
      </c>
      <c r="S197" t="s">
        <v>2310</v>
      </c>
      <c r="V197">
        <f t="shared" si="9"/>
        <v>0</v>
      </c>
      <c r="W197">
        <f t="shared" si="10"/>
        <v>0</v>
      </c>
      <c r="X197" t="str">
        <f t="shared" si="11"/>
        <v>MATCH</v>
      </c>
    </row>
    <row r="198" spans="1:24" x14ac:dyDescent="0.3">
      <c r="A198">
        <v>16</v>
      </c>
      <c r="B198" t="s">
        <v>18</v>
      </c>
      <c r="C198">
        <v>121626.82</v>
      </c>
      <c r="D198" t="s">
        <v>407</v>
      </c>
      <c r="E198">
        <v>121626.82</v>
      </c>
      <c r="F198">
        <v>0</v>
      </c>
      <c r="G198" t="s">
        <v>408</v>
      </c>
      <c r="H198">
        <v>653744.34</v>
      </c>
      <c r="I198">
        <v>775371.16</v>
      </c>
      <c r="J198">
        <v>1</v>
      </c>
      <c r="K198">
        <v>0</v>
      </c>
      <c r="L198">
        <v>16</v>
      </c>
      <c r="M198">
        <v>0</v>
      </c>
      <c r="N198">
        <v>1</v>
      </c>
      <c r="O198">
        <v>121626.82</v>
      </c>
      <c r="P198">
        <v>4</v>
      </c>
      <c r="Q198">
        <v>4</v>
      </c>
      <c r="R198">
        <v>3.3000000000000003</v>
      </c>
      <c r="S198" t="s">
        <v>2310</v>
      </c>
      <c r="V198">
        <f t="shared" si="9"/>
        <v>0</v>
      </c>
      <c r="W198">
        <f t="shared" si="10"/>
        <v>0</v>
      </c>
      <c r="X198" t="str">
        <f t="shared" si="11"/>
        <v>MATCH</v>
      </c>
    </row>
    <row r="199" spans="1:24" x14ac:dyDescent="0.3">
      <c r="A199">
        <v>17</v>
      </c>
      <c r="B199" t="s">
        <v>15</v>
      </c>
      <c r="C199">
        <v>1639676.27</v>
      </c>
      <c r="D199" t="s">
        <v>409</v>
      </c>
      <c r="E199">
        <v>1639676.27</v>
      </c>
      <c r="F199">
        <v>0</v>
      </c>
      <c r="G199" t="s">
        <v>410</v>
      </c>
      <c r="H199">
        <v>0</v>
      </c>
      <c r="I199">
        <v>0</v>
      </c>
      <c r="J199">
        <v>1</v>
      </c>
      <c r="K199">
        <v>0</v>
      </c>
      <c r="L199">
        <v>17</v>
      </c>
      <c r="M199">
        <v>0</v>
      </c>
      <c r="N199">
        <v>1</v>
      </c>
      <c r="O199">
        <v>1639676.27</v>
      </c>
      <c r="P199">
        <v>5</v>
      </c>
      <c r="Q199">
        <v>5</v>
      </c>
      <c r="R199">
        <v>4.0999999999999996</v>
      </c>
      <c r="S199" t="s">
        <v>2310</v>
      </c>
      <c r="V199">
        <f t="shared" si="9"/>
        <v>0</v>
      </c>
      <c r="W199">
        <f t="shared" si="10"/>
        <v>0</v>
      </c>
      <c r="X199" t="str">
        <f t="shared" si="11"/>
        <v>MATCH</v>
      </c>
    </row>
    <row r="200" spans="1:24" x14ac:dyDescent="0.3">
      <c r="A200">
        <v>17</v>
      </c>
      <c r="B200" t="s">
        <v>18</v>
      </c>
      <c r="C200">
        <v>1639676.27</v>
      </c>
      <c r="D200" t="s">
        <v>411</v>
      </c>
      <c r="E200">
        <v>1639676.27</v>
      </c>
      <c r="F200">
        <v>0</v>
      </c>
      <c r="G200" t="s">
        <v>412</v>
      </c>
      <c r="H200">
        <v>448954.92</v>
      </c>
      <c r="I200">
        <v>2198318.48</v>
      </c>
      <c r="J200">
        <v>1</v>
      </c>
      <c r="K200">
        <v>0</v>
      </c>
      <c r="L200">
        <v>17</v>
      </c>
      <c r="M200">
        <v>0</v>
      </c>
      <c r="N200">
        <v>1</v>
      </c>
      <c r="O200">
        <v>1639676.27</v>
      </c>
      <c r="P200">
        <v>5</v>
      </c>
      <c r="Q200">
        <v>4</v>
      </c>
      <c r="R200">
        <v>3.8000000000000003</v>
      </c>
      <c r="S200" t="s">
        <v>2310</v>
      </c>
      <c r="V200">
        <f t="shared" si="9"/>
        <v>0</v>
      </c>
      <c r="W200">
        <f t="shared" si="10"/>
        <v>0</v>
      </c>
      <c r="X200" t="str">
        <f t="shared" si="11"/>
        <v>MATCH</v>
      </c>
    </row>
    <row r="201" spans="1:24" x14ac:dyDescent="0.3">
      <c r="A201">
        <v>17</v>
      </c>
      <c r="B201" t="s">
        <v>15</v>
      </c>
      <c r="C201">
        <v>305627</v>
      </c>
      <c r="D201" t="s">
        <v>413</v>
      </c>
      <c r="E201">
        <v>305627</v>
      </c>
      <c r="F201">
        <v>0</v>
      </c>
      <c r="G201" t="s">
        <v>414</v>
      </c>
      <c r="H201">
        <v>0</v>
      </c>
      <c r="I201">
        <v>0</v>
      </c>
      <c r="J201">
        <v>1</v>
      </c>
      <c r="K201">
        <v>0</v>
      </c>
      <c r="L201">
        <v>17</v>
      </c>
      <c r="M201">
        <v>0</v>
      </c>
      <c r="N201">
        <v>1</v>
      </c>
      <c r="O201">
        <v>305627</v>
      </c>
      <c r="P201">
        <v>5</v>
      </c>
      <c r="Q201">
        <v>5</v>
      </c>
      <c r="R201">
        <v>4.0999999999999996</v>
      </c>
      <c r="S201" t="s">
        <v>2310</v>
      </c>
      <c r="V201">
        <f t="shared" si="9"/>
        <v>0</v>
      </c>
      <c r="W201">
        <f t="shared" si="10"/>
        <v>0</v>
      </c>
      <c r="X201" t="str">
        <f t="shared" si="11"/>
        <v>MATCH</v>
      </c>
    </row>
    <row r="202" spans="1:24" x14ac:dyDescent="0.3">
      <c r="A202">
        <v>17</v>
      </c>
      <c r="B202" t="s">
        <v>18</v>
      </c>
      <c r="C202">
        <v>305627</v>
      </c>
      <c r="D202" t="s">
        <v>415</v>
      </c>
      <c r="E202">
        <v>305627</v>
      </c>
      <c r="F202">
        <v>0</v>
      </c>
      <c r="G202" t="s">
        <v>416</v>
      </c>
      <c r="H202">
        <v>7699847.1600000001</v>
      </c>
      <c r="I202">
        <v>8005474.1600000001</v>
      </c>
      <c r="J202">
        <v>1</v>
      </c>
      <c r="K202">
        <v>0</v>
      </c>
      <c r="L202">
        <v>17</v>
      </c>
      <c r="M202">
        <v>0</v>
      </c>
      <c r="N202">
        <v>1</v>
      </c>
      <c r="O202">
        <v>305627</v>
      </c>
      <c r="P202">
        <v>5</v>
      </c>
      <c r="Q202">
        <v>4</v>
      </c>
      <c r="R202">
        <v>3.8000000000000003</v>
      </c>
      <c r="S202" t="s">
        <v>2310</v>
      </c>
      <c r="V202">
        <f t="shared" si="9"/>
        <v>0</v>
      </c>
      <c r="W202">
        <f t="shared" si="10"/>
        <v>0</v>
      </c>
      <c r="X202" t="str">
        <f t="shared" si="11"/>
        <v>MATCH</v>
      </c>
    </row>
    <row r="203" spans="1:24" x14ac:dyDescent="0.3">
      <c r="A203">
        <v>17</v>
      </c>
      <c r="B203" t="s">
        <v>15</v>
      </c>
      <c r="C203">
        <v>195351.76</v>
      </c>
      <c r="D203" t="s">
        <v>417</v>
      </c>
      <c r="E203">
        <v>195351.76</v>
      </c>
      <c r="F203">
        <v>0</v>
      </c>
      <c r="G203" t="s">
        <v>418</v>
      </c>
      <c r="H203">
        <v>0</v>
      </c>
      <c r="I203">
        <v>0</v>
      </c>
      <c r="J203">
        <v>1</v>
      </c>
      <c r="K203">
        <v>0</v>
      </c>
      <c r="L203">
        <v>17</v>
      </c>
      <c r="M203">
        <v>0</v>
      </c>
      <c r="N203">
        <v>1</v>
      </c>
      <c r="O203">
        <v>195351.76</v>
      </c>
      <c r="P203">
        <v>4</v>
      </c>
      <c r="Q203">
        <v>5</v>
      </c>
      <c r="R203">
        <v>3.6</v>
      </c>
      <c r="S203" t="s">
        <v>2310</v>
      </c>
      <c r="V203">
        <f t="shared" si="9"/>
        <v>0</v>
      </c>
      <c r="W203">
        <f t="shared" si="10"/>
        <v>0</v>
      </c>
      <c r="X203" t="str">
        <f t="shared" si="11"/>
        <v>MATCH</v>
      </c>
    </row>
    <row r="204" spans="1:24" x14ac:dyDescent="0.3">
      <c r="A204">
        <v>17</v>
      </c>
      <c r="B204" t="s">
        <v>18</v>
      </c>
      <c r="C204">
        <v>195351.76</v>
      </c>
      <c r="D204" t="s">
        <v>419</v>
      </c>
      <c r="E204">
        <v>195351.76</v>
      </c>
      <c r="F204">
        <v>0</v>
      </c>
      <c r="G204" t="s">
        <v>420</v>
      </c>
      <c r="H204">
        <v>156408.25</v>
      </c>
      <c r="I204">
        <v>265841</v>
      </c>
      <c r="J204">
        <v>1</v>
      </c>
      <c r="K204">
        <v>0</v>
      </c>
      <c r="L204">
        <v>17</v>
      </c>
      <c r="M204">
        <v>0</v>
      </c>
      <c r="N204">
        <v>1</v>
      </c>
      <c r="O204">
        <v>195351.76</v>
      </c>
      <c r="P204">
        <v>4</v>
      </c>
      <c r="Q204">
        <v>4</v>
      </c>
      <c r="R204">
        <v>3.3000000000000003</v>
      </c>
      <c r="S204" t="s">
        <v>2310</v>
      </c>
      <c r="V204">
        <f t="shared" si="9"/>
        <v>0</v>
      </c>
      <c r="W204">
        <f t="shared" si="10"/>
        <v>0</v>
      </c>
      <c r="X204" t="str">
        <f t="shared" si="11"/>
        <v>MATCH</v>
      </c>
    </row>
    <row r="205" spans="1:24" x14ac:dyDescent="0.3">
      <c r="A205">
        <v>17</v>
      </c>
      <c r="B205" t="s">
        <v>18</v>
      </c>
      <c r="C205">
        <v>42062.82</v>
      </c>
      <c r="D205" t="s">
        <v>421</v>
      </c>
      <c r="E205">
        <v>340830.43</v>
      </c>
      <c r="F205">
        <v>298767.61</v>
      </c>
      <c r="G205" t="s">
        <v>422</v>
      </c>
      <c r="H205">
        <v>398931.35</v>
      </c>
      <c r="I205">
        <v>678419.64</v>
      </c>
      <c r="J205">
        <v>1</v>
      </c>
      <c r="K205">
        <v>0</v>
      </c>
      <c r="L205">
        <v>17</v>
      </c>
      <c r="M205">
        <v>0</v>
      </c>
      <c r="N205">
        <v>0</v>
      </c>
      <c r="O205">
        <v>42062.820000000007</v>
      </c>
      <c r="P205">
        <v>2</v>
      </c>
      <c r="Q205">
        <v>4</v>
      </c>
      <c r="R205">
        <v>2.2000000000000002</v>
      </c>
      <c r="S205" t="s">
        <v>2312</v>
      </c>
      <c r="V205">
        <f t="shared" si="9"/>
        <v>298767.61</v>
      </c>
      <c r="W205">
        <f t="shared" si="10"/>
        <v>0</v>
      </c>
      <c r="X205" t="str">
        <f t="shared" si="11"/>
        <v>MATCH</v>
      </c>
    </row>
    <row r="206" spans="1:24" x14ac:dyDescent="0.3">
      <c r="A206">
        <v>18</v>
      </c>
      <c r="B206" t="s">
        <v>15</v>
      </c>
      <c r="C206">
        <v>295664.18</v>
      </c>
      <c r="D206" t="s">
        <v>423</v>
      </c>
      <c r="E206">
        <v>295664.18</v>
      </c>
      <c r="F206">
        <v>0</v>
      </c>
      <c r="G206" t="s">
        <v>424</v>
      </c>
      <c r="H206">
        <v>0</v>
      </c>
      <c r="I206">
        <v>0</v>
      </c>
      <c r="J206">
        <v>1</v>
      </c>
      <c r="K206">
        <v>0</v>
      </c>
      <c r="L206">
        <v>18</v>
      </c>
      <c r="M206">
        <v>0</v>
      </c>
      <c r="N206">
        <v>1</v>
      </c>
      <c r="O206">
        <v>295664.18</v>
      </c>
      <c r="P206">
        <v>5</v>
      </c>
      <c r="Q206">
        <v>5</v>
      </c>
      <c r="R206">
        <v>4.0999999999999996</v>
      </c>
      <c r="S206" t="s">
        <v>2310</v>
      </c>
      <c r="V206">
        <f t="shared" si="9"/>
        <v>0</v>
      </c>
      <c r="W206">
        <f t="shared" si="10"/>
        <v>0</v>
      </c>
      <c r="X206" t="str">
        <f t="shared" si="11"/>
        <v>MATCH</v>
      </c>
    </row>
    <row r="207" spans="1:24" x14ac:dyDescent="0.3">
      <c r="A207">
        <v>18</v>
      </c>
      <c r="B207" t="s">
        <v>18</v>
      </c>
      <c r="C207">
        <v>295664.18</v>
      </c>
      <c r="D207" t="s">
        <v>425</v>
      </c>
      <c r="E207">
        <v>295664.18</v>
      </c>
      <c r="F207">
        <v>0</v>
      </c>
      <c r="G207" t="s">
        <v>396</v>
      </c>
      <c r="H207">
        <v>10200000</v>
      </c>
      <c r="I207">
        <v>10500000</v>
      </c>
      <c r="J207">
        <v>1</v>
      </c>
      <c r="K207">
        <v>0</v>
      </c>
      <c r="L207">
        <v>18</v>
      </c>
      <c r="M207">
        <v>0</v>
      </c>
      <c r="N207">
        <v>1</v>
      </c>
      <c r="O207">
        <v>295664.18</v>
      </c>
      <c r="P207">
        <v>5</v>
      </c>
      <c r="Q207">
        <v>4</v>
      </c>
      <c r="R207">
        <v>3.8000000000000003</v>
      </c>
      <c r="S207" t="s">
        <v>2310</v>
      </c>
      <c r="V207">
        <f t="shared" si="9"/>
        <v>0</v>
      </c>
      <c r="W207">
        <f t="shared" si="10"/>
        <v>0</v>
      </c>
      <c r="X207" t="str">
        <f t="shared" si="11"/>
        <v>MATCH</v>
      </c>
    </row>
    <row r="208" spans="1:24" x14ac:dyDescent="0.3">
      <c r="A208">
        <v>18</v>
      </c>
      <c r="B208" t="s">
        <v>15</v>
      </c>
      <c r="C208">
        <v>307739.18</v>
      </c>
      <c r="D208" t="s">
        <v>426</v>
      </c>
      <c r="E208">
        <v>307739.18</v>
      </c>
      <c r="F208">
        <v>0</v>
      </c>
      <c r="G208" t="s">
        <v>427</v>
      </c>
      <c r="H208">
        <v>0</v>
      </c>
      <c r="I208">
        <v>0</v>
      </c>
      <c r="J208">
        <v>1</v>
      </c>
      <c r="K208">
        <v>0</v>
      </c>
      <c r="L208">
        <v>18</v>
      </c>
      <c r="M208">
        <v>0</v>
      </c>
      <c r="N208">
        <v>1</v>
      </c>
      <c r="O208">
        <v>307739.18</v>
      </c>
      <c r="P208">
        <v>5</v>
      </c>
      <c r="Q208">
        <v>5</v>
      </c>
      <c r="R208">
        <v>4.0999999999999996</v>
      </c>
      <c r="S208" t="s">
        <v>2310</v>
      </c>
      <c r="V208">
        <f t="shared" si="9"/>
        <v>0</v>
      </c>
      <c r="W208">
        <f t="shared" si="10"/>
        <v>0</v>
      </c>
      <c r="X208" t="str">
        <f t="shared" si="11"/>
        <v>MATCH</v>
      </c>
    </row>
    <row r="209" spans="1:24" x14ac:dyDescent="0.3">
      <c r="A209">
        <v>18</v>
      </c>
      <c r="B209" t="s">
        <v>18</v>
      </c>
      <c r="C209">
        <v>307739.18</v>
      </c>
      <c r="D209" t="s">
        <v>428</v>
      </c>
      <c r="E209">
        <v>307739.18</v>
      </c>
      <c r="F209">
        <v>0</v>
      </c>
      <c r="G209" t="s">
        <v>429</v>
      </c>
      <c r="H209">
        <v>25326</v>
      </c>
      <c r="I209">
        <v>838246.41</v>
      </c>
      <c r="J209">
        <v>1</v>
      </c>
      <c r="K209">
        <v>0</v>
      </c>
      <c r="L209">
        <v>18</v>
      </c>
      <c r="M209">
        <v>0</v>
      </c>
      <c r="N209">
        <v>1</v>
      </c>
      <c r="O209">
        <v>307739.18</v>
      </c>
      <c r="P209">
        <v>5</v>
      </c>
      <c r="Q209">
        <v>4</v>
      </c>
      <c r="R209">
        <v>3.8000000000000003</v>
      </c>
      <c r="S209" t="s">
        <v>2310</v>
      </c>
      <c r="V209">
        <f t="shared" si="9"/>
        <v>0</v>
      </c>
      <c r="W209">
        <f t="shared" si="10"/>
        <v>0</v>
      </c>
      <c r="X209" t="str">
        <f t="shared" si="11"/>
        <v>MATCH</v>
      </c>
    </row>
    <row r="210" spans="1:24" x14ac:dyDescent="0.3">
      <c r="A210">
        <v>18</v>
      </c>
      <c r="B210" t="s">
        <v>18</v>
      </c>
      <c r="C210">
        <v>314251.58</v>
      </c>
      <c r="D210" t="s">
        <v>430</v>
      </c>
      <c r="E210">
        <v>75956.47</v>
      </c>
      <c r="F210">
        <v>0</v>
      </c>
      <c r="G210" t="s">
        <v>431</v>
      </c>
      <c r="H210">
        <v>7962205.25</v>
      </c>
      <c r="I210">
        <v>8276456.8399999999</v>
      </c>
      <c r="J210">
        <v>1</v>
      </c>
      <c r="K210">
        <v>0</v>
      </c>
      <c r="L210">
        <v>18</v>
      </c>
      <c r="M210">
        <v>0</v>
      </c>
      <c r="N210">
        <v>1</v>
      </c>
      <c r="O210">
        <v>75956.47</v>
      </c>
      <c r="P210">
        <v>5</v>
      </c>
      <c r="Q210">
        <v>4</v>
      </c>
      <c r="R210">
        <v>3.8000000000000003</v>
      </c>
      <c r="S210" t="s">
        <v>2310</v>
      </c>
      <c r="V210">
        <f t="shared" si="9"/>
        <v>-238295.11000000002</v>
      </c>
      <c r="W210">
        <f t="shared" si="10"/>
        <v>238295.11000000002</v>
      </c>
      <c r="X210" t="str">
        <f t="shared" si="11"/>
        <v>BREAK</v>
      </c>
    </row>
    <row r="211" spans="1:24" x14ac:dyDescent="0.3">
      <c r="A211">
        <v>18</v>
      </c>
      <c r="B211" t="s">
        <v>15</v>
      </c>
      <c r="C211">
        <v>1102133.8999999999</v>
      </c>
      <c r="D211" t="s">
        <v>432</v>
      </c>
      <c r="E211">
        <v>1102133.8999999999</v>
      </c>
      <c r="F211">
        <v>0</v>
      </c>
      <c r="G211" t="s">
        <v>433</v>
      </c>
      <c r="H211">
        <v>0</v>
      </c>
      <c r="I211">
        <v>746575.95</v>
      </c>
      <c r="J211">
        <v>1</v>
      </c>
      <c r="K211">
        <v>0</v>
      </c>
      <c r="L211">
        <v>18</v>
      </c>
      <c r="M211">
        <v>0</v>
      </c>
      <c r="N211">
        <v>1</v>
      </c>
      <c r="O211">
        <v>1102133.8999999999</v>
      </c>
      <c r="P211">
        <v>5</v>
      </c>
      <c r="Q211">
        <v>5</v>
      </c>
      <c r="R211">
        <v>4.0999999999999996</v>
      </c>
      <c r="S211" t="s">
        <v>2310</v>
      </c>
      <c r="V211">
        <f t="shared" si="9"/>
        <v>0</v>
      </c>
      <c r="W211">
        <f t="shared" si="10"/>
        <v>0</v>
      </c>
      <c r="X211" t="str">
        <f t="shared" si="11"/>
        <v>MATCH</v>
      </c>
    </row>
    <row r="212" spans="1:24" x14ac:dyDescent="0.3">
      <c r="A212">
        <v>18</v>
      </c>
      <c r="B212" t="s">
        <v>18</v>
      </c>
      <c r="C212">
        <v>1102133.8999999999</v>
      </c>
      <c r="D212" t="s">
        <v>434</v>
      </c>
      <c r="E212">
        <v>1102133.8999999999</v>
      </c>
      <c r="F212">
        <v>0</v>
      </c>
      <c r="G212" t="s">
        <v>435</v>
      </c>
      <c r="H212">
        <v>306228.56</v>
      </c>
      <c r="I212">
        <v>1408362.45</v>
      </c>
      <c r="J212">
        <v>1</v>
      </c>
      <c r="K212">
        <v>0</v>
      </c>
      <c r="L212">
        <v>18</v>
      </c>
      <c r="M212">
        <v>0</v>
      </c>
      <c r="N212">
        <v>1</v>
      </c>
      <c r="O212">
        <v>1102133.8999999999</v>
      </c>
      <c r="P212">
        <v>5</v>
      </c>
      <c r="Q212">
        <v>4</v>
      </c>
      <c r="R212">
        <v>3.8000000000000003</v>
      </c>
      <c r="S212" t="s">
        <v>2310</v>
      </c>
      <c r="V212">
        <f t="shared" si="9"/>
        <v>0</v>
      </c>
      <c r="W212">
        <f t="shared" si="10"/>
        <v>0</v>
      </c>
      <c r="X212" t="str">
        <f t="shared" si="11"/>
        <v>MATCH</v>
      </c>
    </row>
    <row r="213" spans="1:24" x14ac:dyDescent="0.3">
      <c r="A213">
        <v>18</v>
      </c>
      <c r="B213" t="s">
        <v>15</v>
      </c>
      <c r="C213">
        <v>1144089.3700000001</v>
      </c>
      <c r="D213" t="s">
        <v>436</v>
      </c>
      <c r="E213">
        <v>1144089.3700000001</v>
      </c>
      <c r="F213">
        <v>0</v>
      </c>
      <c r="G213" t="s">
        <v>437</v>
      </c>
      <c r="H213">
        <v>0</v>
      </c>
      <c r="I213">
        <v>0</v>
      </c>
      <c r="J213">
        <v>1</v>
      </c>
      <c r="K213">
        <v>0</v>
      </c>
      <c r="L213">
        <v>18</v>
      </c>
      <c r="M213">
        <v>0</v>
      </c>
      <c r="N213">
        <v>1</v>
      </c>
      <c r="O213">
        <v>1144089.3700000001</v>
      </c>
      <c r="P213">
        <v>5</v>
      </c>
      <c r="Q213">
        <v>5</v>
      </c>
      <c r="R213">
        <v>4.0999999999999996</v>
      </c>
      <c r="S213" t="s">
        <v>2310</v>
      </c>
      <c r="V213">
        <f t="shared" si="9"/>
        <v>0</v>
      </c>
      <c r="W213">
        <f t="shared" si="10"/>
        <v>0</v>
      </c>
      <c r="X213" t="str">
        <f t="shared" si="11"/>
        <v>MATCH</v>
      </c>
    </row>
    <row r="214" spans="1:24" x14ac:dyDescent="0.3">
      <c r="A214">
        <v>18</v>
      </c>
      <c r="B214" t="s">
        <v>18</v>
      </c>
      <c r="C214">
        <v>1144089.3700000001</v>
      </c>
      <c r="D214" t="s">
        <v>438</v>
      </c>
      <c r="E214">
        <v>1144089.3700000001</v>
      </c>
      <c r="F214">
        <v>0</v>
      </c>
      <c r="G214" t="s">
        <v>439</v>
      </c>
      <c r="H214">
        <v>2502877.2599999998</v>
      </c>
      <c r="I214">
        <v>3879210.29</v>
      </c>
      <c r="J214">
        <v>1</v>
      </c>
      <c r="K214">
        <v>0</v>
      </c>
      <c r="L214">
        <v>18</v>
      </c>
      <c r="M214">
        <v>0</v>
      </c>
      <c r="N214">
        <v>1</v>
      </c>
      <c r="O214">
        <v>1144089.3700000001</v>
      </c>
      <c r="P214">
        <v>5</v>
      </c>
      <c r="Q214">
        <v>4</v>
      </c>
      <c r="R214">
        <v>3.8000000000000003</v>
      </c>
      <c r="S214" t="s">
        <v>2310</v>
      </c>
      <c r="V214">
        <f t="shared" si="9"/>
        <v>0</v>
      </c>
      <c r="W214">
        <f t="shared" si="10"/>
        <v>0</v>
      </c>
      <c r="X214" t="str">
        <f t="shared" si="11"/>
        <v>MATCH</v>
      </c>
    </row>
    <row r="215" spans="1:24" x14ac:dyDescent="0.3">
      <c r="A215">
        <v>18</v>
      </c>
      <c r="B215" t="s">
        <v>15</v>
      </c>
      <c r="C215">
        <v>1974352.3</v>
      </c>
      <c r="D215" t="s">
        <v>440</v>
      </c>
      <c r="E215">
        <v>1974352.3</v>
      </c>
      <c r="F215">
        <v>0</v>
      </c>
      <c r="G215" t="s">
        <v>441</v>
      </c>
      <c r="H215">
        <v>0</v>
      </c>
      <c r="I215">
        <v>0</v>
      </c>
      <c r="J215">
        <v>1</v>
      </c>
      <c r="K215">
        <v>0</v>
      </c>
      <c r="L215">
        <v>18</v>
      </c>
      <c r="M215">
        <v>0</v>
      </c>
      <c r="N215">
        <v>1</v>
      </c>
      <c r="O215">
        <v>1974352.3</v>
      </c>
      <c r="P215">
        <v>5</v>
      </c>
      <c r="Q215">
        <v>5</v>
      </c>
      <c r="R215">
        <v>4.0999999999999996</v>
      </c>
      <c r="S215" t="s">
        <v>2310</v>
      </c>
      <c r="V215">
        <f t="shared" si="9"/>
        <v>0</v>
      </c>
      <c r="W215">
        <f t="shared" si="10"/>
        <v>0</v>
      </c>
      <c r="X215" t="str">
        <f t="shared" si="11"/>
        <v>MATCH</v>
      </c>
    </row>
    <row r="216" spans="1:24" x14ac:dyDescent="0.3">
      <c r="A216">
        <v>18</v>
      </c>
      <c r="B216" t="s">
        <v>18</v>
      </c>
      <c r="C216">
        <v>1974352.3</v>
      </c>
      <c r="D216" t="s">
        <v>442</v>
      </c>
      <c r="E216">
        <v>1974352.3</v>
      </c>
      <c r="F216">
        <v>0</v>
      </c>
      <c r="G216" t="s">
        <v>443</v>
      </c>
      <c r="H216">
        <v>15531.71</v>
      </c>
      <c r="I216">
        <v>1989884.01</v>
      </c>
      <c r="J216">
        <v>1</v>
      </c>
      <c r="K216">
        <v>0</v>
      </c>
      <c r="L216">
        <v>18</v>
      </c>
      <c r="M216">
        <v>0</v>
      </c>
      <c r="N216">
        <v>1</v>
      </c>
      <c r="O216">
        <v>1974352.3</v>
      </c>
      <c r="P216">
        <v>5</v>
      </c>
      <c r="Q216">
        <v>4</v>
      </c>
      <c r="R216">
        <v>3.8000000000000003</v>
      </c>
      <c r="S216" t="s">
        <v>2310</v>
      </c>
      <c r="V216">
        <f t="shared" si="9"/>
        <v>0</v>
      </c>
      <c r="W216">
        <f t="shared" si="10"/>
        <v>0</v>
      </c>
      <c r="X216" t="str">
        <f t="shared" si="11"/>
        <v>MATCH</v>
      </c>
    </row>
    <row r="217" spans="1:24" x14ac:dyDescent="0.3">
      <c r="A217">
        <v>18</v>
      </c>
      <c r="B217" t="s">
        <v>15</v>
      </c>
      <c r="C217">
        <v>11481</v>
      </c>
      <c r="D217" t="s">
        <v>444</v>
      </c>
      <c r="E217">
        <v>11481</v>
      </c>
      <c r="F217">
        <v>0</v>
      </c>
      <c r="G217" t="s">
        <v>445</v>
      </c>
      <c r="H217">
        <v>0</v>
      </c>
      <c r="I217">
        <v>263492.28000000003</v>
      </c>
      <c r="J217">
        <v>1</v>
      </c>
      <c r="K217">
        <v>0</v>
      </c>
      <c r="L217">
        <v>18</v>
      </c>
      <c r="M217">
        <v>0</v>
      </c>
      <c r="N217">
        <v>1</v>
      </c>
      <c r="O217">
        <v>11481</v>
      </c>
      <c r="P217">
        <v>2</v>
      </c>
      <c r="Q217">
        <v>5</v>
      </c>
      <c r="R217">
        <v>2.6</v>
      </c>
      <c r="S217" t="s">
        <v>2312</v>
      </c>
      <c r="V217">
        <f t="shared" si="9"/>
        <v>0</v>
      </c>
      <c r="W217">
        <f t="shared" si="10"/>
        <v>0</v>
      </c>
      <c r="X217" t="str">
        <f t="shared" si="11"/>
        <v>MATCH</v>
      </c>
    </row>
    <row r="218" spans="1:24" x14ac:dyDescent="0.3">
      <c r="A218">
        <v>18</v>
      </c>
      <c r="B218" t="s">
        <v>18</v>
      </c>
      <c r="C218">
        <v>11481</v>
      </c>
      <c r="D218" t="s">
        <v>446</v>
      </c>
      <c r="E218">
        <v>11481</v>
      </c>
      <c r="F218">
        <v>0</v>
      </c>
      <c r="G218" t="s">
        <v>447</v>
      </c>
      <c r="H218">
        <v>761417.61</v>
      </c>
      <c r="I218">
        <v>1765080.5</v>
      </c>
      <c r="J218">
        <v>1</v>
      </c>
      <c r="K218">
        <v>0</v>
      </c>
      <c r="L218">
        <v>18</v>
      </c>
      <c r="M218">
        <v>0</v>
      </c>
      <c r="N218">
        <v>1</v>
      </c>
      <c r="O218">
        <v>11481</v>
      </c>
      <c r="P218">
        <v>2</v>
      </c>
      <c r="Q218">
        <v>4</v>
      </c>
      <c r="R218">
        <v>2.3000000000000003</v>
      </c>
      <c r="S218" t="s">
        <v>2312</v>
      </c>
      <c r="V218">
        <f t="shared" si="9"/>
        <v>0</v>
      </c>
      <c r="W218">
        <f t="shared" si="10"/>
        <v>0</v>
      </c>
      <c r="X218" t="str">
        <f t="shared" si="11"/>
        <v>MATCH</v>
      </c>
    </row>
    <row r="219" spans="1:24" x14ac:dyDescent="0.3">
      <c r="A219">
        <v>18</v>
      </c>
      <c r="B219" t="s">
        <v>18</v>
      </c>
      <c r="C219">
        <v>508782.2</v>
      </c>
      <c r="D219" t="s">
        <v>448</v>
      </c>
      <c r="E219">
        <v>0</v>
      </c>
      <c r="F219">
        <v>0</v>
      </c>
      <c r="G219" t="s">
        <v>449</v>
      </c>
      <c r="H219">
        <v>1082007.6499999999</v>
      </c>
      <c r="I219">
        <v>1590789.85</v>
      </c>
      <c r="J219">
        <v>1</v>
      </c>
      <c r="K219">
        <v>0</v>
      </c>
      <c r="L219">
        <v>18</v>
      </c>
      <c r="M219">
        <v>0</v>
      </c>
      <c r="N219">
        <v>0</v>
      </c>
      <c r="O219">
        <v>0</v>
      </c>
      <c r="P219">
        <v>5</v>
      </c>
      <c r="Q219">
        <v>4</v>
      </c>
      <c r="R219">
        <v>3.7</v>
      </c>
      <c r="S219" t="s">
        <v>2310</v>
      </c>
      <c r="V219">
        <f t="shared" si="9"/>
        <v>-508782.2</v>
      </c>
      <c r="W219">
        <f t="shared" si="10"/>
        <v>508782.2</v>
      </c>
      <c r="X219" t="str">
        <f t="shared" si="11"/>
        <v>BREAK</v>
      </c>
    </row>
    <row r="220" spans="1:24" x14ac:dyDescent="0.3">
      <c r="A220">
        <v>18</v>
      </c>
      <c r="B220" t="s">
        <v>15</v>
      </c>
      <c r="C220">
        <v>9131</v>
      </c>
      <c r="D220" t="s">
        <v>450</v>
      </c>
      <c r="E220">
        <v>9131</v>
      </c>
      <c r="F220">
        <v>0</v>
      </c>
      <c r="G220" t="s">
        <v>451</v>
      </c>
      <c r="H220">
        <v>0</v>
      </c>
      <c r="I220">
        <v>0</v>
      </c>
      <c r="J220">
        <v>1</v>
      </c>
      <c r="K220">
        <v>0</v>
      </c>
      <c r="L220">
        <v>18</v>
      </c>
      <c r="M220">
        <v>0</v>
      </c>
      <c r="N220">
        <v>1</v>
      </c>
      <c r="O220">
        <v>9131</v>
      </c>
      <c r="P220">
        <v>1</v>
      </c>
      <c r="Q220">
        <v>5</v>
      </c>
      <c r="R220">
        <v>2.1</v>
      </c>
      <c r="S220" t="s">
        <v>2312</v>
      </c>
      <c r="V220">
        <f t="shared" si="9"/>
        <v>0</v>
      </c>
      <c r="W220">
        <f t="shared" si="10"/>
        <v>0</v>
      </c>
      <c r="X220" t="str">
        <f t="shared" si="11"/>
        <v>MATCH</v>
      </c>
    </row>
    <row r="221" spans="1:24" x14ac:dyDescent="0.3">
      <c r="A221">
        <v>18</v>
      </c>
      <c r="B221" t="s">
        <v>18</v>
      </c>
      <c r="C221">
        <v>9131</v>
      </c>
      <c r="D221" t="s">
        <v>452</v>
      </c>
      <c r="E221">
        <v>9131</v>
      </c>
      <c r="F221">
        <v>0</v>
      </c>
      <c r="G221" t="s">
        <v>453</v>
      </c>
      <c r="H221">
        <v>133084.01999999999</v>
      </c>
      <c r="I221">
        <v>142215.01999999999</v>
      </c>
      <c r="J221">
        <v>1</v>
      </c>
      <c r="K221">
        <v>0</v>
      </c>
      <c r="L221">
        <v>18</v>
      </c>
      <c r="M221">
        <v>0</v>
      </c>
      <c r="N221">
        <v>1</v>
      </c>
      <c r="O221">
        <v>9131</v>
      </c>
      <c r="P221">
        <v>1</v>
      </c>
      <c r="Q221">
        <v>4</v>
      </c>
      <c r="R221">
        <v>1.8</v>
      </c>
      <c r="S221" t="s">
        <v>2311</v>
      </c>
      <c r="V221">
        <f t="shared" si="9"/>
        <v>0</v>
      </c>
      <c r="W221">
        <f t="shared" si="10"/>
        <v>0</v>
      </c>
      <c r="X221" t="str">
        <f t="shared" si="11"/>
        <v>MATCH</v>
      </c>
    </row>
    <row r="222" spans="1:24" x14ac:dyDescent="0.3">
      <c r="A222">
        <v>19</v>
      </c>
      <c r="B222" t="s">
        <v>15</v>
      </c>
      <c r="C222">
        <v>143660.10999999999</v>
      </c>
      <c r="D222" t="s">
        <v>454</v>
      </c>
      <c r="E222">
        <v>143660.10999999999</v>
      </c>
      <c r="F222">
        <v>0</v>
      </c>
      <c r="G222" t="s">
        <v>455</v>
      </c>
      <c r="H222">
        <v>0</v>
      </c>
      <c r="I222">
        <v>0</v>
      </c>
      <c r="J222">
        <v>1</v>
      </c>
      <c r="K222">
        <v>0</v>
      </c>
      <c r="L222">
        <v>19</v>
      </c>
      <c r="M222">
        <v>0</v>
      </c>
      <c r="N222">
        <v>1</v>
      </c>
      <c r="O222">
        <v>143660.10999999999</v>
      </c>
      <c r="P222">
        <v>4</v>
      </c>
      <c r="Q222">
        <v>5</v>
      </c>
      <c r="R222">
        <v>3.6</v>
      </c>
      <c r="S222" t="s">
        <v>2310</v>
      </c>
      <c r="V222">
        <f t="shared" si="9"/>
        <v>0</v>
      </c>
      <c r="W222">
        <f t="shared" si="10"/>
        <v>0</v>
      </c>
      <c r="X222" t="str">
        <f t="shared" si="11"/>
        <v>MATCH</v>
      </c>
    </row>
    <row r="223" spans="1:24" x14ac:dyDescent="0.3">
      <c r="A223">
        <v>19</v>
      </c>
      <c r="B223" t="s">
        <v>18</v>
      </c>
      <c r="C223">
        <v>143660.10999999999</v>
      </c>
      <c r="D223" t="s">
        <v>456</v>
      </c>
      <c r="E223">
        <v>143660.10999999999</v>
      </c>
      <c r="F223">
        <v>0</v>
      </c>
      <c r="G223" t="s">
        <v>457</v>
      </c>
      <c r="H223">
        <v>0</v>
      </c>
      <c r="I223">
        <v>143660.10999999999</v>
      </c>
      <c r="J223">
        <v>1</v>
      </c>
      <c r="K223">
        <v>0</v>
      </c>
      <c r="L223">
        <v>19</v>
      </c>
      <c r="M223">
        <v>0</v>
      </c>
      <c r="N223">
        <v>1</v>
      </c>
      <c r="O223">
        <v>143660.10999999999</v>
      </c>
      <c r="P223">
        <v>4</v>
      </c>
      <c r="Q223">
        <v>4</v>
      </c>
      <c r="R223">
        <v>3.3000000000000003</v>
      </c>
      <c r="S223" t="s">
        <v>2310</v>
      </c>
      <c r="V223">
        <f t="shared" si="9"/>
        <v>0</v>
      </c>
      <c r="W223">
        <f t="shared" si="10"/>
        <v>0</v>
      </c>
      <c r="X223" t="str">
        <f t="shared" si="11"/>
        <v>MATCH</v>
      </c>
    </row>
    <row r="224" spans="1:24" x14ac:dyDescent="0.3">
      <c r="A224">
        <v>19</v>
      </c>
      <c r="B224" t="s">
        <v>15</v>
      </c>
      <c r="C224">
        <v>3477438.49</v>
      </c>
      <c r="D224" t="s">
        <v>458</v>
      </c>
      <c r="E224">
        <v>3477438.49</v>
      </c>
      <c r="F224">
        <v>0</v>
      </c>
      <c r="G224" t="s">
        <v>459</v>
      </c>
      <c r="H224">
        <v>0</v>
      </c>
      <c r="I224">
        <v>0</v>
      </c>
      <c r="J224">
        <v>1</v>
      </c>
      <c r="K224">
        <v>0</v>
      </c>
      <c r="L224">
        <v>19</v>
      </c>
      <c r="M224">
        <v>0</v>
      </c>
      <c r="N224">
        <v>1</v>
      </c>
      <c r="O224">
        <v>3477438.49</v>
      </c>
      <c r="P224">
        <v>5</v>
      </c>
      <c r="Q224">
        <v>5</v>
      </c>
      <c r="R224">
        <v>4.0999999999999996</v>
      </c>
      <c r="S224" t="s">
        <v>2310</v>
      </c>
      <c r="V224">
        <f t="shared" si="9"/>
        <v>0</v>
      </c>
      <c r="W224">
        <f t="shared" si="10"/>
        <v>0</v>
      </c>
      <c r="X224" t="str">
        <f t="shared" si="11"/>
        <v>MATCH</v>
      </c>
    </row>
    <row r="225" spans="1:24" x14ac:dyDescent="0.3">
      <c r="A225">
        <v>19</v>
      </c>
      <c r="B225" t="s">
        <v>18</v>
      </c>
      <c r="C225">
        <v>3477438.49</v>
      </c>
      <c r="D225" t="s">
        <v>460</v>
      </c>
      <c r="E225">
        <v>3477438.49</v>
      </c>
      <c r="F225">
        <v>0</v>
      </c>
      <c r="G225" t="s">
        <v>461</v>
      </c>
      <c r="H225">
        <v>0</v>
      </c>
      <c r="I225">
        <v>3477438.49</v>
      </c>
      <c r="J225">
        <v>1</v>
      </c>
      <c r="K225">
        <v>0</v>
      </c>
      <c r="L225">
        <v>19</v>
      </c>
      <c r="M225">
        <v>0</v>
      </c>
      <c r="N225">
        <v>1</v>
      </c>
      <c r="O225">
        <v>3477438.49</v>
      </c>
      <c r="P225">
        <v>5</v>
      </c>
      <c r="Q225">
        <v>4</v>
      </c>
      <c r="R225">
        <v>3.8000000000000003</v>
      </c>
      <c r="S225" t="s">
        <v>2310</v>
      </c>
      <c r="V225">
        <f t="shared" si="9"/>
        <v>0</v>
      </c>
      <c r="W225">
        <f t="shared" si="10"/>
        <v>0</v>
      </c>
      <c r="X225" t="str">
        <f t="shared" si="11"/>
        <v>MATCH</v>
      </c>
    </row>
    <row r="226" spans="1:24" x14ac:dyDescent="0.3">
      <c r="A226">
        <v>19</v>
      </c>
      <c r="B226" t="s">
        <v>18</v>
      </c>
      <c r="C226">
        <v>122101.57</v>
      </c>
      <c r="D226" t="s">
        <v>462</v>
      </c>
      <c r="E226">
        <v>0</v>
      </c>
      <c r="F226">
        <v>0</v>
      </c>
      <c r="G226" t="s">
        <v>463</v>
      </c>
      <c r="H226">
        <v>0</v>
      </c>
      <c r="I226">
        <v>639940.19999999995</v>
      </c>
      <c r="J226">
        <v>1</v>
      </c>
      <c r="K226">
        <v>0</v>
      </c>
      <c r="L226">
        <v>19</v>
      </c>
      <c r="M226">
        <v>0</v>
      </c>
      <c r="N226">
        <v>0</v>
      </c>
      <c r="O226">
        <v>0</v>
      </c>
      <c r="P226">
        <v>4</v>
      </c>
      <c r="Q226">
        <v>4</v>
      </c>
      <c r="R226">
        <v>3.2</v>
      </c>
      <c r="S226" t="s">
        <v>2310</v>
      </c>
      <c r="V226">
        <f t="shared" si="9"/>
        <v>-122101.57</v>
      </c>
      <c r="W226">
        <f t="shared" si="10"/>
        <v>122101.57</v>
      </c>
      <c r="X226" t="str">
        <f t="shared" si="11"/>
        <v>BREAK</v>
      </c>
    </row>
    <row r="227" spans="1:24" x14ac:dyDescent="0.3">
      <c r="A227">
        <v>19</v>
      </c>
      <c r="B227" t="s">
        <v>15</v>
      </c>
      <c r="C227">
        <v>161939.35999999999</v>
      </c>
      <c r="D227" t="s">
        <v>464</v>
      </c>
      <c r="E227">
        <v>161939.35999999999</v>
      </c>
      <c r="F227">
        <v>0</v>
      </c>
      <c r="G227" t="s">
        <v>465</v>
      </c>
      <c r="H227">
        <v>0</v>
      </c>
      <c r="I227">
        <v>0</v>
      </c>
      <c r="J227">
        <v>1</v>
      </c>
      <c r="K227">
        <v>0</v>
      </c>
      <c r="L227">
        <v>19</v>
      </c>
      <c r="M227">
        <v>0</v>
      </c>
      <c r="N227">
        <v>1</v>
      </c>
      <c r="O227">
        <v>161939.35999999999</v>
      </c>
      <c r="P227">
        <v>4</v>
      </c>
      <c r="Q227">
        <v>5</v>
      </c>
      <c r="R227">
        <v>3.6</v>
      </c>
      <c r="S227" t="s">
        <v>2310</v>
      </c>
      <c r="V227">
        <f t="shared" si="9"/>
        <v>0</v>
      </c>
      <c r="W227">
        <f t="shared" si="10"/>
        <v>0</v>
      </c>
      <c r="X227" t="str">
        <f t="shared" si="11"/>
        <v>MATCH</v>
      </c>
    </row>
    <row r="228" spans="1:24" x14ac:dyDescent="0.3">
      <c r="A228">
        <v>19</v>
      </c>
      <c r="B228" t="s">
        <v>18</v>
      </c>
      <c r="C228">
        <v>161939.35999999999</v>
      </c>
      <c r="D228" t="s">
        <v>466</v>
      </c>
      <c r="E228">
        <v>161939.35999999999</v>
      </c>
      <c r="F228">
        <v>0</v>
      </c>
      <c r="G228" t="s">
        <v>467</v>
      </c>
      <c r="H228">
        <v>628935.02</v>
      </c>
      <c r="I228">
        <v>851972.34</v>
      </c>
      <c r="J228">
        <v>1</v>
      </c>
      <c r="K228">
        <v>0</v>
      </c>
      <c r="L228">
        <v>19</v>
      </c>
      <c r="M228">
        <v>0</v>
      </c>
      <c r="N228">
        <v>1</v>
      </c>
      <c r="O228">
        <v>161939.35999999999</v>
      </c>
      <c r="P228">
        <v>4</v>
      </c>
      <c r="Q228">
        <v>4</v>
      </c>
      <c r="R228">
        <v>3.3000000000000003</v>
      </c>
      <c r="S228" t="s">
        <v>2310</v>
      </c>
      <c r="V228">
        <f t="shared" si="9"/>
        <v>0</v>
      </c>
      <c r="W228">
        <f t="shared" si="10"/>
        <v>0</v>
      </c>
      <c r="X228" t="str">
        <f t="shared" si="11"/>
        <v>MATCH</v>
      </c>
    </row>
    <row r="229" spans="1:24" x14ac:dyDescent="0.3">
      <c r="A229">
        <v>19</v>
      </c>
      <c r="B229" t="s">
        <v>15</v>
      </c>
      <c r="C229">
        <v>10000000</v>
      </c>
      <c r="D229" t="s">
        <v>468</v>
      </c>
      <c r="E229">
        <v>11900000</v>
      </c>
      <c r="F229">
        <v>1861008.32</v>
      </c>
      <c r="G229" t="s">
        <v>469</v>
      </c>
      <c r="H229">
        <v>0</v>
      </c>
      <c r="I229">
        <v>0</v>
      </c>
      <c r="J229">
        <v>1</v>
      </c>
      <c r="K229">
        <v>0</v>
      </c>
      <c r="L229">
        <v>19</v>
      </c>
      <c r="M229">
        <v>1</v>
      </c>
      <c r="N229">
        <v>0</v>
      </c>
      <c r="O229">
        <v>10038991.68</v>
      </c>
      <c r="P229">
        <v>5</v>
      </c>
      <c r="Q229">
        <v>5</v>
      </c>
      <c r="R229">
        <v>4.0999999999999996</v>
      </c>
      <c r="S229" t="s">
        <v>2310</v>
      </c>
      <c r="V229">
        <f t="shared" si="9"/>
        <v>1900000</v>
      </c>
      <c r="W229">
        <f t="shared" si="10"/>
        <v>38991.679999999935</v>
      </c>
      <c r="X229" t="str">
        <f t="shared" si="11"/>
        <v>BREAK</v>
      </c>
    </row>
    <row r="230" spans="1:24" x14ac:dyDescent="0.3">
      <c r="A230">
        <v>19</v>
      </c>
      <c r="B230" t="s">
        <v>18</v>
      </c>
      <c r="C230">
        <v>10000000</v>
      </c>
      <c r="D230" t="s">
        <v>470</v>
      </c>
      <c r="E230">
        <v>10000000</v>
      </c>
      <c r="F230">
        <v>0</v>
      </c>
      <c r="G230" t="s">
        <v>471</v>
      </c>
      <c r="H230">
        <v>504326.62</v>
      </c>
      <c r="I230">
        <v>10300000</v>
      </c>
      <c r="J230">
        <v>1</v>
      </c>
      <c r="K230">
        <v>0</v>
      </c>
      <c r="L230">
        <v>19</v>
      </c>
      <c r="M230">
        <v>1</v>
      </c>
      <c r="N230">
        <v>1</v>
      </c>
      <c r="O230">
        <v>10000000</v>
      </c>
      <c r="P230">
        <v>5</v>
      </c>
      <c r="Q230">
        <v>4</v>
      </c>
      <c r="R230">
        <v>3.9000000000000004</v>
      </c>
      <c r="S230" t="s">
        <v>2310</v>
      </c>
      <c r="V230">
        <f t="shared" si="9"/>
        <v>0</v>
      </c>
      <c r="W230">
        <f t="shared" si="10"/>
        <v>0</v>
      </c>
      <c r="X230" t="str">
        <f t="shared" si="11"/>
        <v>MATCH</v>
      </c>
    </row>
    <row r="231" spans="1:24" x14ac:dyDescent="0.3">
      <c r="A231">
        <v>19</v>
      </c>
      <c r="B231" t="s">
        <v>15</v>
      </c>
      <c r="C231">
        <v>1861008.32</v>
      </c>
      <c r="D231" t="s">
        <v>472</v>
      </c>
      <c r="E231">
        <v>1861008.32</v>
      </c>
      <c r="F231">
        <v>0</v>
      </c>
      <c r="G231" t="s">
        <v>473</v>
      </c>
      <c r="H231">
        <v>0</v>
      </c>
      <c r="I231">
        <v>0</v>
      </c>
      <c r="J231">
        <v>1</v>
      </c>
      <c r="K231">
        <v>0</v>
      </c>
      <c r="L231">
        <v>19</v>
      </c>
      <c r="M231">
        <v>0</v>
      </c>
      <c r="N231">
        <v>1</v>
      </c>
      <c r="O231">
        <v>1861008.32</v>
      </c>
      <c r="P231">
        <v>5</v>
      </c>
      <c r="Q231">
        <v>5</v>
      </c>
      <c r="R231">
        <v>4.0999999999999996</v>
      </c>
      <c r="S231" t="s">
        <v>2310</v>
      </c>
      <c r="V231">
        <f t="shared" si="9"/>
        <v>0</v>
      </c>
      <c r="W231">
        <f t="shared" si="10"/>
        <v>0</v>
      </c>
      <c r="X231" t="str">
        <f t="shared" si="11"/>
        <v>MATCH</v>
      </c>
    </row>
    <row r="232" spans="1:24" x14ac:dyDescent="0.3">
      <c r="A232">
        <v>19</v>
      </c>
      <c r="B232" t="s">
        <v>18</v>
      </c>
      <c r="C232">
        <v>1861008.32</v>
      </c>
      <c r="D232" t="s">
        <v>474</v>
      </c>
      <c r="E232">
        <v>1861008.32</v>
      </c>
      <c r="F232">
        <v>0</v>
      </c>
      <c r="G232" t="s">
        <v>475</v>
      </c>
      <c r="H232">
        <v>0</v>
      </c>
      <c r="I232">
        <v>1789942.62</v>
      </c>
      <c r="J232">
        <v>1</v>
      </c>
      <c r="K232">
        <v>0</v>
      </c>
      <c r="L232">
        <v>19</v>
      </c>
      <c r="M232">
        <v>0</v>
      </c>
      <c r="N232">
        <v>1</v>
      </c>
      <c r="O232">
        <v>1861008.32</v>
      </c>
      <c r="P232">
        <v>5</v>
      </c>
      <c r="Q232">
        <v>4</v>
      </c>
      <c r="R232">
        <v>3.8000000000000003</v>
      </c>
      <c r="S232" t="s">
        <v>2310</v>
      </c>
      <c r="V232">
        <f t="shared" si="9"/>
        <v>0</v>
      </c>
      <c r="W232">
        <f t="shared" si="10"/>
        <v>0</v>
      </c>
      <c r="X232" t="str">
        <f t="shared" si="11"/>
        <v>MATCH</v>
      </c>
    </row>
    <row r="233" spans="1:24" x14ac:dyDescent="0.3">
      <c r="A233">
        <v>20</v>
      </c>
      <c r="B233" t="s">
        <v>15</v>
      </c>
      <c r="C233">
        <v>16614.82</v>
      </c>
      <c r="D233" t="s">
        <v>476</v>
      </c>
      <c r="E233">
        <v>16614.82</v>
      </c>
      <c r="F233">
        <v>0</v>
      </c>
      <c r="G233" t="s">
        <v>477</v>
      </c>
      <c r="H233">
        <v>0</v>
      </c>
      <c r="I233">
        <v>0</v>
      </c>
      <c r="J233">
        <v>1</v>
      </c>
      <c r="K233">
        <v>0</v>
      </c>
      <c r="L233">
        <v>20</v>
      </c>
      <c r="M233">
        <v>0</v>
      </c>
      <c r="N233">
        <v>1</v>
      </c>
      <c r="O233">
        <v>16614.82</v>
      </c>
      <c r="P233">
        <v>2</v>
      </c>
      <c r="Q233">
        <v>5</v>
      </c>
      <c r="R233">
        <v>2.6</v>
      </c>
      <c r="S233" t="s">
        <v>2312</v>
      </c>
      <c r="V233">
        <f t="shared" si="9"/>
        <v>0</v>
      </c>
      <c r="W233">
        <f t="shared" si="10"/>
        <v>0</v>
      </c>
      <c r="X233" t="str">
        <f t="shared" si="11"/>
        <v>MATCH</v>
      </c>
    </row>
    <row r="234" spans="1:24" x14ac:dyDescent="0.3">
      <c r="A234">
        <v>20</v>
      </c>
      <c r="B234" t="s">
        <v>18</v>
      </c>
      <c r="C234">
        <v>16614.82</v>
      </c>
      <c r="D234" t="s">
        <v>478</v>
      </c>
      <c r="E234">
        <v>16614.82</v>
      </c>
      <c r="F234">
        <v>0</v>
      </c>
      <c r="G234" t="s">
        <v>479</v>
      </c>
      <c r="H234">
        <v>904409.29</v>
      </c>
      <c r="I234">
        <v>921024.11</v>
      </c>
      <c r="J234">
        <v>1</v>
      </c>
      <c r="K234">
        <v>0</v>
      </c>
      <c r="L234">
        <v>20</v>
      </c>
      <c r="M234">
        <v>0</v>
      </c>
      <c r="N234">
        <v>1</v>
      </c>
      <c r="O234">
        <v>16614.82</v>
      </c>
      <c r="P234">
        <v>2</v>
      </c>
      <c r="Q234">
        <v>4</v>
      </c>
      <c r="R234">
        <v>2.3000000000000003</v>
      </c>
      <c r="S234" t="s">
        <v>2312</v>
      </c>
      <c r="V234">
        <f t="shared" si="9"/>
        <v>0</v>
      </c>
      <c r="W234">
        <f t="shared" si="10"/>
        <v>0</v>
      </c>
      <c r="X234" t="str">
        <f t="shared" si="11"/>
        <v>MATCH</v>
      </c>
    </row>
    <row r="235" spans="1:24" x14ac:dyDescent="0.3">
      <c r="A235">
        <v>20</v>
      </c>
      <c r="B235" t="s">
        <v>15</v>
      </c>
      <c r="C235">
        <v>448025.06</v>
      </c>
      <c r="D235" t="s">
        <v>480</v>
      </c>
      <c r="E235">
        <v>448025.06</v>
      </c>
      <c r="F235">
        <v>0</v>
      </c>
      <c r="G235" t="s">
        <v>481</v>
      </c>
      <c r="H235">
        <v>0</v>
      </c>
      <c r="I235">
        <v>0</v>
      </c>
      <c r="J235">
        <v>1</v>
      </c>
      <c r="K235">
        <v>0</v>
      </c>
      <c r="L235">
        <v>20</v>
      </c>
      <c r="M235">
        <v>0</v>
      </c>
      <c r="N235">
        <v>1</v>
      </c>
      <c r="O235">
        <v>448025.06</v>
      </c>
      <c r="P235">
        <v>5</v>
      </c>
      <c r="Q235">
        <v>5</v>
      </c>
      <c r="R235">
        <v>4.0999999999999996</v>
      </c>
      <c r="S235" t="s">
        <v>2310</v>
      </c>
      <c r="V235">
        <f t="shared" si="9"/>
        <v>0</v>
      </c>
      <c r="W235">
        <f t="shared" si="10"/>
        <v>0</v>
      </c>
      <c r="X235" t="str">
        <f t="shared" si="11"/>
        <v>MATCH</v>
      </c>
    </row>
    <row r="236" spans="1:24" x14ac:dyDescent="0.3">
      <c r="A236">
        <v>20</v>
      </c>
      <c r="B236" t="s">
        <v>18</v>
      </c>
      <c r="C236">
        <v>448025.06</v>
      </c>
      <c r="D236" t="s">
        <v>482</v>
      </c>
      <c r="E236">
        <v>448025.06</v>
      </c>
      <c r="F236">
        <v>0</v>
      </c>
      <c r="G236" t="s">
        <v>483</v>
      </c>
      <c r="H236">
        <v>71679.929999999993</v>
      </c>
      <c r="I236">
        <v>519704.99</v>
      </c>
      <c r="J236">
        <v>1</v>
      </c>
      <c r="K236">
        <v>0</v>
      </c>
      <c r="L236">
        <v>20</v>
      </c>
      <c r="M236">
        <v>0</v>
      </c>
      <c r="N236">
        <v>1</v>
      </c>
      <c r="O236">
        <v>448025.06</v>
      </c>
      <c r="P236">
        <v>5</v>
      </c>
      <c r="Q236">
        <v>4</v>
      </c>
      <c r="R236">
        <v>3.8000000000000003</v>
      </c>
      <c r="S236" t="s">
        <v>2310</v>
      </c>
      <c r="V236">
        <f t="shared" si="9"/>
        <v>0</v>
      </c>
      <c r="W236">
        <f t="shared" si="10"/>
        <v>0</v>
      </c>
      <c r="X236" t="str">
        <f t="shared" si="11"/>
        <v>MATCH</v>
      </c>
    </row>
    <row r="237" spans="1:24" x14ac:dyDescent="0.3">
      <c r="A237">
        <v>21</v>
      </c>
      <c r="B237" t="s">
        <v>15</v>
      </c>
      <c r="C237">
        <v>785323</v>
      </c>
      <c r="D237" t="s">
        <v>484</v>
      </c>
      <c r="E237">
        <v>785323</v>
      </c>
      <c r="F237">
        <v>0</v>
      </c>
      <c r="G237" t="s">
        <v>485</v>
      </c>
      <c r="H237">
        <v>0</v>
      </c>
      <c r="I237">
        <v>0</v>
      </c>
      <c r="J237">
        <v>1</v>
      </c>
      <c r="K237">
        <v>0</v>
      </c>
      <c r="L237">
        <v>21</v>
      </c>
      <c r="M237">
        <v>0</v>
      </c>
      <c r="N237">
        <v>1</v>
      </c>
      <c r="O237">
        <v>785323</v>
      </c>
      <c r="P237">
        <v>5</v>
      </c>
      <c r="Q237">
        <v>5</v>
      </c>
      <c r="R237">
        <v>4.0999999999999996</v>
      </c>
      <c r="S237" t="s">
        <v>2310</v>
      </c>
      <c r="V237">
        <f t="shared" si="9"/>
        <v>0</v>
      </c>
      <c r="W237">
        <f t="shared" si="10"/>
        <v>0</v>
      </c>
      <c r="X237" t="str">
        <f t="shared" si="11"/>
        <v>MATCH</v>
      </c>
    </row>
    <row r="238" spans="1:24" x14ac:dyDescent="0.3">
      <c r="A238">
        <v>21</v>
      </c>
      <c r="B238" t="s">
        <v>18</v>
      </c>
      <c r="C238">
        <v>785323</v>
      </c>
      <c r="D238" t="s">
        <v>486</v>
      </c>
      <c r="E238">
        <v>785323</v>
      </c>
      <c r="F238">
        <v>0</v>
      </c>
      <c r="G238" t="s">
        <v>487</v>
      </c>
      <c r="H238">
        <v>803839.25</v>
      </c>
      <c r="I238">
        <v>1720783.92</v>
      </c>
      <c r="J238">
        <v>1</v>
      </c>
      <c r="K238">
        <v>0</v>
      </c>
      <c r="L238">
        <v>21</v>
      </c>
      <c r="M238">
        <v>0</v>
      </c>
      <c r="N238">
        <v>1</v>
      </c>
      <c r="O238">
        <v>785323</v>
      </c>
      <c r="P238">
        <v>5</v>
      </c>
      <c r="Q238">
        <v>4</v>
      </c>
      <c r="R238">
        <v>3.8000000000000003</v>
      </c>
      <c r="S238" t="s">
        <v>2310</v>
      </c>
      <c r="V238">
        <f t="shared" si="9"/>
        <v>0</v>
      </c>
      <c r="W238">
        <f t="shared" si="10"/>
        <v>0</v>
      </c>
      <c r="X238" t="str">
        <f t="shared" si="11"/>
        <v>MATCH</v>
      </c>
    </row>
    <row r="239" spans="1:24" x14ac:dyDescent="0.3">
      <c r="A239">
        <v>21</v>
      </c>
      <c r="B239" t="s">
        <v>15</v>
      </c>
      <c r="C239">
        <v>158299.34</v>
      </c>
      <c r="D239" t="s">
        <v>488</v>
      </c>
      <c r="E239">
        <v>158299.34</v>
      </c>
      <c r="F239">
        <v>0</v>
      </c>
      <c r="G239" t="s">
        <v>489</v>
      </c>
      <c r="H239">
        <v>0</v>
      </c>
      <c r="I239">
        <v>0</v>
      </c>
      <c r="J239">
        <v>1</v>
      </c>
      <c r="K239">
        <v>0</v>
      </c>
      <c r="L239">
        <v>21</v>
      </c>
      <c r="M239">
        <v>0</v>
      </c>
      <c r="N239">
        <v>1</v>
      </c>
      <c r="O239">
        <v>158299.34</v>
      </c>
      <c r="P239">
        <v>4</v>
      </c>
      <c r="Q239">
        <v>5</v>
      </c>
      <c r="R239">
        <v>3.6</v>
      </c>
      <c r="S239" t="s">
        <v>2310</v>
      </c>
      <c r="V239">
        <f t="shared" si="9"/>
        <v>0</v>
      </c>
      <c r="W239">
        <f t="shared" si="10"/>
        <v>0</v>
      </c>
      <c r="X239" t="str">
        <f t="shared" si="11"/>
        <v>MATCH</v>
      </c>
    </row>
    <row r="240" spans="1:24" x14ac:dyDescent="0.3">
      <c r="A240">
        <v>21</v>
      </c>
      <c r="B240" t="s">
        <v>18</v>
      </c>
      <c r="C240">
        <v>158299.34</v>
      </c>
      <c r="D240" t="s">
        <v>490</v>
      </c>
      <c r="E240">
        <v>158299.34</v>
      </c>
      <c r="F240">
        <v>0</v>
      </c>
      <c r="G240" t="s">
        <v>491</v>
      </c>
      <c r="H240">
        <v>36152.54</v>
      </c>
      <c r="I240">
        <v>271369.74</v>
      </c>
      <c r="J240">
        <v>1</v>
      </c>
      <c r="K240">
        <v>0</v>
      </c>
      <c r="L240">
        <v>21</v>
      </c>
      <c r="M240">
        <v>0</v>
      </c>
      <c r="N240">
        <v>1</v>
      </c>
      <c r="O240">
        <v>158299.34</v>
      </c>
      <c r="P240">
        <v>4</v>
      </c>
      <c r="Q240">
        <v>4</v>
      </c>
      <c r="R240">
        <v>3.3000000000000003</v>
      </c>
      <c r="S240" t="s">
        <v>2310</v>
      </c>
      <c r="V240">
        <f t="shared" si="9"/>
        <v>0</v>
      </c>
      <c r="W240">
        <f t="shared" si="10"/>
        <v>0</v>
      </c>
      <c r="X240" t="str">
        <f t="shared" si="11"/>
        <v>MATCH</v>
      </c>
    </row>
    <row r="241" spans="1:24" x14ac:dyDescent="0.3">
      <c r="A241">
        <v>21</v>
      </c>
      <c r="B241" t="s">
        <v>18</v>
      </c>
      <c r="C241">
        <v>23292.3</v>
      </c>
      <c r="D241" t="s">
        <v>492</v>
      </c>
      <c r="E241">
        <v>0</v>
      </c>
      <c r="F241">
        <v>0</v>
      </c>
      <c r="G241" t="s">
        <v>493</v>
      </c>
      <c r="H241">
        <v>392364.62</v>
      </c>
      <c r="I241">
        <v>415656.92</v>
      </c>
      <c r="J241">
        <v>1</v>
      </c>
      <c r="K241">
        <v>0</v>
      </c>
      <c r="L241">
        <v>21</v>
      </c>
      <c r="M241">
        <v>0</v>
      </c>
      <c r="N241">
        <v>0</v>
      </c>
      <c r="O241">
        <v>0</v>
      </c>
      <c r="P241">
        <v>2</v>
      </c>
      <c r="Q241">
        <v>4</v>
      </c>
      <c r="R241">
        <v>2.2000000000000002</v>
      </c>
      <c r="S241" t="s">
        <v>2312</v>
      </c>
      <c r="V241">
        <f t="shared" si="9"/>
        <v>-23292.3</v>
      </c>
      <c r="W241">
        <f t="shared" si="10"/>
        <v>23292.3</v>
      </c>
      <c r="X241" t="str">
        <f t="shared" si="11"/>
        <v>BREAK</v>
      </c>
    </row>
    <row r="242" spans="1:24" x14ac:dyDescent="0.3">
      <c r="A242">
        <v>22</v>
      </c>
      <c r="B242" t="s">
        <v>15</v>
      </c>
      <c r="C242">
        <v>346704.55</v>
      </c>
      <c r="D242" t="s">
        <v>494</v>
      </c>
      <c r="E242">
        <v>346704.55</v>
      </c>
      <c r="F242">
        <v>0</v>
      </c>
      <c r="G242" t="s">
        <v>495</v>
      </c>
      <c r="H242">
        <v>0</v>
      </c>
      <c r="I242">
        <v>0</v>
      </c>
      <c r="J242">
        <v>1</v>
      </c>
      <c r="K242">
        <v>0</v>
      </c>
      <c r="L242">
        <v>22</v>
      </c>
      <c r="M242">
        <v>0</v>
      </c>
      <c r="N242">
        <v>1</v>
      </c>
      <c r="O242">
        <v>346704.55</v>
      </c>
      <c r="P242">
        <v>5</v>
      </c>
      <c r="Q242">
        <v>5</v>
      </c>
      <c r="R242">
        <v>4.0999999999999996</v>
      </c>
      <c r="S242" t="s">
        <v>2310</v>
      </c>
      <c r="V242">
        <f t="shared" si="9"/>
        <v>0</v>
      </c>
      <c r="W242">
        <f t="shared" si="10"/>
        <v>0</v>
      </c>
      <c r="X242" t="str">
        <f t="shared" si="11"/>
        <v>MATCH</v>
      </c>
    </row>
    <row r="243" spans="1:24" x14ac:dyDescent="0.3">
      <c r="A243">
        <v>22</v>
      </c>
      <c r="B243" t="s">
        <v>18</v>
      </c>
      <c r="C243">
        <v>346704.55</v>
      </c>
      <c r="D243" t="s">
        <v>496</v>
      </c>
      <c r="E243">
        <v>346704.55</v>
      </c>
      <c r="F243">
        <v>0</v>
      </c>
      <c r="G243" t="s">
        <v>497</v>
      </c>
      <c r="H243">
        <v>513994.79</v>
      </c>
      <c r="I243">
        <v>860699.34</v>
      </c>
      <c r="J243">
        <v>1</v>
      </c>
      <c r="K243">
        <v>0</v>
      </c>
      <c r="L243">
        <v>22</v>
      </c>
      <c r="M243">
        <v>0</v>
      </c>
      <c r="N243">
        <v>1</v>
      </c>
      <c r="O243">
        <v>346704.55</v>
      </c>
      <c r="P243">
        <v>5</v>
      </c>
      <c r="Q243">
        <v>4</v>
      </c>
      <c r="R243">
        <v>3.8000000000000003</v>
      </c>
      <c r="S243" t="s">
        <v>2310</v>
      </c>
      <c r="V243">
        <f t="shared" si="9"/>
        <v>0</v>
      </c>
      <c r="W243">
        <f t="shared" si="10"/>
        <v>0</v>
      </c>
      <c r="X243" t="str">
        <f t="shared" si="11"/>
        <v>MATCH</v>
      </c>
    </row>
    <row r="244" spans="1:24" x14ac:dyDescent="0.3">
      <c r="A244">
        <v>22</v>
      </c>
      <c r="B244" t="s">
        <v>15</v>
      </c>
      <c r="C244">
        <v>461509.86</v>
      </c>
      <c r="D244" t="s">
        <v>498</v>
      </c>
      <c r="E244">
        <v>461509.86</v>
      </c>
      <c r="F244">
        <v>0</v>
      </c>
      <c r="G244" t="s">
        <v>499</v>
      </c>
      <c r="H244">
        <v>0</v>
      </c>
      <c r="I244">
        <v>0</v>
      </c>
      <c r="J244">
        <v>1</v>
      </c>
      <c r="K244">
        <v>0</v>
      </c>
      <c r="L244">
        <v>22</v>
      </c>
      <c r="M244">
        <v>0</v>
      </c>
      <c r="N244">
        <v>1</v>
      </c>
      <c r="O244">
        <v>461509.86</v>
      </c>
      <c r="P244">
        <v>5</v>
      </c>
      <c r="Q244">
        <v>5</v>
      </c>
      <c r="R244">
        <v>4.0999999999999996</v>
      </c>
      <c r="S244" t="s">
        <v>2310</v>
      </c>
      <c r="V244">
        <f t="shared" si="9"/>
        <v>0</v>
      </c>
      <c r="W244">
        <f t="shared" si="10"/>
        <v>0</v>
      </c>
      <c r="X244" t="str">
        <f t="shared" si="11"/>
        <v>MATCH</v>
      </c>
    </row>
    <row r="245" spans="1:24" x14ac:dyDescent="0.3">
      <c r="A245">
        <v>22</v>
      </c>
      <c r="B245" t="s">
        <v>18</v>
      </c>
      <c r="C245">
        <v>461509.86</v>
      </c>
      <c r="D245" t="s">
        <v>500</v>
      </c>
      <c r="E245">
        <v>461509.86</v>
      </c>
      <c r="F245">
        <v>0</v>
      </c>
      <c r="G245" t="s">
        <v>501</v>
      </c>
      <c r="H245">
        <v>302583.81</v>
      </c>
      <c r="I245">
        <v>764093.67</v>
      </c>
      <c r="J245">
        <v>1</v>
      </c>
      <c r="K245">
        <v>0</v>
      </c>
      <c r="L245">
        <v>22</v>
      </c>
      <c r="M245">
        <v>0</v>
      </c>
      <c r="N245">
        <v>1</v>
      </c>
      <c r="O245">
        <v>461509.86</v>
      </c>
      <c r="P245">
        <v>5</v>
      </c>
      <c r="Q245">
        <v>4</v>
      </c>
      <c r="R245">
        <v>3.8000000000000003</v>
      </c>
      <c r="S245" t="s">
        <v>2310</v>
      </c>
      <c r="V245">
        <f t="shared" si="9"/>
        <v>0</v>
      </c>
      <c r="W245">
        <f t="shared" si="10"/>
        <v>0</v>
      </c>
      <c r="X245" t="str">
        <f t="shared" si="11"/>
        <v>MATCH</v>
      </c>
    </row>
    <row r="246" spans="1:24" x14ac:dyDescent="0.3">
      <c r="A246">
        <v>22</v>
      </c>
      <c r="B246" t="s">
        <v>15</v>
      </c>
      <c r="C246">
        <v>37100.29</v>
      </c>
      <c r="D246" t="s">
        <v>502</v>
      </c>
      <c r="E246">
        <v>37100.29</v>
      </c>
      <c r="F246">
        <v>0</v>
      </c>
      <c r="G246" t="s">
        <v>503</v>
      </c>
      <c r="H246">
        <v>0</v>
      </c>
      <c r="I246">
        <v>0</v>
      </c>
      <c r="J246">
        <v>1</v>
      </c>
      <c r="K246">
        <v>0</v>
      </c>
      <c r="L246">
        <v>22</v>
      </c>
      <c r="M246">
        <v>0</v>
      </c>
      <c r="N246">
        <v>1</v>
      </c>
      <c r="O246">
        <v>37100.29</v>
      </c>
      <c r="P246">
        <v>2</v>
      </c>
      <c r="Q246">
        <v>5</v>
      </c>
      <c r="R246">
        <v>2.6</v>
      </c>
      <c r="S246" t="s">
        <v>2312</v>
      </c>
      <c r="V246">
        <f t="shared" si="9"/>
        <v>0</v>
      </c>
      <c r="W246">
        <f t="shared" si="10"/>
        <v>0</v>
      </c>
      <c r="X246" t="str">
        <f t="shared" si="11"/>
        <v>MATCH</v>
      </c>
    </row>
    <row r="247" spans="1:24" x14ac:dyDescent="0.3">
      <c r="A247">
        <v>22</v>
      </c>
      <c r="B247" t="s">
        <v>18</v>
      </c>
      <c r="C247">
        <v>37100.29</v>
      </c>
      <c r="D247" t="s">
        <v>504</v>
      </c>
      <c r="E247">
        <v>37100.29</v>
      </c>
      <c r="F247">
        <v>0</v>
      </c>
      <c r="G247" t="s">
        <v>505</v>
      </c>
      <c r="H247">
        <v>433212.41</v>
      </c>
      <c r="I247">
        <v>470312.7</v>
      </c>
      <c r="J247">
        <v>1</v>
      </c>
      <c r="K247">
        <v>0</v>
      </c>
      <c r="L247">
        <v>22</v>
      </c>
      <c r="M247">
        <v>0</v>
      </c>
      <c r="N247">
        <v>1</v>
      </c>
      <c r="O247">
        <v>37100.29</v>
      </c>
      <c r="P247">
        <v>2</v>
      </c>
      <c r="Q247">
        <v>4</v>
      </c>
      <c r="R247">
        <v>2.3000000000000003</v>
      </c>
      <c r="S247" t="s">
        <v>2312</v>
      </c>
      <c r="V247">
        <f t="shared" si="9"/>
        <v>0</v>
      </c>
      <c r="W247">
        <f t="shared" si="10"/>
        <v>0</v>
      </c>
      <c r="X247" t="str">
        <f t="shared" si="11"/>
        <v>MATCH</v>
      </c>
    </row>
    <row r="248" spans="1:24" x14ac:dyDescent="0.3">
      <c r="A248">
        <v>22</v>
      </c>
      <c r="B248" t="s">
        <v>15</v>
      </c>
      <c r="C248">
        <v>235512.2</v>
      </c>
      <c r="D248" t="s">
        <v>506</v>
      </c>
      <c r="E248">
        <v>235512.2</v>
      </c>
      <c r="F248">
        <v>0</v>
      </c>
      <c r="G248" t="s">
        <v>507</v>
      </c>
      <c r="H248">
        <v>0</v>
      </c>
      <c r="I248">
        <v>0</v>
      </c>
      <c r="J248">
        <v>1</v>
      </c>
      <c r="K248">
        <v>0</v>
      </c>
      <c r="L248">
        <v>22</v>
      </c>
      <c r="M248">
        <v>0</v>
      </c>
      <c r="N248">
        <v>1</v>
      </c>
      <c r="O248">
        <v>235512.2</v>
      </c>
      <c r="P248">
        <v>5</v>
      </c>
      <c r="Q248">
        <v>5</v>
      </c>
      <c r="R248">
        <v>4.0999999999999996</v>
      </c>
      <c r="S248" t="s">
        <v>2310</v>
      </c>
      <c r="V248">
        <f t="shared" si="9"/>
        <v>0</v>
      </c>
      <c r="W248">
        <f t="shared" si="10"/>
        <v>0</v>
      </c>
      <c r="X248" t="str">
        <f t="shared" si="11"/>
        <v>MATCH</v>
      </c>
    </row>
    <row r="249" spans="1:24" x14ac:dyDescent="0.3">
      <c r="A249">
        <v>22</v>
      </c>
      <c r="B249" t="s">
        <v>18</v>
      </c>
      <c r="C249">
        <v>235512.2</v>
      </c>
      <c r="D249" t="s">
        <v>508</v>
      </c>
      <c r="E249">
        <v>235512.2</v>
      </c>
      <c r="F249">
        <v>0</v>
      </c>
      <c r="G249" t="s">
        <v>509</v>
      </c>
      <c r="H249">
        <v>8490637.2100000009</v>
      </c>
      <c r="I249">
        <v>9272647.0899999999</v>
      </c>
      <c r="J249">
        <v>1</v>
      </c>
      <c r="K249">
        <v>0</v>
      </c>
      <c r="L249">
        <v>22</v>
      </c>
      <c r="M249">
        <v>0</v>
      </c>
      <c r="N249">
        <v>1</v>
      </c>
      <c r="O249">
        <v>235512.2</v>
      </c>
      <c r="P249">
        <v>5</v>
      </c>
      <c r="Q249">
        <v>4</v>
      </c>
      <c r="R249">
        <v>3.8000000000000003</v>
      </c>
      <c r="S249" t="s">
        <v>2310</v>
      </c>
      <c r="V249">
        <f t="shared" si="9"/>
        <v>0</v>
      </c>
      <c r="W249">
        <f t="shared" si="10"/>
        <v>0</v>
      </c>
      <c r="X249" t="str">
        <f t="shared" si="11"/>
        <v>MATCH</v>
      </c>
    </row>
    <row r="250" spans="1:24" x14ac:dyDescent="0.3">
      <c r="A250">
        <v>22</v>
      </c>
      <c r="B250" t="s">
        <v>15</v>
      </c>
      <c r="C250">
        <v>2068118.36</v>
      </c>
      <c r="D250" t="s">
        <v>510</v>
      </c>
      <c r="E250">
        <v>2068118.36</v>
      </c>
      <c r="F250">
        <v>0</v>
      </c>
      <c r="G250" t="s">
        <v>511</v>
      </c>
      <c r="H250">
        <v>0</v>
      </c>
      <c r="I250">
        <v>0</v>
      </c>
      <c r="J250">
        <v>1</v>
      </c>
      <c r="K250">
        <v>0</v>
      </c>
      <c r="L250">
        <v>22</v>
      </c>
      <c r="M250">
        <v>0</v>
      </c>
      <c r="N250">
        <v>1</v>
      </c>
      <c r="O250">
        <v>2068118.36</v>
      </c>
      <c r="P250">
        <v>5</v>
      </c>
      <c r="Q250">
        <v>5</v>
      </c>
      <c r="R250">
        <v>4.0999999999999996</v>
      </c>
      <c r="S250" t="s">
        <v>2310</v>
      </c>
      <c r="V250">
        <f t="shared" si="9"/>
        <v>0</v>
      </c>
      <c r="W250">
        <f t="shared" si="10"/>
        <v>0</v>
      </c>
      <c r="X250" t="str">
        <f t="shared" si="11"/>
        <v>MATCH</v>
      </c>
    </row>
    <row r="251" spans="1:24" x14ac:dyDescent="0.3">
      <c r="A251">
        <v>22</v>
      </c>
      <c r="B251" t="s">
        <v>18</v>
      </c>
      <c r="C251">
        <v>2068118.36</v>
      </c>
      <c r="D251" t="s">
        <v>512</v>
      </c>
      <c r="E251">
        <v>2068118.36</v>
      </c>
      <c r="F251">
        <v>0</v>
      </c>
      <c r="G251" t="s">
        <v>513</v>
      </c>
      <c r="H251">
        <v>3054285.45</v>
      </c>
      <c r="I251">
        <v>5122403.8099999996</v>
      </c>
      <c r="J251">
        <v>1</v>
      </c>
      <c r="K251">
        <v>0</v>
      </c>
      <c r="L251">
        <v>22</v>
      </c>
      <c r="M251">
        <v>0</v>
      </c>
      <c r="N251">
        <v>1</v>
      </c>
      <c r="O251">
        <v>2068118.36</v>
      </c>
      <c r="P251">
        <v>5</v>
      </c>
      <c r="Q251">
        <v>4</v>
      </c>
      <c r="R251">
        <v>3.8000000000000003</v>
      </c>
      <c r="S251" t="s">
        <v>2310</v>
      </c>
      <c r="V251">
        <f t="shared" si="9"/>
        <v>0</v>
      </c>
      <c r="W251">
        <f t="shared" si="10"/>
        <v>0</v>
      </c>
      <c r="X251" t="str">
        <f t="shared" si="11"/>
        <v>MATCH</v>
      </c>
    </row>
    <row r="252" spans="1:24" x14ac:dyDescent="0.3">
      <c r="A252">
        <v>22</v>
      </c>
      <c r="B252" t="s">
        <v>15</v>
      </c>
      <c r="C252">
        <v>74804.240000000005</v>
      </c>
      <c r="D252" t="s">
        <v>514</v>
      </c>
      <c r="E252">
        <v>74804.240000000005</v>
      </c>
      <c r="F252">
        <v>0</v>
      </c>
      <c r="G252" t="s">
        <v>515</v>
      </c>
      <c r="H252">
        <v>0</v>
      </c>
      <c r="I252">
        <v>0</v>
      </c>
      <c r="J252">
        <v>1</v>
      </c>
      <c r="K252">
        <v>0</v>
      </c>
      <c r="L252">
        <v>22</v>
      </c>
      <c r="M252">
        <v>0</v>
      </c>
      <c r="N252">
        <v>1</v>
      </c>
      <c r="O252">
        <v>74804.240000000005</v>
      </c>
      <c r="P252">
        <v>3</v>
      </c>
      <c r="Q252">
        <v>5</v>
      </c>
      <c r="R252">
        <v>3.1</v>
      </c>
      <c r="S252" t="s">
        <v>2310</v>
      </c>
      <c r="V252">
        <f t="shared" si="9"/>
        <v>0</v>
      </c>
      <c r="W252">
        <f t="shared" si="10"/>
        <v>0</v>
      </c>
      <c r="X252" t="str">
        <f t="shared" si="11"/>
        <v>MATCH</v>
      </c>
    </row>
    <row r="253" spans="1:24" x14ac:dyDescent="0.3">
      <c r="A253">
        <v>22</v>
      </c>
      <c r="B253" t="s">
        <v>18</v>
      </c>
      <c r="C253">
        <v>74804.240000000005</v>
      </c>
      <c r="D253" t="s">
        <v>516</v>
      </c>
      <c r="E253">
        <v>74804.240000000005</v>
      </c>
      <c r="F253">
        <v>0</v>
      </c>
      <c r="G253" t="s">
        <v>517</v>
      </c>
      <c r="H253">
        <v>0</v>
      </c>
      <c r="I253">
        <v>74804.240000000005</v>
      </c>
      <c r="J253">
        <v>1</v>
      </c>
      <c r="K253">
        <v>0</v>
      </c>
      <c r="L253">
        <v>22</v>
      </c>
      <c r="M253">
        <v>0</v>
      </c>
      <c r="N253">
        <v>1</v>
      </c>
      <c r="O253">
        <v>74804.240000000005</v>
      </c>
      <c r="P253">
        <v>3</v>
      </c>
      <c r="Q253">
        <v>4</v>
      </c>
      <c r="R253">
        <v>2.8000000000000003</v>
      </c>
      <c r="S253" t="s">
        <v>2312</v>
      </c>
      <c r="V253">
        <f t="shared" si="9"/>
        <v>0</v>
      </c>
      <c r="W253">
        <f t="shared" si="10"/>
        <v>0</v>
      </c>
      <c r="X253" t="str">
        <f t="shared" si="11"/>
        <v>MATCH</v>
      </c>
    </row>
    <row r="254" spans="1:24" x14ac:dyDescent="0.3">
      <c r="A254">
        <v>22</v>
      </c>
      <c r="B254" t="s">
        <v>15</v>
      </c>
      <c r="C254">
        <v>489767.32</v>
      </c>
      <c r="D254" t="s">
        <v>518</v>
      </c>
      <c r="E254">
        <v>489767.32</v>
      </c>
      <c r="F254">
        <v>0</v>
      </c>
      <c r="G254" t="s">
        <v>519</v>
      </c>
      <c r="H254">
        <v>0</v>
      </c>
      <c r="I254">
        <v>0</v>
      </c>
      <c r="J254">
        <v>1</v>
      </c>
      <c r="K254">
        <v>0</v>
      </c>
      <c r="L254">
        <v>22</v>
      </c>
      <c r="M254">
        <v>0</v>
      </c>
      <c r="N254">
        <v>1</v>
      </c>
      <c r="O254">
        <v>489767.32</v>
      </c>
      <c r="P254">
        <v>5</v>
      </c>
      <c r="Q254">
        <v>5</v>
      </c>
      <c r="R254">
        <v>4.0999999999999996</v>
      </c>
      <c r="S254" t="s">
        <v>2310</v>
      </c>
      <c r="V254">
        <f t="shared" si="9"/>
        <v>0</v>
      </c>
      <c r="W254">
        <f t="shared" si="10"/>
        <v>0</v>
      </c>
      <c r="X254" t="str">
        <f t="shared" si="11"/>
        <v>MATCH</v>
      </c>
    </row>
    <row r="255" spans="1:24" x14ac:dyDescent="0.3">
      <c r="A255">
        <v>22</v>
      </c>
      <c r="B255" t="s">
        <v>18</v>
      </c>
      <c r="C255">
        <v>489767.32</v>
      </c>
      <c r="D255" t="s">
        <v>520</v>
      </c>
      <c r="E255">
        <v>489767.32</v>
      </c>
      <c r="F255">
        <v>0</v>
      </c>
      <c r="G255" t="s">
        <v>521</v>
      </c>
      <c r="H255">
        <v>0</v>
      </c>
      <c r="I255">
        <v>489767.32</v>
      </c>
      <c r="J255">
        <v>1</v>
      </c>
      <c r="K255">
        <v>0</v>
      </c>
      <c r="L255">
        <v>22</v>
      </c>
      <c r="M255">
        <v>0</v>
      </c>
      <c r="N255">
        <v>1</v>
      </c>
      <c r="O255">
        <v>489767.32</v>
      </c>
      <c r="P255">
        <v>5</v>
      </c>
      <c r="Q255">
        <v>4</v>
      </c>
      <c r="R255">
        <v>3.8000000000000003</v>
      </c>
      <c r="S255" t="s">
        <v>2310</v>
      </c>
      <c r="V255">
        <f t="shared" si="9"/>
        <v>0</v>
      </c>
      <c r="W255">
        <f t="shared" si="10"/>
        <v>0</v>
      </c>
      <c r="X255" t="str">
        <f t="shared" si="11"/>
        <v>MATCH</v>
      </c>
    </row>
    <row r="256" spans="1:24" x14ac:dyDescent="0.3">
      <c r="A256">
        <v>22</v>
      </c>
      <c r="B256" t="s">
        <v>15</v>
      </c>
      <c r="C256">
        <v>379878</v>
      </c>
      <c r="D256" t="s">
        <v>522</v>
      </c>
      <c r="E256">
        <v>379878</v>
      </c>
      <c r="F256">
        <v>0</v>
      </c>
      <c r="G256" t="s">
        <v>523</v>
      </c>
      <c r="H256">
        <v>0</v>
      </c>
      <c r="I256">
        <v>0</v>
      </c>
      <c r="J256">
        <v>1</v>
      </c>
      <c r="K256">
        <v>0</v>
      </c>
      <c r="L256">
        <v>22</v>
      </c>
      <c r="M256">
        <v>0</v>
      </c>
      <c r="N256">
        <v>1</v>
      </c>
      <c r="O256">
        <v>379878</v>
      </c>
      <c r="P256">
        <v>5</v>
      </c>
      <c r="Q256">
        <v>5</v>
      </c>
      <c r="R256">
        <v>4.0999999999999996</v>
      </c>
      <c r="S256" t="s">
        <v>2310</v>
      </c>
      <c r="V256">
        <f t="shared" si="9"/>
        <v>0</v>
      </c>
      <c r="W256">
        <f t="shared" si="10"/>
        <v>0</v>
      </c>
      <c r="X256" t="str">
        <f t="shared" si="11"/>
        <v>MATCH</v>
      </c>
    </row>
    <row r="257" spans="1:24" x14ac:dyDescent="0.3">
      <c r="A257">
        <v>22</v>
      </c>
      <c r="B257" t="s">
        <v>18</v>
      </c>
      <c r="C257">
        <v>379878</v>
      </c>
      <c r="D257" t="s">
        <v>524</v>
      </c>
      <c r="E257">
        <v>379878</v>
      </c>
      <c r="F257">
        <v>0</v>
      </c>
      <c r="G257" t="s">
        <v>525</v>
      </c>
      <c r="H257">
        <v>1301414.19</v>
      </c>
      <c r="I257">
        <v>1681292.19</v>
      </c>
      <c r="J257">
        <v>1</v>
      </c>
      <c r="K257">
        <v>0</v>
      </c>
      <c r="L257">
        <v>22</v>
      </c>
      <c r="M257">
        <v>0</v>
      </c>
      <c r="N257">
        <v>1</v>
      </c>
      <c r="O257">
        <v>379878</v>
      </c>
      <c r="P257">
        <v>5</v>
      </c>
      <c r="Q257">
        <v>4</v>
      </c>
      <c r="R257">
        <v>3.8000000000000003</v>
      </c>
      <c r="S257" t="s">
        <v>2310</v>
      </c>
      <c r="V257">
        <f t="shared" si="9"/>
        <v>0</v>
      </c>
      <c r="W257">
        <f t="shared" si="10"/>
        <v>0</v>
      </c>
      <c r="X257" t="str">
        <f t="shared" si="11"/>
        <v>MATCH</v>
      </c>
    </row>
    <row r="258" spans="1:24" x14ac:dyDescent="0.3">
      <c r="A258">
        <v>22</v>
      </c>
      <c r="B258" t="s">
        <v>18</v>
      </c>
      <c r="C258">
        <v>89571.46</v>
      </c>
      <c r="D258" t="s">
        <v>526</v>
      </c>
      <c r="E258">
        <v>4505.6000000000004</v>
      </c>
      <c r="F258">
        <v>0</v>
      </c>
      <c r="G258" t="s">
        <v>527</v>
      </c>
      <c r="H258">
        <v>1929428.01</v>
      </c>
      <c r="I258">
        <v>2018999.47</v>
      </c>
      <c r="J258">
        <v>1</v>
      </c>
      <c r="K258">
        <v>0</v>
      </c>
      <c r="L258">
        <v>22</v>
      </c>
      <c r="M258">
        <v>0</v>
      </c>
      <c r="N258">
        <v>1</v>
      </c>
      <c r="O258">
        <v>4505.6000000000004</v>
      </c>
      <c r="P258">
        <v>3</v>
      </c>
      <c r="Q258">
        <v>4</v>
      </c>
      <c r="R258">
        <v>2.8000000000000003</v>
      </c>
      <c r="S258" t="s">
        <v>2312</v>
      </c>
      <c r="V258">
        <f t="shared" si="9"/>
        <v>-85065.86</v>
      </c>
      <c r="W258">
        <f t="shared" si="10"/>
        <v>85065.86</v>
      </c>
      <c r="X258" t="str">
        <f t="shared" si="11"/>
        <v>BREAK</v>
      </c>
    </row>
    <row r="259" spans="1:24" x14ac:dyDescent="0.3">
      <c r="A259">
        <v>22</v>
      </c>
      <c r="B259" t="s">
        <v>15</v>
      </c>
      <c r="C259">
        <v>1258956.71</v>
      </c>
      <c r="D259" t="s">
        <v>528</v>
      </c>
      <c r="E259">
        <v>1258956.71</v>
      </c>
      <c r="F259">
        <v>0</v>
      </c>
      <c r="G259" t="s">
        <v>529</v>
      </c>
      <c r="H259">
        <v>0</v>
      </c>
      <c r="I259">
        <v>0</v>
      </c>
      <c r="J259">
        <v>1</v>
      </c>
      <c r="K259">
        <v>0</v>
      </c>
      <c r="L259">
        <v>22</v>
      </c>
      <c r="M259">
        <v>0</v>
      </c>
      <c r="N259">
        <v>1</v>
      </c>
      <c r="O259">
        <v>1258956.71</v>
      </c>
      <c r="P259">
        <v>5</v>
      </c>
      <c r="Q259">
        <v>5</v>
      </c>
      <c r="R259">
        <v>4.0999999999999996</v>
      </c>
      <c r="S259" t="s">
        <v>2310</v>
      </c>
      <c r="V259">
        <f t="shared" ref="V259:V322" si="12">E259-C259</f>
        <v>0</v>
      </c>
      <c r="W259">
        <f t="shared" ref="W259:W322" si="13">ABS(F259-V259)</f>
        <v>0</v>
      </c>
      <c r="X259" t="str">
        <f t="shared" ref="X259:X322" si="14">IF(W259&lt;1,"MATCH","BREAK")</f>
        <v>MATCH</v>
      </c>
    </row>
    <row r="260" spans="1:24" x14ac:dyDescent="0.3">
      <c r="A260">
        <v>22</v>
      </c>
      <c r="B260" t="s">
        <v>18</v>
      </c>
      <c r="C260">
        <v>1258956.71</v>
      </c>
      <c r="D260" t="s">
        <v>530</v>
      </c>
      <c r="E260">
        <v>1258956.71</v>
      </c>
      <c r="F260">
        <v>0</v>
      </c>
      <c r="G260" t="s">
        <v>531</v>
      </c>
      <c r="H260">
        <v>4736010.72</v>
      </c>
      <c r="I260">
        <v>5994967.4299999997</v>
      </c>
      <c r="J260">
        <v>1</v>
      </c>
      <c r="K260">
        <v>0</v>
      </c>
      <c r="L260">
        <v>22</v>
      </c>
      <c r="M260">
        <v>0</v>
      </c>
      <c r="N260">
        <v>1</v>
      </c>
      <c r="O260">
        <v>1258956.71</v>
      </c>
      <c r="P260">
        <v>5</v>
      </c>
      <c r="Q260">
        <v>4</v>
      </c>
      <c r="R260">
        <v>3.8000000000000003</v>
      </c>
      <c r="S260" t="s">
        <v>2310</v>
      </c>
      <c r="V260">
        <f t="shared" si="12"/>
        <v>0</v>
      </c>
      <c r="W260">
        <f t="shared" si="13"/>
        <v>0</v>
      </c>
      <c r="X260" t="str">
        <f t="shared" si="14"/>
        <v>MATCH</v>
      </c>
    </row>
    <row r="261" spans="1:24" x14ac:dyDescent="0.3">
      <c r="A261">
        <v>22</v>
      </c>
      <c r="B261" t="s">
        <v>15</v>
      </c>
      <c r="C261">
        <v>77773.14</v>
      </c>
      <c r="D261" t="s">
        <v>532</v>
      </c>
      <c r="E261">
        <v>77773.14</v>
      </c>
      <c r="F261">
        <v>0</v>
      </c>
      <c r="G261" t="s">
        <v>533</v>
      </c>
      <c r="H261">
        <v>0</v>
      </c>
      <c r="I261">
        <v>0</v>
      </c>
      <c r="J261">
        <v>1</v>
      </c>
      <c r="K261">
        <v>0</v>
      </c>
      <c r="L261">
        <v>22</v>
      </c>
      <c r="M261">
        <v>0</v>
      </c>
      <c r="N261">
        <v>1</v>
      </c>
      <c r="O261">
        <v>77773.14</v>
      </c>
      <c r="P261">
        <v>3</v>
      </c>
      <c r="Q261">
        <v>5</v>
      </c>
      <c r="R261">
        <v>3.1</v>
      </c>
      <c r="S261" t="s">
        <v>2310</v>
      </c>
      <c r="V261">
        <f t="shared" si="12"/>
        <v>0</v>
      </c>
      <c r="W261">
        <f t="shared" si="13"/>
        <v>0</v>
      </c>
      <c r="X261" t="str">
        <f t="shared" si="14"/>
        <v>MATCH</v>
      </c>
    </row>
    <row r="262" spans="1:24" x14ac:dyDescent="0.3">
      <c r="A262">
        <v>22</v>
      </c>
      <c r="B262" t="s">
        <v>18</v>
      </c>
      <c r="C262">
        <v>77773.14</v>
      </c>
      <c r="D262" t="s">
        <v>534</v>
      </c>
      <c r="E262">
        <v>77773.14</v>
      </c>
      <c r="F262">
        <v>0</v>
      </c>
      <c r="G262" t="s">
        <v>535</v>
      </c>
      <c r="H262">
        <v>1853403.61</v>
      </c>
      <c r="I262">
        <v>1931176.75</v>
      </c>
      <c r="J262">
        <v>1</v>
      </c>
      <c r="K262">
        <v>0</v>
      </c>
      <c r="L262">
        <v>22</v>
      </c>
      <c r="M262">
        <v>0</v>
      </c>
      <c r="N262">
        <v>1</v>
      </c>
      <c r="O262">
        <v>77773.14</v>
      </c>
      <c r="P262">
        <v>3</v>
      </c>
      <c r="Q262">
        <v>4</v>
      </c>
      <c r="R262">
        <v>2.8000000000000003</v>
      </c>
      <c r="S262" t="s">
        <v>2312</v>
      </c>
      <c r="V262">
        <f t="shared" si="12"/>
        <v>0</v>
      </c>
      <c r="W262">
        <f t="shared" si="13"/>
        <v>0</v>
      </c>
      <c r="X262" t="str">
        <f t="shared" si="14"/>
        <v>MATCH</v>
      </c>
    </row>
    <row r="263" spans="1:24" x14ac:dyDescent="0.3">
      <c r="A263">
        <v>22</v>
      </c>
      <c r="B263" t="s">
        <v>15</v>
      </c>
      <c r="C263">
        <v>239646.72</v>
      </c>
      <c r="D263" t="s">
        <v>536</v>
      </c>
      <c r="E263">
        <v>239646.72</v>
      </c>
      <c r="F263">
        <v>0</v>
      </c>
      <c r="G263" t="s">
        <v>537</v>
      </c>
      <c r="H263">
        <v>0</v>
      </c>
      <c r="I263">
        <v>0</v>
      </c>
      <c r="J263">
        <v>1</v>
      </c>
      <c r="K263">
        <v>0</v>
      </c>
      <c r="L263">
        <v>22</v>
      </c>
      <c r="M263">
        <v>0</v>
      </c>
      <c r="N263">
        <v>1</v>
      </c>
      <c r="O263">
        <v>239646.72</v>
      </c>
      <c r="P263">
        <v>5</v>
      </c>
      <c r="Q263">
        <v>5</v>
      </c>
      <c r="R263">
        <v>4.0999999999999996</v>
      </c>
      <c r="S263" t="s">
        <v>2310</v>
      </c>
      <c r="V263">
        <f t="shared" si="12"/>
        <v>0</v>
      </c>
      <c r="W263">
        <f t="shared" si="13"/>
        <v>0</v>
      </c>
      <c r="X263" t="str">
        <f t="shared" si="14"/>
        <v>MATCH</v>
      </c>
    </row>
    <row r="264" spans="1:24" x14ac:dyDescent="0.3">
      <c r="A264">
        <v>22</v>
      </c>
      <c r="B264" t="s">
        <v>18</v>
      </c>
      <c r="C264">
        <v>239646.72</v>
      </c>
      <c r="D264" t="s">
        <v>538</v>
      </c>
      <c r="E264">
        <v>239646.72</v>
      </c>
      <c r="F264">
        <v>0</v>
      </c>
      <c r="G264" t="s">
        <v>539</v>
      </c>
      <c r="H264">
        <v>2208970.2599999998</v>
      </c>
      <c r="I264">
        <v>2448616.98</v>
      </c>
      <c r="J264">
        <v>1</v>
      </c>
      <c r="K264">
        <v>0</v>
      </c>
      <c r="L264">
        <v>22</v>
      </c>
      <c r="M264">
        <v>0</v>
      </c>
      <c r="N264">
        <v>1</v>
      </c>
      <c r="O264">
        <v>239646.72</v>
      </c>
      <c r="P264">
        <v>5</v>
      </c>
      <c r="Q264">
        <v>4</v>
      </c>
      <c r="R264">
        <v>3.8000000000000003</v>
      </c>
      <c r="S264" t="s">
        <v>2310</v>
      </c>
      <c r="V264">
        <f t="shared" si="12"/>
        <v>0</v>
      </c>
      <c r="W264">
        <f t="shared" si="13"/>
        <v>0</v>
      </c>
      <c r="X264" t="str">
        <f t="shared" si="14"/>
        <v>MATCH</v>
      </c>
    </row>
    <row r="265" spans="1:24" x14ac:dyDescent="0.3">
      <c r="A265">
        <v>23</v>
      </c>
      <c r="B265" t="s">
        <v>15</v>
      </c>
      <c r="C265">
        <v>146127.1</v>
      </c>
      <c r="D265" t="s">
        <v>540</v>
      </c>
      <c r="E265">
        <v>146127.1</v>
      </c>
      <c r="F265">
        <v>0</v>
      </c>
      <c r="G265" t="s">
        <v>541</v>
      </c>
      <c r="H265">
        <v>0</v>
      </c>
      <c r="I265">
        <v>0</v>
      </c>
      <c r="J265">
        <v>1</v>
      </c>
      <c r="K265">
        <v>0</v>
      </c>
      <c r="L265">
        <v>23</v>
      </c>
      <c r="M265">
        <v>0</v>
      </c>
      <c r="N265">
        <v>1</v>
      </c>
      <c r="O265">
        <v>146127.1</v>
      </c>
      <c r="P265">
        <v>4</v>
      </c>
      <c r="Q265">
        <v>5</v>
      </c>
      <c r="R265">
        <v>3.6</v>
      </c>
      <c r="S265" t="s">
        <v>2310</v>
      </c>
      <c r="V265">
        <f t="shared" si="12"/>
        <v>0</v>
      </c>
      <c r="W265">
        <f t="shared" si="13"/>
        <v>0</v>
      </c>
      <c r="X265" t="str">
        <f t="shared" si="14"/>
        <v>MATCH</v>
      </c>
    </row>
    <row r="266" spans="1:24" x14ac:dyDescent="0.3">
      <c r="A266">
        <v>23</v>
      </c>
      <c r="B266" t="s">
        <v>18</v>
      </c>
      <c r="C266">
        <v>146127.1</v>
      </c>
      <c r="D266" t="s">
        <v>542</v>
      </c>
      <c r="E266">
        <v>146127.1</v>
      </c>
      <c r="F266">
        <v>0</v>
      </c>
      <c r="G266" t="s">
        <v>543</v>
      </c>
      <c r="H266">
        <v>177874.39</v>
      </c>
      <c r="I266">
        <v>324001.49</v>
      </c>
      <c r="J266">
        <v>1</v>
      </c>
      <c r="K266">
        <v>0</v>
      </c>
      <c r="L266">
        <v>23</v>
      </c>
      <c r="M266">
        <v>0</v>
      </c>
      <c r="N266">
        <v>1</v>
      </c>
      <c r="O266">
        <v>146127.1</v>
      </c>
      <c r="P266">
        <v>4</v>
      </c>
      <c r="Q266">
        <v>4</v>
      </c>
      <c r="R266">
        <v>3.3000000000000003</v>
      </c>
      <c r="S266" t="s">
        <v>2310</v>
      </c>
      <c r="V266">
        <f t="shared" si="12"/>
        <v>0</v>
      </c>
      <c r="W266">
        <f t="shared" si="13"/>
        <v>0</v>
      </c>
      <c r="X266" t="str">
        <f t="shared" si="14"/>
        <v>MATCH</v>
      </c>
    </row>
    <row r="267" spans="1:24" x14ac:dyDescent="0.3">
      <c r="A267">
        <v>24</v>
      </c>
      <c r="B267" t="s">
        <v>15</v>
      </c>
      <c r="C267">
        <v>291305.98</v>
      </c>
      <c r="D267" t="s">
        <v>544</v>
      </c>
      <c r="E267">
        <v>291305.98</v>
      </c>
      <c r="F267">
        <v>0</v>
      </c>
      <c r="G267" t="s">
        <v>545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1</v>
      </c>
      <c r="O267">
        <v>291305.98</v>
      </c>
      <c r="P267">
        <v>5</v>
      </c>
      <c r="Q267">
        <v>5</v>
      </c>
      <c r="R267">
        <v>4.0999999999999996</v>
      </c>
      <c r="S267" t="s">
        <v>2310</v>
      </c>
      <c r="V267">
        <f t="shared" si="12"/>
        <v>0</v>
      </c>
      <c r="W267">
        <f t="shared" si="13"/>
        <v>0</v>
      </c>
      <c r="X267" t="str">
        <f t="shared" si="14"/>
        <v>MATCH</v>
      </c>
    </row>
    <row r="268" spans="1:24" x14ac:dyDescent="0.3">
      <c r="A268">
        <v>24</v>
      </c>
      <c r="B268" t="s">
        <v>18</v>
      </c>
      <c r="C268">
        <v>291305.98</v>
      </c>
      <c r="D268" t="s">
        <v>546</v>
      </c>
      <c r="E268">
        <v>291305.98</v>
      </c>
      <c r="F268">
        <v>0</v>
      </c>
      <c r="G268" t="s">
        <v>547</v>
      </c>
      <c r="H268">
        <v>954554.82</v>
      </c>
      <c r="I268">
        <v>1247963.68</v>
      </c>
      <c r="J268">
        <v>1</v>
      </c>
      <c r="K268">
        <v>0</v>
      </c>
      <c r="L268">
        <v>0</v>
      </c>
      <c r="M268">
        <v>0</v>
      </c>
      <c r="N268">
        <v>1</v>
      </c>
      <c r="O268">
        <v>291305.98</v>
      </c>
      <c r="P268">
        <v>5</v>
      </c>
      <c r="Q268">
        <v>4</v>
      </c>
      <c r="R268">
        <v>3.8000000000000003</v>
      </c>
      <c r="S268" t="s">
        <v>2310</v>
      </c>
      <c r="V268">
        <f t="shared" si="12"/>
        <v>0</v>
      </c>
      <c r="W268">
        <f t="shared" si="13"/>
        <v>0</v>
      </c>
      <c r="X268" t="str">
        <f t="shared" si="14"/>
        <v>MATCH</v>
      </c>
    </row>
    <row r="269" spans="1:24" x14ac:dyDescent="0.3">
      <c r="A269">
        <v>24</v>
      </c>
      <c r="B269" t="s">
        <v>15</v>
      </c>
      <c r="C269">
        <v>986876.27</v>
      </c>
      <c r="D269" t="s">
        <v>548</v>
      </c>
      <c r="E269">
        <v>986876.27</v>
      </c>
      <c r="F269">
        <v>0</v>
      </c>
      <c r="G269" t="s">
        <v>549</v>
      </c>
      <c r="H269">
        <v>0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1</v>
      </c>
      <c r="O269">
        <v>986876.27</v>
      </c>
      <c r="P269">
        <v>5</v>
      </c>
      <c r="Q269">
        <v>5</v>
      </c>
      <c r="R269">
        <v>4.0999999999999996</v>
      </c>
      <c r="S269" t="s">
        <v>2310</v>
      </c>
      <c r="V269">
        <f t="shared" si="12"/>
        <v>0</v>
      </c>
      <c r="W269">
        <f t="shared" si="13"/>
        <v>0</v>
      </c>
      <c r="X269" t="str">
        <f t="shared" si="14"/>
        <v>MATCH</v>
      </c>
    </row>
    <row r="270" spans="1:24" x14ac:dyDescent="0.3">
      <c r="A270">
        <v>24</v>
      </c>
      <c r="B270" t="s">
        <v>18</v>
      </c>
      <c r="C270">
        <v>986876.27</v>
      </c>
      <c r="D270" t="s">
        <v>550</v>
      </c>
      <c r="E270">
        <v>986876.27</v>
      </c>
      <c r="F270">
        <v>0</v>
      </c>
      <c r="G270" t="s">
        <v>551</v>
      </c>
      <c r="H270">
        <v>57853.96</v>
      </c>
      <c r="I270">
        <v>1044730.24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986876.27</v>
      </c>
      <c r="P270">
        <v>5</v>
      </c>
      <c r="Q270">
        <v>4</v>
      </c>
      <c r="R270">
        <v>3.8000000000000003</v>
      </c>
      <c r="S270" t="s">
        <v>2310</v>
      </c>
      <c r="V270">
        <f t="shared" si="12"/>
        <v>0</v>
      </c>
      <c r="W270">
        <f t="shared" si="13"/>
        <v>0</v>
      </c>
      <c r="X270" t="str">
        <f t="shared" si="14"/>
        <v>MATCH</v>
      </c>
    </row>
    <row r="271" spans="1:24" x14ac:dyDescent="0.3">
      <c r="A271">
        <v>24</v>
      </c>
      <c r="B271" t="s">
        <v>15</v>
      </c>
      <c r="C271">
        <v>6844.73</v>
      </c>
      <c r="D271" t="s">
        <v>552</v>
      </c>
      <c r="E271">
        <v>6844.73</v>
      </c>
      <c r="F271">
        <v>0</v>
      </c>
      <c r="G271" t="s">
        <v>553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1</v>
      </c>
      <c r="O271">
        <v>6844.73</v>
      </c>
      <c r="P271">
        <v>1</v>
      </c>
      <c r="Q271">
        <v>5</v>
      </c>
      <c r="R271">
        <v>2.1</v>
      </c>
      <c r="S271" t="s">
        <v>2312</v>
      </c>
      <c r="V271">
        <f t="shared" si="12"/>
        <v>0</v>
      </c>
      <c r="W271">
        <f t="shared" si="13"/>
        <v>0</v>
      </c>
      <c r="X271" t="str">
        <f t="shared" si="14"/>
        <v>MATCH</v>
      </c>
    </row>
    <row r="272" spans="1:24" x14ac:dyDescent="0.3">
      <c r="A272">
        <v>24</v>
      </c>
      <c r="B272" t="s">
        <v>18</v>
      </c>
      <c r="C272">
        <v>6844.73</v>
      </c>
      <c r="D272" t="s">
        <v>554</v>
      </c>
      <c r="E272">
        <v>6844.73</v>
      </c>
      <c r="F272">
        <v>0</v>
      </c>
      <c r="G272" t="s">
        <v>555</v>
      </c>
      <c r="H272">
        <v>264100.7</v>
      </c>
      <c r="I272">
        <v>270945.42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6844.73</v>
      </c>
      <c r="P272">
        <v>1</v>
      </c>
      <c r="Q272">
        <v>4</v>
      </c>
      <c r="R272">
        <v>1.8</v>
      </c>
      <c r="S272" t="s">
        <v>2311</v>
      </c>
      <c r="V272">
        <f t="shared" si="12"/>
        <v>0</v>
      </c>
      <c r="W272">
        <f t="shared" si="13"/>
        <v>0</v>
      </c>
      <c r="X272" t="str">
        <f t="shared" si="14"/>
        <v>MATCH</v>
      </c>
    </row>
    <row r="273" spans="1:24" x14ac:dyDescent="0.3">
      <c r="A273">
        <v>25</v>
      </c>
      <c r="B273" t="s">
        <v>15</v>
      </c>
      <c r="C273">
        <v>8383.17</v>
      </c>
      <c r="D273" t="s">
        <v>556</v>
      </c>
      <c r="E273">
        <v>8383.17</v>
      </c>
      <c r="F273">
        <v>0</v>
      </c>
      <c r="G273" t="s">
        <v>557</v>
      </c>
      <c r="H273">
        <v>0</v>
      </c>
      <c r="I273">
        <v>0</v>
      </c>
      <c r="J273">
        <v>1</v>
      </c>
      <c r="K273">
        <v>0</v>
      </c>
      <c r="L273">
        <v>1</v>
      </c>
      <c r="M273">
        <v>0</v>
      </c>
      <c r="N273">
        <v>1</v>
      </c>
      <c r="O273">
        <v>8383.17</v>
      </c>
      <c r="P273">
        <v>1</v>
      </c>
      <c r="Q273">
        <v>5</v>
      </c>
      <c r="R273">
        <v>2.1</v>
      </c>
      <c r="S273" t="s">
        <v>2312</v>
      </c>
      <c r="V273">
        <f t="shared" si="12"/>
        <v>0</v>
      </c>
      <c r="W273">
        <f t="shared" si="13"/>
        <v>0</v>
      </c>
      <c r="X273" t="str">
        <f t="shared" si="14"/>
        <v>MATCH</v>
      </c>
    </row>
    <row r="274" spans="1:24" x14ac:dyDescent="0.3">
      <c r="A274">
        <v>25</v>
      </c>
      <c r="B274" t="s">
        <v>18</v>
      </c>
      <c r="C274">
        <v>8383.17</v>
      </c>
      <c r="D274" t="s">
        <v>558</v>
      </c>
      <c r="E274">
        <v>8383.17</v>
      </c>
      <c r="F274">
        <v>0</v>
      </c>
      <c r="G274" t="s">
        <v>559</v>
      </c>
      <c r="H274">
        <v>6577262.6399999997</v>
      </c>
      <c r="I274">
        <v>6585645.8099999996</v>
      </c>
      <c r="J274">
        <v>1</v>
      </c>
      <c r="K274">
        <v>0</v>
      </c>
      <c r="L274">
        <v>1</v>
      </c>
      <c r="M274">
        <v>0</v>
      </c>
      <c r="N274">
        <v>1</v>
      </c>
      <c r="O274">
        <v>8383.17</v>
      </c>
      <c r="P274">
        <v>1</v>
      </c>
      <c r="Q274">
        <v>4</v>
      </c>
      <c r="R274">
        <v>1.8</v>
      </c>
      <c r="S274" t="s">
        <v>2311</v>
      </c>
      <c r="V274">
        <f t="shared" si="12"/>
        <v>0</v>
      </c>
      <c r="W274">
        <f t="shared" si="13"/>
        <v>0</v>
      </c>
      <c r="X274" t="str">
        <f t="shared" si="14"/>
        <v>MATCH</v>
      </c>
    </row>
    <row r="275" spans="1:24" x14ac:dyDescent="0.3">
      <c r="A275">
        <v>25</v>
      </c>
      <c r="B275" t="s">
        <v>15</v>
      </c>
      <c r="C275">
        <v>781953.11</v>
      </c>
      <c r="D275" t="s">
        <v>560</v>
      </c>
      <c r="E275">
        <v>781953.11</v>
      </c>
      <c r="F275">
        <v>0</v>
      </c>
      <c r="G275" t="s">
        <v>561</v>
      </c>
      <c r="H275">
        <v>0</v>
      </c>
      <c r="I275">
        <v>0</v>
      </c>
      <c r="J275">
        <v>1</v>
      </c>
      <c r="K275">
        <v>0</v>
      </c>
      <c r="L275">
        <v>1</v>
      </c>
      <c r="M275">
        <v>0</v>
      </c>
      <c r="N275">
        <v>1</v>
      </c>
      <c r="O275">
        <v>781953.11</v>
      </c>
      <c r="P275">
        <v>5</v>
      </c>
      <c r="Q275">
        <v>5</v>
      </c>
      <c r="R275">
        <v>4.0999999999999996</v>
      </c>
      <c r="S275" t="s">
        <v>2310</v>
      </c>
      <c r="V275">
        <f t="shared" si="12"/>
        <v>0</v>
      </c>
      <c r="W275">
        <f t="shared" si="13"/>
        <v>0</v>
      </c>
      <c r="X275" t="str">
        <f t="shared" si="14"/>
        <v>MATCH</v>
      </c>
    </row>
    <row r="276" spans="1:24" x14ac:dyDescent="0.3">
      <c r="A276">
        <v>25</v>
      </c>
      <c r="B276" t="s">
        <v>18</v>
      </c>
      <c r="C276">
        <v>781953.11</v>
      </c>
      <c r="D276" t="s">
        <v>562</v>
      </c>
      <c r="E276">
        <v>781953.11</v>
      </c>
      <c r="F276">
        <v>0</v>
      </c>
      <c r="G276" t="s">
        <v>563</v>
      </c>
      <c r="H276">
        <v>0</v>
      </c>
      <c r="I276">
        <v>781953.11</v>
      </c>
      <c r="J276">
        <v>1</v>
      </c>
      <c r="K276">
        <v>0</v>
      </c>
      <c r="L276">
        <v>1</v>
      </c>
      <c r="M276">
        <v>0</v>
      </c>
      <c r="N276">
        <v>1</v>
      </c>
      <c r="O276">
        <v>781953.11</v>
      </c>
      <c r="P276">
        <v>5</v>
      </c>
      <c r="Q276">
        <v>4</v>
      </c>
      <c r="R276">
        <v>3.8000000000000003</v>
      </c>
      <c r="S276" t="s">
        <v>2310</v>
      </c>
      <c r="V276">
        <f t="shared" si="12"/>
        <v>0</v>
      </c>
      <c r="W276">
        <f t="shared" si="13"/>
        <v>0</v>
      </c>
      <c r="X276" t="str">
        <f t="shared" si="14"/>
        <v>MATCH</v>
      </c>
    </row>
    <row r="277" spans="1:24" x14ac:dyDescent="0.3">
      <c r="A277">
        <v>25</v>
      </c>
      <c r="B277" t="s">
        <v>15</v>
      </c>
      <c r="C277">
        <v>217231</v>
      </c>
      <c r="D277" t="s">
        <v>564</v>
      </c>
      <c r="E277">
        <v>217231</v>
      </c>
      <c r="F277">
        <v>0</v>
      </c>
      <c r="G277" t="s">
        <v>565</v>
      </c>
      <c r="H277">
        <v>0</v>
      </c>
      <c r="I277">
        <v>0</v>
      </c>
      <c r="J277">
        <v>1</v>
      </c>
      <c r="K277">
        <v>0</v>
      </c>
      <c r="L277">
        <v>1</v>
      </c>
      <c r="M277">
        <v>0</v>
      </c>
      <c r="N277">
        <v>1</v>
      </c>
      <c r="O277">
        <v>217231</v>
      </c>
      <c r="P277">
        <v>5</v>
      </c>
      <c r="Q277">
        <v>5</v>
      </c>
      <c r="R277">
        <v>4.0999999999999996</v>
      </c>
      <c r="S277" t="s">
        <v>2310</v>
      </c>
      <c r="V277">
        <f t="shared" si="12"/>
        <v>0</v>
      </c>
      <c r="W277">
        <f t="shared" si="13"/>
        <v>0</v>
      </c>
      <c r="X277" t="str">
        <f t="shared" si="14"/>
        <v>MATCH</v>
      </c>
    </row>
    <row r="278" spans="1:24" x14ac:dyDescent="0.3">
      <c r="A278">
        <v>25</v>
      </c>
      <c r="B278" t="s">
        <v>18</v>
      </c>
      <c r="C278">
        <v>217231</v>
      </c>
      <c r="D278" t="s">
        <v>566</v>
      </c>
      <c r="E278">
        <v>217231</v>
      </c>
      <c r="F278">
        <v>0</v>
      </c>
      <c r="G278" t="s">
        <v>567</v>
      </c>
      <c r="H278">
        <v>7236671.0999999996</v>
      </c>
      <c r="I278">
        <v>7453902.0999999996</v>
      </c>
      <c r="J278">
        <v>1</v>
      </c>
      <c r="K278">
        <v>0</v>
      </c>
      <c r="L278">
        <v>1</v>
      </c>
      <c r="M278">
        <v>0</v>
      </c>
      <c r="N278">
        <v>1</v>
      </c>
      <c r="O278">
        <v>217231</v>
      </c>
      <c r="P278">
        <v>5</v>
      </c>
      <c r="Q278">
        <v>4</v>
      </c>
      <c r="R278">
        <v>3.8000000000000003</v>
      </c>
      <c r="S278" t="s">
        <v>2310</v>
      </c>
      <c r="V278">
        <f t="shared" si="12"/>
        <v>0</v>
      </c>
      <c r="W278">
        <f t="shared" si="13"/>
        <v>0</v>
      </c>
      <c r="X278" t="str">
        <f t="shared" si="14"/>
        <v>MATCH</v>
      </c>
    </row>
    <row r="279" spans="1:24" x14ac:dyDescent="0.3">
      <c r="A279">
        <v>25</v>
      </c>
      <c r="B279" t="s">
        <v>15</v>
      </c>
      <c r="C279">
        <v>44829.81</v>
      </c>
      <c r="D279" t="s">
        <v>568</v>
      </c>
      <c r="E279">
        <v>44829.81</v>
      </c>
      <c r="F279">
        <v>0</v>
      </c>
      <c r="G279" t="s">
        <v>569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44829.81</v>
      </c>
      <c r="P279">
        <v>2</v>
      </c>
      <c r="Q279">
        <v>5</v>
      </c>
      <c r="R279">
        <v>2.6</v>
      </c>
      <c r="S279" t="s">
        <v>2312</v>
      </c>
      <c r="V279">
        <f t="shared" si="12"/>
        <v>0</v>
      </c>
      <c r="W279">
        <f t="shared" si="13"/>
        <v>0</v>
      </c>
      <c r="X279" t="str">
        <f t="shared" si="14"/>
        <v>MATCH</v>
      </c>
    </row>
    <row r="280" spans="1:24" x14ac:dyDescent="0.3">
      <c r="A280">
        <v>25</v>
      </c>
      <c r="B280" t="s">
        <v>18</v>
      </c>
      <c r="C280">
        <v>44829.81</v>
      </c>
      <c r="D280" t="s">
        <v>570</v>
      </c>
      <c r="E280">
        <v>44829.81</v>
      </c>
      <c r="F280">
        <v>0</v>
      </c>
      <c r="G280" t="s">
        <v>571</v>
      </c>
      <c r="H280">
        <v>301552.31</v>
      </c>
      <c r="I280">
        <v>346382.12</v>
      </c>
      <c r="J280">
        <v>1</v>
      </c>
      <c r="K280">
        <v>0</v>
      </c>
      <c r="L280">
        <v>1</v>
      </c>
      <c r="M280">
        <v>0</v>
      </c>
      <c r="N280">
        <v>1</v>
      </c>
      <c r="O280">
        <v>44829.81</v>
      </c>
      <c r="P280">
        <v>2</v>
      </c>
      <c r="Q280">
        <v>4</v>
      </c>
      <c r="R280">
        <v>2.3000000000000003</v>
      </c>
      <c r="S280" t="s">
        <v>2312</v>
      </c>
      <c r="V280">
        <f t="shared" si="12"/>
        <v>0</v>
      </c>
      <c r="W280">
        <f t="shared" si="13"/>
        <v>0</v>
      </c>
      <c r="X280" t="str">
        <f t="shared" si="14"/>
        <v>MATCH</v>
      </c>
    </row>
    <row r="281" spans="1:24" x14ac:dyDescent="0.3">
      <c r="A281">
        <v>25</v>
      </c>
      <c r="B281" t="s">
        <v>15</v>
      </c>
      <c r="C281">
        <v>296333.53999999998</v>
      </c>
      <c r="D281" t="s">
        <v>572</v>
      </c>
      <c r="E281">
        <v>296333.53999999998</v>
      </c>
      <c r="F281">
        <v>0</v>
      </c>
      <c r="G281" t="s">
        <v>573</v>
      </c>
      <c r="H281">
        <v>0</v>
      </c>
      <c r="I281">
        <v>0</v>
      </c>
      <c r="J281">
        <v>1</v>
      </c>
      <c r="K281">
        <v>0</v>
      </c>
      <c r="L281">
        <v>1</v>
      </c>
      <c r="M281">
        <v>0</v>
      </c>
      <c r="N281">
        <v>1</v>
      </c>
      <c r="O281">
        <v>296333.53999999998</v>
      </c>
      <c r="P281">
        <v>5</v>
      </c>
      <c r="Q281">
        <v>5</v>
      </c>
      <c r="R281">
        <v>4.0999999999999996</v>
      </c>
      <c r="S281" t="s">
        <v>2310</v>
      </c>
      <c r="V281">
        <f t="shared" si="12"/>
        <v>0</v>
      </c>
      <c r="W281">
        <f t="shared" si="13"/>
        <v>0</v>
      </c>
      <c r="X281" t="str">
        <f t="shared" si="14"/>
        <v>MATCH</v>
      </c>
    </row>
    <row r="282" spans="1:24" x14ac:dyDescent="0.3">
      <c r="A282">
        <v>25</v>
      </c>
      <c r="B282" t="s">
        <v>18</v>
      </c>
      <c r="C282">
        <v>296333.53999999998</v>
      </c>
      <c r="D282" t="s">
        <v>574</v>
      </c>
      <c r="E282">
        <v>296333.53999999998</v>
      </c>
      <c r="F282">
        <v>0</v>
      </c>
      <c r="G282" t="s">
        <v>575</v>
      </c>
      <c r="H282">
        <v>3355664.68</v>
      </c>
      <c r="I282">
        <v>3651998.22</v>
      </c>
      <c r="J282">
        <v>1</v>
      </c>
      <c r="K282">
        <v>0</v>
      </c>
      <c r="L282">
        <v>1</v>
      </c>
      <c r="M282">
        <v>0</v>
      </c>
      <c r="N282">
        <v>1</v>
      </c>
      <c r="O282">
        <v>296333.53999999998</v>
      </c>
      <c r="P282">
        <v>5</v>
      </c>
      <c r="Q282">
        <v>4</v>
      </c>
      <c r="R282">
        <v>3.8000000000000003</v>
      </c>
      <c r="S282" t="s">
        <v>2310</v>
      </c>
      <c r="V282">
        <f t="shared" si="12"/>
        <v>0</v>
      </c>
      <c r="W282">
        <f t="shared" si="13"/>
        <v>0</v>
      </c>
      <c r="X282" t="str">
        <f t="shared" si="14"/>
        <v>MATCH</v>
      </c>
    </row>
    <row r="283" spans="1:24" x14ac:dyDescent="0.3">
      <c r="A283">
        <v>25</v>
      </c>
      <c r="B283" t="s">
        <v>15</v>
      </c>
      <c r="C283">
        <v>18126.95</v>
      </c>
      <c r="D283" t="s">
        <v>576</v>
      </c>
      <c r="E283">
        <v>18126.95</v>
      </c>
      <c r="F283">
        <v>0</v>
      </c>
      <c r="G283" t="s">
        <v>577</v>
      </c>
      <c r="H283">
        <v>0</v>
      </c>
      <c r="I283">
        <v>0</v>
      </c>
      <c r="J283">
        <v>1</v>
      </c>
      <c r="K283">
        <v>0</v>
      </c>
      <c r="L283">
        <v>1</v>
      </c>
      <c r="M283">
        <v>0</v>
      </c>
      <c r="N283">
        <v>1</v>
      </c>
      <c r="O283">
        <v>18126.95</v>
      </c>
      <c r="P283">
        <v>2</v>
      </c>
      <c r="Q283">
        <v>5</v>
      </c>
      <c r="R283">
        <v>2.6</v>
      </c>
      <c r="S283" t="s">
        <v>2312</v>
      </c>
      <c r="V283">
        <f t="shared" si="12"/>
        <v>0</v>
      </c>
      <c r="W283">
        <f t="shared" si="13"/>
        <v>0</v>
      </c>
      <c r="X283" t="str">
        <f t="shared" si="14"/>
        <v>MATCH</v>
      </c>
    </row>
    <row r="284" spans="1:24" x14ac:dyDescent="0.3">
      <c r="A284">
        <v>25</v>
      </c>
      <c r="B284" t="s">
        <v>18</v>
      </c>
      <c r="C284">
        <v>18126.95</v>
      </c>
      <c r="D284" t="s">
        <v>578</v>
      </c>
      <c r="E284">
        <v>18126.95</v>
      </c>
      <c r="F284">
        <v>0</v>
      </c>
      <c r="G284" t="s">
        <v>579</v>
      </c>
      <c r="H284">
        <v>0</v>
      </c>
      <c r="I284">
        <v>18126.95</v>
      </c>
      <c r="J284">
        <v>1</v>
      </c>
      <c r="K284">
        <v>0</v>
      </c>
      <c r="L284">
        <v>1</v>
      </c>
      <c r="M284">
        <v>0</v>
      </c>
      <c r="N284">
        <v>1</v>
      </c>
      <c r="O284">
        <v>18126.95</v>
      </c>
      <c r="P284">
        <v>2</v>
      </c>
      <c r="Q284">
        <v>4</v>
      </c>
      <c r="R284">
        <v>2.3000000000000003</v>
      </c>
      <c r="S284" t="s">
        <v>2312</v>
      </c>
      <c r="V284">
        <f t="shared" si="12"/>
        <v>0</v>
      </c>
      <c r="W284">
        <f t="shared" si="13"/>
        <v>0</v>
      </c>
      <c r="X284" t="str">
        <f t="shared" si="14"/>
        <v>MATCH</v>
      </c>
    </row>
    <row r="285" spans="1:24" x14ac:dyDescent="0.3">
      <c r="A285">
        <v>25</v>
      </c>
      <c r="B285" t="s">
        <v>15</v>
      </c>
      <c r="C285">
        <v>249159.26</v>
      </c>
      <c r="D285" t="s">
        <v>580</v>
      </c>
      <c r="E285">
        <v>249159.26</v>
      </c>
      <c r="F285">
        <v>0</v>
      </c>
      <c r="G285" t="s">
        <v>581</v>
      </c>
      <c r="H285">
        <v>0</v>
      </c>
      <c r="I285">
        <v>0</v>
      </c>
      <c r="J285">
        <v>1</v>
      </c>
      <c r="K285">
        <v>0</v>
      </c>
      <c r="L285">
        <v>1</v>
      </c>
      <c r="M285">
        <v>0</v>
      </c>
      <c r="N285">
        <v>1</v>
      </c>
      <c r="O285">
        <v>249159.26</v>
      </c>
      <c r="P285">
        <v>5</v>
      </c>
      <c r="Q285">
        <v>5</v>
      </c>
      <c r="R285">
        <v>4.0999999999999996</v>
      </c>
      <c r="S285" t="s">
        <v>2310</v>
      </c>
      <c r="V285">
        <f t="shared" si="12"/>
        <v>0</v>
      </c>
      <c r="W285">
        <f t="shared" si="13"/>
        <v>0</v>
      </c>
      <c r="X285" t="str">
        <f t="shared" si="14"/>
        <v>MATCH</v>
      </c>
    </row>
    <row r="286" spans="1:24" x14ac:dyDescent="0.3">
      <c r="A286">
        <v>25</v>
      </c>
      <c r="B286" t="s">
        <v>18</v>
      </c>
      <c r="C286">
        <v>249159.26</v>
      </c>
      <c r="D286" t="s">
        <v>582</v>
      </c>
      <c r="E286">
        <v>249159.26</v>
      </c>
      <c r="F286">
        <v>0</v>
      </c>
      <c r="G286" t="s">
        <v>583</v>
      </c>
      <c r="H286">
        <v>285997.40999999997</v>
      </c>
      <c r="I286">
        <v>535156.67000000004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249159.26</v>
      </c>
      <c r="P286">
        <v>5</v>
      </c>
      <c r="Q286">
        <v>4</v>
      </c>
      <c r="R286">
        <v>3.8000000000000003</v>
      </c>
      <c r="S286" t="s">
        <v>2310</v>
      </c>
      <c r="V286">
        <f t="shared" si="12"/>
        <v>0</v>
      </c>
      <c r="W286">
        <f t="shared" si="13"/>
        <v>0</v>
      </c>
      <c r="X286" t="str">
        <f t="shared" si="14"/>
        <v>MATCH</v>
      </c>
    </row>
    <row r="287" spans="1:24" x14ac:dyDescent="0.3">
      <c r="A287">
        <v>25</v>
      </c>
      <c r="B287" t="s">
        <v>15</v>
      </c>
      <c r="C287">
        <v>1698263.69</v>
      </c>
      <c r="D287" t="s">
        <v>584</v>
      </c>
      <c r="E287">
        <v>1698263.69</v>
      </c>
      <c r="F287">
        <v>0</v>
      </c>
      <c r="G287" t="s">
        <v>585</v>
      </c>
      <c r="H287">
        <v>0</v>
      </c>
      <c r="I287">
        <v>0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1698263.69</v>
      </c>
      <c r="P287">
        <v>5</v>
      </c>
      <c r="Q287">
        <v>5</v>
      </c>
      <c r="R287">
        <v>4.0999999999999996</v>
      </c>
      <c r="S287" t="s">
        <v>2310</v>
      </c>
      <c r="V287">
        <f t="shared" si="12"/>
        <v>0</v>
      </c>
      <c r="W287">
        <f t="shared" si="13"/>
        <v>0</v>
      </c>
      <c r="X287" t="str">
        <f t="shared" si="14"/>
        <v>MATCH</v>
      </c>
    </row>
    <row r="288" spans="1:24" x14ac:dyDescent="0.3">
      <c r="A288">
        <v>25</v>
      </c>
      <c r="B288" t="s">
        <v>18</v>
      </c>
      <c r="C288">
        <v>1698263.69</v>
      </c>
      <c r="D288" t="s">
        <v>586</v>
      </c>
      <c r="E288">
        <v>1698263.69</v>
      </c>
      <c r="F288">
        <v>0</v>
      </c>
      <c r="G288" t="s">
        <v>587</v>
      </c>
      <c r="H288">
        <v>0</v>
      </c>
      <c r="I288">
        <v>1698263.69</v>
      </c>
      <c r="J288">
        <v>1</v>
      </c>
      <c r="K288">
        <v>0</v>
      </c>
      <c r="L288">
        <v>1</v>
      </c>
      <c r="M288">
        <v>0</v>
      </c>
      <c r="N288">
        <v>1</v>
      </c>
      <c r="O288">
        <v>1698263.69</v>
      </c>
      <c r="P288">
        <v>5</v>
      </c>
      <c r="Q288">
        <v>4</v>
      </c>
      <c r="R288">
        <v>3.8000000000000003</v>
      </c>
      <c r="S288" t="s">
        <v>2310</v>
      </c>
      <c r="V288">
        <f t="shared" si="12"/>
        <v>0</v>
      </c>
      <c r="W288">
        <f t="shared" si="13"/>
        <v>0</v>
      </c>
      <c r="X288" t="str">
        <f t="shared" si="14"/>
        <v>MATCH</v>
      </c>
    </row>
    <row r="289" spans="1:24" x14ac:dyDescent="0.3">
      <c r="A289">
        <v>25</v>
      </c>
      <c r="B289" t="s">
        <v>15</v>
      </c>
      <c r="C289">
        <v>802382.45</v>
      </c>
      <c r="D289" t="s">
        <v>588</v>
      </c>
      <c r="E289">
        <v>802382.45</v>
      </c>
      <c r="F289">
        <v>0</v>
      </c>
      <c r="G289" t="s">
        <v>589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0</v>
      </c>
      <c r="N289">
        <v>1</v>
      </c>
      <c r="O289">
        <v>802382.45</v>
      </c>
      <c r="P289">
        <v>5</v>
      </c>
      <c r="Q289">
        <v>5</v>
      </c>
      <c r="R289">
        <v>4.0999999999999996</v>
      </c>
      <c r="S289" t="s">
        <v>2310</v>
      </c>
      <c r="V289">
        <f t="shared" si="12"/>
        <v>0</v>
      </c>
      <c r="W289">
        <f t="shared" si="13"/>
        <v>0</v>
      </c>
      <c r="X289" t="str">
        <f t="shared" si="14"/>
        <v>MATCH</v>
      </c>
    </row>
    <row r="290" spans="1:24" x14ac:dyDescent="0.3">
      <c r="A290">
        <v>25</v>
      </c>
      <c r="B290" t="s">
        <v>18</v>
      </c>
      <c r="C290">
        <v>802382.45</v>
      </c>
      <c r="D290" t="s">
        <v>590</v>
      </c>
      <c r="E290">
        <v>802382.45</v>
      </c>
      <c r="F290">
        <v>0</v>
      </c>
      <c r="G290" t="s">
        <v>591</v>
      </c>
      <c r="H290">
        <v>0</v>
      </c>
      <c r="I290">
        <v>802382.45</v>
      </c>
      <c r="J290">
        <v>1</v>
      </c>
      <c r="K290">
        <v>0</v>
      </c>
      <c r="L290">
        <v>1</v>
      </c>
      <c r="M290">
        <v>0</v>
      </c>
      <c r="N290">
        <v>1</v>
      </c>
      <c r="O290">
        <v>802382.45</v>
      </c>
      <c r="P290">
        <v>5</v>
      </c>
      <c r="Q290">
        <v>4</v>
      </c>
      <c r="R290">
        <v>3.8000000000000003</v>
      </c>
      <c r="S290" t="s">
        <v>2310</v>
      </c>
      <c r="V290">
        <f t="shared" si="12"/>
        <v>0</v>
      </c>
      <c r="W290">
        <f t="shared" si="13"/>
        <v>0</v>
      </c>
      <c r="X290" t="str">
        <f t="shared" si="14"/>
        <v>MATCH</v>
      </c>
    </row>
    <row r="291" spans="1:24" x14ac:dyDescent="0.3">
      <c r="A291">
        <v>26</v>
      </c>
      <c r="B291" t="s">
        <v>15</v>
      </c>
      <c r="C291">
        <v>37065.550000000003</v>
      </c>
      <c r="D291" t="s">
        <v>592</v>
      </c>
      <c r="E291">
        <v>37065.550000000003</v>
      </c>
      <c r="F291">
        <v>0</v>
      </c>
      <c r="G291" t="s">
        <v>593</v>
      </c>
      <c r="H291">
        <v>0</v>
      </c>
      <c r="I291">
        <v>0</v>
      </c>
      <c r="J291">
        <v>1</v>
      </c>
      <c r="K291">
        <v>0</v>
      </c>
      <c r="L291">
        <v>2</v>
      </c>
      <c r="M291">
        <v>0</v>
      </c>
      <c r="N291">
        <v>1</v>
      </c>
      <c r="O291">
        <v>37065.550000000003</v>
      </c>
      <c r="P291">
        <v>2</v>
      </c>
      <c r="Q291">
        <v>5</v>
      </c>
      <c r="R291">
        <v>2.6</v>
      </c>
      <c r="S291" t="s">
        <v>2312</v>
      </c>
      <c r="V291">
        <f t="shared" si="12"/>
        <v>0</v>
      </c>
      <c r="W291">
        <f t="shared" si="13"/>
        <v>0</v>
      </c>
      <c r="X291" t="str">
        <f t="shared" si="14"/>
        <v>MATCH</v>
      </c>
    </row>
    <row r="292" spans="1:24" x14ac:dyDescent="0.3">
      <c r="A292">
        <v>26</v>
      </c>
      <c r="B292" t="s">
        <v>18</v>
      </c>
      <c r="C292">
        <v>37065.550000000003</v>
      </c>
      <c r="D292" t="s">
        <v>594</v>
      </c>
      <c r="E292">
        <v>37065.550000000003</v>
      </c>
      <c r="F292">
        <v>0</v>
      </c>
      <c r="G292" t="s">
        <v>595</v>
      </c>
      <c r="H292">
        <v>1396327.66</v>
      </c>
      <c r="I292">
        <v>1433393.21</v>
      </c>
      <c r="J292">
        <v>1</v>
      </c>
      <c r="K292">
        <v>0</v>
      </c>
      <c r="L292">
        <v>2</v>
      </c>
      <c r="M292">
        <v>0</v>
      </c>
      <c r="N292">
        <v>1</v>
      </c>
      <c r="O292">
        <v>37065.550000000003</v>
      </c>
      <c r="P292">
        <v>2</v>
      </c>
      <c r="Q292">
        <v>4</v>
      </c>
      <c r="R292">
        <v>2.3000000000000003</v>
      </c>
      <c r="S292" t="s">
        <v>2312</v>
      </c>
      <c r="V292">
        <f t="shared" si="12"/>
        <v>0</v>
      </c>
      <c r="W292">
        <f t="shared" si="13"/>
        <v>0</v>
      </c>
      <c r="X292" t="str">
        <f t="shared" si="14"/>
        <v>MATCH</v>
      </c>
    </row>
    <row r="293" spans="1:24" x14ac:dyDescent="0.3">
      <c r="A293">
        <v>26</v>
      </c>
      <c r="B293" t="s">
        <v>15</v>
      </c>
      <c r="C293">
        <v>369186.87</v>
      </c>
      <c r="D293" t="s">
        <v>596</v>
      </c>
      <c r="E293">
        <v>369186.87</v>
      </c>
      <c r="F293">
        <v>0</v>
      </c>
      <c r="G293" t="s">
        <v>597</v>
      </c>
      <c r="H293">
        <v>0</v>
      </c>
      <c r="I293">
        <v>0</v>
      </c>
      <c r="J293">
        <v>1</v>
      </c>
      <c r="K293">
        <v>0</v>
      </c>
      <c r="L293">
        <v>2</v>
      </c>
      <c r="M293">
        <v>0</v>
      </c>
      <c r="N293">
        <v>1</v>
      </c>
      <c r="O293">
        <v>369186.87</v>
      </c>
      <c r="P293">
        <v>5</v>
      </c>
      <c r="Q293">
        <v>5</v>
      </c>
      <c r="R293">
        <v>4.0999999999999996</v>
      </c>
      <c r="S293" t="s">
        <v>2310</v>
      </c>
      <c r="V293">
        <f t="shared" si="12"/>
        <v>0</v>
      </c>
      <c r="W293">
        <f t="shared" si="13"/>
        <v>0</v>
      </c>
      <c r="X293" t="str">
        <f t="shared" si="14"/>
        <v>MATCH</v>
      </c>
    </row>
    <row r="294" spans="1:24" x14ac:dyDescent="0.3">
      <c r="A294">
        <v>26</v>
      </c>
      <c r="B294" t="s">
        <v>18</v>
      </c>
      <c r="C294">
        <v>369186.87</v>
      </c>
      <c r="D294" t="s">
        <v>598</v>
      </c>
      <c r="E294">
        <v>369186.87</v>
      </c>
      <c r="F294">
        <v>0</v>
      </c>
      <c r="G294" t="s">
        <v>599</v>
      </c>
      <c r="H294">
        <v>36224.11</v>
      </c>
      <c r="I294">
        <v>405410.97</v>
      </c>
      <c r="J294">
        <v>1</v>
      </c>
      <c r="K294">
        <v>0</v>
      </c>
      <c r="L294">
        <v>2</v>
      </c>
      <c r="M294">
        <v>0</v>
      </c>
      <c r="N294">
        <v>1</v>
      </c>
      <c r="O294">
        <v>369186.87</v>
      </c>
      <c r="P294">
        <v>5</v>
      </c>
      <c r="Q294">
        <v>4</v>
      </c>
      <c r="R294">
        <v>3.8000000000000003</v>
      </c>
      <c r="S294" t="s">
        <v>2310</v>
      </c>
      <c r="V294">
        <f t="shared" si="12"/>
        <v>0</v>
      </c>
      <c r="W294">
        <f t="shared" si="13"/>
        <v>0</v>
      </c>
      <c r="X294" t="str">
        <f t="shared" si="14"/>
        <v>MATCH</v>
      </c>
    </row>
    <row r="295" spans="1:24" x14ac:dyDescent="0.3">
      <c r="A295">
        <v>26</v>
      </c>
      <c r="B295" t="s">
        <v>15</v>
      </c>
      <c r="C295">
        <v>78741.64</v>
      </c>
      <c r="D295" t="s">
        <v>600</v>
      </c>
      <c r="E295">
        <v>78741.64</v>
      </c>
      <c r="F295">
        <v>0</v>
      </c>
      <c r="G295" t="s">
        <v>601</v>
      </c>
      <c r="H295">
        <v>0</v>
      </c>
      <c r="I295">
        <v>0</v>
      </c>
      <c r="J295">
        <v>1</v>
      </c>
      <c r="K295">
        <v>0</v>
      </c>
      <c r="L295">
        <v>2</v>
      </c>
      <c r="M295">
        <v>0</v>
      </c>
      <c r="N295">
        <v>1</v>
      </c>
      <c r="O295">
        <v>78741.64</v>
      </c>
      <c r="P295">
        <v>3</v>
      </c>
      <c r="Q295">
        <v>5</v>
      </c>
      <c r="R295">
        <v>3.1</v>
      </c>
      <c r="S295" t="s">
        <v>2310</v>
      </c>
      <c r="V295">
        <f t="shared" si="12"/>
        <v>0</v>
      </c>
      <c r="W295">
        <f t="shared" si="13"/>
        <v>0</v>
      </c>
      <c r="X295" t="str">
        <f t="shared" si="14"/>
        <v>MATCH</v>
      </c>
    </row>
    <row r="296" spans="1:24" x14ac:dyDescent="0.3">
      <c r="A296">
        <v>26</v>
      </c>
      <c r="B296" t="s">
        <v>18</v>
      </c>
      <c r="C296">
        <v>78741.64</v>
      </c>
      <c r="D296" t="s">
        <v>602</v>
      </c>
      <c r="E296">
        <v>78741.64</v>
      </c>
      <c r="F296">
        <v>0</v>
      </c>
      <c r="G296" t="s">
        <v>603</v>
      </c>
      <c r="H296">
        <v>48628.52</v>
      </c>
      <c r="I296">
        <v>127370.16</v>
      </c>
      <c r="J296">
        <v>1</v>
      </c>
      <c r="K296">
        <v>0</v>
      </c>
      <c r="L296">
        <v>2</v>
      </c>
      <c r="M296">
        <v>0</v>
      </c>
      <c r="N296">
        <v>1</v>
      </c>
      <c r="O296">
        <v>78741.64</v>
      </c>
      <c r="P296">
        <v>3</v>
      </c>
      <c r="Q296">
        <v>4</v>
      </c>
      <c r="R296">
        <v>2.8000000000000003</v>
      </c>
      <c r="S296" t="s">
        <v>2312</v>
      </c>
      <c r="V296">
        <f t="shared" si="12"/>
        <v>0</v>
      </c>
      <c r="W296">
        <f t="shared" si="13"/>
        <v>0</v>
      </c>
      <c r="X296" t="str">
        <f t="shared" si="14"/>
        <v>MATCH</v>
      </c>
    </row>
    <row r="297" spans="1:24" x14ac:dyDescent="0.3">
      <c r="A297">
        <v>26</v>
      </c>
      <c r="B297" t="s">
        <v>15</v>
      </c>
      <c r="C297">
        <v>1646181.09</v>
      </c>
      <c r="D297" t="s">
        <v>604</v>
      </c>
      <c r="E297">
        <v>1646181.09</v>
      </c>
      <c r="F297">
        <v>0</v>
      </c>
      <c r="G297" t="s">
        <v>605</v>
      </c>
      <c r="H297">
        <v>0</v>
      </c>
      <c r="I297">
        <v>0</v>
      </c>
      <c r="J297">
        <v>1</v>
      </c>
      <c r="K297">
        <v>0</v>
      </c>
      <c r="L297">
        <v>2</v>
      </c>
      <c r="M297">
        <v>0</v>
      </c>
      <c r="N297">
        <v>1</v>
      </c>
      <c r="O297">
        <v>1646181.09</v>
      </c>
      <c r="P297">
        <v>5</v>
      </c>
      <c r="Q297">
        <v>5</v>
      </c>
      <c r="R297">
        <v>4.0999999999999996</v>
      </c>
      <c r="S297" t="s">
        <v>2310</v>
      </c>
      <c r="V297">
        <f t="shared" si="12"/>
        <v>0</v>
      </c>
      <c r="W297">
        <f t="shared" si="13"/>
        <v>0</v>
      </c>
      <c r="X297" t="str">
        <f t="shared" si="14"/>
        <v>MATCH</v>
      </c>
    </row>
    <row r="298" spans="1:24" x14ac:dyDescent="0.3">
      <c r="A298">
        <v>26</v>
      </c>
      <c r="B298" t="s">
        <v>18</v>
      </c>
      <c r="C298">
        <v>1646181.09</v>
      </c>
      <c r="D298" t="s">
        <v>606</v>
      </c>
      <c r="E298">
        <v>1646181.09</v>
      </c>
      <c r="F298">
        <v>0</v>
      </c>
      <c r="G298" t="s">
        <v>607</v>
      </c>
      <c r="H298">
        <v>220025.2</v>
      </c>
      <c r="I298">
        <v>1866206.29</v>
      </c>
      <c r="J298">
        <v>1</v>
      </c>
      <c r="K298">
        <v>0</v>
      </c>
      <c r="L298">
        <v>2</v>
      </c>
      <c r="M298">
        <v>0</v>
      </c>
      <c r="N298">
        <v>1</v>
      </c>
      <c r="O298">
        <v>1646181.09</v>
      </c>
      <c r="P298">
        <v>5</v>
      </c>
      <c r="Q298">
        <v>4</v>
      </c>
      <c r="R298">
        <v>3.8000000000000003</v>
      </c>
      <c r="S298" t="s">
        <v>2310</v>
      </c>
      <c r="V298">
        <f t="shared" si="12"/>
        <v>0</v>
      </c>
      <c r="W298">
        <f t="shared" si="13"/>
        <v>0</v>
      </c>
      <c r="X298" t="str">
        <f t="shared" si="14"/>
        <v>MATCH</v>
      </c>
    </row>
    <row r="299" spans="1:24" x14ac:dyDescent="0.3">
      <c r="A299">
        <v>26</v>
      </c>
      <c r="B299" t="s">
        <v>15</v>
      </c>
      <c r="C299">
        <v>331829.94</v>
      </c>
      <c r="D299" t="s">
        <v>608</v>
      </c>
      <c r="E299">
        <v>331829.94</v>
      </c>
      <c r="F299">
        <v>0</v>
      </c>
      <c r="G299" t="s">
        <v>609</v>
      </c>
      <c r="H299">
        <v>0</v>
      </c>
      <c r="I299">
        <v>0</v>
      </c>
      <c r="J299">
        <v>1</v>
      </c>
      <c r="K299">
        <v>0</v>
      </c>
      <c r="L299">
        <v>2</v>
      </c>
      <c r="M299">
        <v>0</v>
      </c>
      <c r="N299">
        <v>1</v>
      </c>
      <c r="O299">
        <v>331829.94</v>
      </c>
      <c r="P299">
        <v>5</v>
      </c>
      <c r="Q299">
        <v>5</v>
      </c>
      <c r="R299">
        <v>4.0999999999999996</v>
      </c>
      <c r="S299" t="s">
        <v>2310</v>
      </c>
      <c r="V299">
        <f t="shared" si="12"/>
        <v>0</v>
      </c>
      <c r="W299">
        <f t="shared" si="13"/>
        <v>0</v>
      </c>
      <c r="X299" t="str">
        <f t="shared" si="14"/>
        <v>MATCH</v>
      </c>
    </row>
    <row r="300" spans="1:24" x14ac:dyDescent="0.3">
      <c r="A300">
        <v>26</v>
      </c>
      <c r="B300" t="s">
        <v>18</v>
      </c>
      <c r="C300">
        <v>331829.94</v>
      </c>
      <c r="D300" t="s">
        <v>610</v>
      </c>
      <c r="E300">
        <v>331829.94</v>
      </c>
      <c r="F300">
        <v>0</v>
      </c>
      <c r="G300" t="s">
        <v>611</v>
      </c>
      <c r="H300">
        <v>792855.99</v>
      </c>
      <c r="I300">
        <v>1124685.94</v>
      </c>
      <c r="J300">
        <v>1</v>
      </c>
      <c r="K300">
        <v>0</v>
      </c>
      <c r="L300">
        <v>2</v>
      </c>
      <c r="M300">
        <v>0</v>
      </c>
      <c r="N300">
        <v>1</v>
      </c>
      <c r="O300">
        <v>331829.94</v>
      </c>
      <c r="P300">
        <v>5</v>
      </c>
      <c r="Q300">
        <v>4</v>
      </c>
      <c r="R300">
        <v>3.8000000000000003</v>
      </c>
      <c r="S300" t="s">
        <v>2310</v>
      </c>
      <c r="V300">
        <f t="shared" si="12"/>
        <v>0</v>
      </c>
      <c r="W300">
        <f t="shared" si="13"/>
        <v>0</v>
      </c>
      <c r="X300" t="str">
        <f t="shared" si="14"/>
        <v>MATCH</v>
      </c>
    </row>
    <row r="301" spans="1:24" x14ac:dyDescent="0.3">
      <c r="A301">
        <v>26</v>
      </c>
      <c r="B301" t="s">
        <v>15</v>
      </c>
      <c r="C301">
        <v>1027152.36</v>
      </c>
      <c r="D301" t="s">
        <v>612</v>
      </c>
      <c r="E301">
        <v>1027152.36</v>
      </c>
      <c r="F301">
        <v>0</v>
      </c>
      <c r="G301" t="s">
        <v>613</v>
      </c>
      <c r="H301">
        <v>0</v>
      </c>
      <c r="I301">
        <v>0</v>
      </c>
      <c r="J301">
        <v>1</v>
      </c>
      <c r="K301">
        <v>0</v>
      </c>
      <c r="L301">
        <v>2</v>
      </c>
      <c r="M301">
        <v>0</v>
      </c>
      <c r="N301">
        <v>1</v>
      </c>
      <c r="O301">
        <v>1027152.36</v>
      </c>
      <c r="P301">
        <v>5</v>
      </c>
      <c r="Q301">
        <v>5</v>
      </c>
      <c r="R301">
        <v>4.0999999999999996</v>
      </c>
      <c r="S301" t="s">
        <v>2310</v>
      </c>
      <c r="V301">
        <f t="shared" si="12"/>
        <v>0</v>
      </c>
      <c r="W301">
        <f t="shared" si="13"/>
        <v>0</v>
      </c>
      <c r="X301" t="str">
        <f t="shared" si="14"/>
        <v>MATCH</v>
      </c>
    </row>
    <row r="302" spans="1:24" x14ac:dyDescent="0.3">
      <c r="A302">
        <v>26</v>
      </c>
      <c r="B302" t="s">
        <v>18</v>
      </c>
      <c r="C302">
        <v>1027152.36</v>
      </c>
      <c r="D302" t="s">
        <v>614</v>
      </c>
      <c r="E302">
        <v>1027152.36</v>
      </c>
      <c r="F302">
        <v>0</v>
      </c>
      <c r="G302" t="s">
        <v>615</v>
      </c>
      <c r="H302">
        <v>519428.56</v>
      </c>
      <c r="I302">
        <v>1546580.92</v>
      </c>
      <c r="J302">
        <v>1</v>
      </c>
      <c r="K302">
        <v>0</v>
      </c>
      <c r="L302">
        <v>2</v>
      </c>
      <c r="M302">
        <v>0</v>
      </c>
      <c r="N302">
        <v>1</v>
      </c>
      <c r="O302">
        <v>1027152.36</v>
      </c>
      <c r="P302">
        <v>5</v>
      </c>
      <c r="Q302">
        <v>4</v>
      </c>
      <c r="R302">
        <v>3.8000000000000003</v>
      </c>
      <c r="S302" t="s">
        <v>2310</v>
      </c>
      <c r="V302">
        <f t="shared" si="12"/>
        <v>0</v>
      </c>
      <c r="W302">
        <f t="shared" si="13"/>
        <v>0</v>
      </c>
      <c r="X302" t="str">
        <f t="shared" si="14"/>
        <v>MATCH</v>
      </c>
    </row>
    <row r="303" spans="1:24" x14ac:dyDescent="0.3">
      <c r="A303">
        <v>27</v>
      </c>
      <c r="B303" t="s">
        <v>15</v>
      </c>
      <c r="C303">
        <v>494244.61</v>
      </c>
      <c r="D303" t="s">
        <v>616</v>
      </c>
      <c r="E303">
        <v>494244.61</v>
      </c>
      <c r="F303">
        <v>0</v>
      </c>
      <c r="G303" t="s">
        <v>617</v>
      </c>
      <c r="H303">
        <v>0</v>
      </c>
      <c r="I303">
        <v>0</v>
      </c>
      <c r="J303">
        <v>1</v>
      </c>
      <c r="K303">
        <v>0</v>
      </c>
      <c r="L303">
        <v>3</v>
      </c>
      <c r="M303">
        <v>0</v>
      </c>
      <c r="N303">
        <v>1</v>
      </c>
      <c r="O303">
        <v>494244.61</v>
      </c>
      <c r="P303">
        <v>5</v>
      </c>
      <c r="Q303">
        <v>5</v>
      </c>
      <c r="R303">
        <v>4.0999999999999996</v>
      </c>
      <c r="S303" t="s">
        <v>2310</v>
      </c>
      <c r="V303">
        <f t="shared" si="12"/>
        <v>0</v>
      </c>
      <c r="W303">
        <f t="shared" si="13"/>
        <v>0</v>
      </c>
      <c r="X303" t="str">
        <f t="shared" si="14"/>
        <v>MATCH</v>
      </c>
    </row>
    <row r="304" spans="1:24" x14ac:dyDescent="0.3">
      <c r="A304">
        <v>27</v>
      </c>
      <c r="B304" t="s">
        <v>18</v>
      </c>
      <c r="C304">
        <v>494244.61</v>
      </c>
      <c r="D304" t="s">
        <v>618</v>
      </c>
      <c r="E304">
        <v>494244.61</v>
      </c>
      <c r="F304">
        <v>0</v>
      </c>
      <c r="G304" t="s">
        <v>619</v>
      </c>
      <c r="H304">
        <v>653451.43000000005</v>
      </c>
      <c r="I304">
        <v>1147696.03</v>
      </c>
      <c r="J304">
        <v>1</v>
      </c>
      <c r="K304">
        <v>0</v>
      </c>
      <c r="L304">
        <v>3</v>
      </c>
      <c r="M304">
        <v>0</v>
      </c>
      <c r="N304">
        <v>1</v>
      </c>
      <c r="O304">
        <v>494244.61</v>
      </c>
      <c r="P304">
        <v>5</v>
      </c>
      <c r="Q304">
        <v>4</v>
      </c>
      <c r="R304">
        <v>3.8000000000000003</v>
      </c>
      <c r="S304" t="s">
        <v>2310</v>
      </c>
      <c r="V304">
        <f t="shared" si="12"/>
        <v>0</v>
      </c>
      <c r="W304">
        <f t="shared" si="13"/>
        <v>0</v>
      </c>
      <c r="X304" t="str">
        <f t="shared" si="14"/>
        <v>MATCH</v>
      </c>
    </row>
    <row r="305" spans="1:24" x14ac:dyDescent="0.3">
      <c r="A305">
        <v>27</v>
      </c>
      <c r="B305" t="s">
        <v>15</v>
      </c>
      <c r="C305">
        <v>329937.88</v>
      </c>
      <c r="D305" t="s">
        <v>620</v>
      </c>
      <c r="E305">
        <v>329937.88</v>
      </c>
      <c r="F305">
        <v>0</v>
      </c>
      <c r="G305" t="s">
        <v>621</v>
      </c>
      <c r="H305">
        <v>0</v>
      </c>
      <c r="I305">
        <v>0</v>
      </c>
      <c r="J305">
        <v>1</v>
      </c>
      <c r="K305">
        <v>0</v>
      </c>
      <c r="L305">
        <v>3</v>
      </c>
      <c r="M305">
        <v>0</v>
      </c>
      <c r="N305">
        <v>1</v>
      </c>
      <c r="O305">
        <v>329937.88</v>
      </c>
      <c r="P305">
        <v>5</v>
      </c>
      <c r="Q305">
        <v>5</v>
      </c>
      <c r="R305">
        <v>4.0999999999999996</v>
      </c>
      <c r="S305" t="s">
        <v>2310</v>
      </c>
      <c r="V305">
        <f t="shared" si="12"/>
        <v>0</v>
      </c>
      <c r="W305">
        <f t="shared" si="13"/>
        <v>0</v>
      </c>
      <c r="X305" t="str">
        <f t="shared" si="14"/>
        <v>MATCH</v>
      </c>
    </row>
    <row r="306" spans="1:24" x14ac:dyDescent="0.3">
      <c r="A306">
        <v>27</v>
      </c>
      <c r="B306" t="s">
        <v>18</v>
      </c>
      <c r="C306">
        <v>329937.88</v>
      </c>
      <c r="D306" t="s">
        <v>622</v>
      </c>
      <c r="E306">
        <v>329937.88</v>
      </c>
      <c r="F306">
        <v>0</v>
      </c>
      <c r="G306" t="s">
        <v>623</v>
      </c>
      <c r="H306">
        <v>349407.23</v>
      </c>
      <c r="I306">
        <v>679345.1</v>
      </c>
      <c r="J306">
        <v>1</v>
      </c>
      <c r="K306">
        <v>0</v>
      </c>
      <c r="L306">
        <v>3</v>
      </c>
      <c r="M306">
        <v>0</v>
      </c>
      <c r="N306">
        <v>1</v>
      </c>
      <c r="O306">
        <v>329937.88</v>
      </c>
      <c r="P306">
        <v>5</v>
      </c>
      <c r="Q306">
        <v>4</v>
      </c>
      <c r="R306">
        <v>3.8000000000000003</v>
      </c>
      <c r="S306" t="s">
        <v>2310</v>
      </c>
      <c r="V306">
        <f t="shared" si="12"/>
        <v>0</v>
      </c>
      <c r="W306">
        <f t="shared" si="13"/>
        <v>0</v>
      </c>
      <c r="X306" t="str">
        <f t="shared" si="14"/>
        <v>MATCH</v>
      </c>
    </row>
    <row r="307" spans="1:24" x14ac:dyDescent="0.3">
      <c r="A307">
        <v>27</v>
      </c>
      <c r="B307" t="s">
        <v>15</v>
      </c>
      <c r="C307">
        <v>496128.26</v>
      </c>
      <c r="D307" t="s">
        <v>624</v>
      </c>
      <c r="E307">
        <v>496128.26</v>
      </c>
      <c r="F307">
        <v>0</v>
      </c>
      <c r="G307" t="s">
        <v>625</v>
      </c>
      <c r="H307">
        <v>0</v>
      </c>
      <c r="I307">
        <v>0</v>
      </c>
      <c r="J307">
        <v>1</v>
      </c>
      <c r="K307">
        <v>0</v>
      </c>
      <c r="L307">
        <v>3</v>
      </c>
      <c r="M307">
        <v>0</v>
      </c>
      <c r="N307">
        <v>1</v>
      </c>
      <c r="O307">
        <v>496128.26</v>
      </c>
      <c r="P307">
        <v>5</v>
      </c>
      <c r="Q307">
        <v>5</v>
      </c>
      <c r="R307">
        <v>4.0999999999999996</v>
      </c>
      <c r="S307" t="s">
        <v>2310</v>
      </c>
      <c r="V307">
        <f t="shared" si="12"/>
        <v>0</v>
      </c>
      <c r="W307">
        <f t="shared" si="13"/>
        <v>0</v>
      </c>
      <c r="X307" t="str">
        <f t="shared" si="14"/>
        <v>MATCH</v>
      </c>
    </row>
    <row r="308" spans="1:24" x14ac:dyDescent="0.3">
      <c r="A308">
        <v>27</v>
      </c>
      <c r="B308" t="s">
        <v>18</v>
      </c>
      <c r="C308">
        <v>496128.26</v>
      </c>
      <c r="D308" t="s">
        <v>626</v>
      </c>
      <c r="E308">
        <v>496128.26</v>
      </c>
      <c r="F308">
        <v>0</v>
      </c>
      <c r="G308" t="s">
        <v>627</v>
      </c>
      <c r="H308">
        <v>465770.07</v>
      </c>
      <c r="I308">
        <v>961898.33</v>
      </c>
      <c r="J308">
        <v>1</v>
      </c>
      <c r="K308">
        <v>0</v>
      </c>
      <c r="L308">
        <v>3</v>
      </c>
      <c r="M308">
        <v>0</v>
      </c>
      <c r="N308">
        <v>1</v>
      </c>
      <c r="O308">
        <v>496128.26</v>
      </c>
      <c r="P308">
        <v>5</v>
      </c>
      <c r="Q308">
        <v>4</v>
      </c>
      <c r="R308">
        <v>3.8000000000000003</v>
      </c>
      <c r="S308" t="s">
        <v>2310</v>
      </c>
      <c r="V308">
        <f t="shared" si="12"/>
        <v>0</v>
      </c>
      <c r="W308">
        <f t="shared" si="13"/>
        <v>0</v>
      </c>
      <c r="X308" t="str">
        <f t="shared" si="14"/>
        <v>MATCH</v>
      </c>
    </row>
    <row r="309" spans="1:24" x14ac:dyDescent="0.3">
      <c r="A309">
        <v>27</v>
      </c>
      <c r="B309" t="s">
        <v>15</v>
      </c>
      <c r="C309">
        <v>1218165.8799999999</v>
      </c>
      <c r="D309" t="s">
        <v>628</v>
      </c>
      <c r="E309">
        <v>1218165.8799999999</v>
      </c>
      <c r="F309">
        <v>0</v>
      </c>
      <c r="G309" t="s">
        <v>629</v>
      </c>
      <c r="H309">
        <v>0</v>
      </c>
      <c r="I309">
        <v>0</v>
      </c>
      <c r="J309">
        <v>1</v>
      </c>
      <c r="K309">
        <v>0</v>
      </c>
      <c r="L309">
        <v>3</v>
      </c>
      <c r="M309">
        <v>0</v>
      </c>
      <c r="N309">
        <v>1</v>
      </c>
      <c r="O309">
        <v>1218165.8799999999</v>
      </c>
      <c r="P309">
        <v>5</v>
      </c>
      <c r="Q309">
        <v>5</v>
      </c>
      <c r="R309">
        <v>4.0999999999999996</v>
      </c>
      <c r="S309" t="s">
        <v>2310</v>
      </c>
      <c r="V309">
        <f t="shared" si="12"/>
        <v>0</v>
      </c>
      <c r="W309">
        <f t="shared" si="13"/>
        <v>0</v>
      </c>
      <c r="X309" t="str">
        <f t="shared" si="14"/>
        <v>MATCH</v>
      </c>
    </row>
    <row r="310" spans="1:24" x14ac:dyDescent="0.3">
      <c r="A310">
        <v>27</v>
      </c>
      <c r="B310" t="s">
        <v>18</v>
      </c>
      <c r="C310">
        <v>1218165.8799999999</v>
      </c>
      <c r="D310" t="s">
        <v>630</v>
      </c>
      <c r="E310">
        <v>1218165.8799999999</v>
      </c>
      <c r="F310">
        <v>0</v>
      </c>
      <c r="G310" t="s">
        <v>631</v>
      </c>
      <c r="H310">
        <v>742564.27</v>
      </c>
      <c r="I310">
        <v>1960730.15</v>
      </c>
      <c r="J310">
        <v>1</v>
      </c>
      <c r="K310">
        <v>0</v>
      </c>
      <c r="L310">
        <v>3</v>
      </c>
      <c r="M310">
        <v>0</v>
      </c>
      <c r="N310">
        <v>1</v>
      </c>
      <c r="O310">
        <v>1218165.8799999999</v>
      </c>
      <c r="P310">
        <v>5</v>
      </c>
      <c r="Q310">
        <v>4</v>
      </c>
      <c r="R310">
        <v>3.8000000000000003</v>
      </c>
      <c r="S310" t="s">
        <v>2310</v>
      </c>
      <c r="V310">
        <f t="shared" si="12"/>
        <v>0</v>
      </c>
      <c r="W310">
        <f t="shared" si="13"/>
        <v>0</v>
      </c>
      <c r="X310" t="str">
        <f t="shared" si="14"/>
        <v>MATCH</v>
      </c>
    </row>
    <row r="311" spans="1:24" x14ac:dyDescent="0.3">
      <c r="A311">
        <v>28</v>
      </c>
      <c r="B311" t="s">
        <v>15</v>
      </c>
      <c r="C311">
        <v>3832058.34</v>
      </c>
      <c r="D311" t="s">
        <v>632</v>
      </c>
      <c r="E311">
        <v>3832058.34</v>
      </c>
      <c r="F311">
        <v>0</v>
      </c>
      <c r="G311" t="s">
        <v>633</v>
      </c>
      <c r="H311">
        <v>0</v>
      </c>
      <c r="I311">
        <v>0</v>
      </c>
      <c r="J311">
        <v>1</v>
      </c>
      <c r="K311">
        <v>0</v>
      </c>
      <c r="L311">
        <v>4</v>
      </c>
      <c r="M311">
        <v>0</v>
      </c>
      <c r="N311">
        <v>1</v>
      </c>
      <c r="O311">
        <v>3832058.34</v>
      </c>
      <c r="P311">
        <v>5</v>
      </c>
      <c r="Q311">
        <v>5</v>
      </c>
      <c r="R311">
        <v>4.0999999999999996</v>
      </c>
      <c r="S311" t="s">
        <v>2310</v>
      </c>
      <c r="V311">
        <f t="shared" si="12"/>
        <v>0</v>
      </c>
      <c r="W311">
        <f t="shared" si="13"/>
        <v>0</v>
      </c>
      <c r="X311" t="str">
        <f t="shared" si="14"/>
        <v>MATCH</v>
      </c>
    </row>
    <row r="312" spans="1:24" x14ac:dyDescent="0.3">
      <c r="A312">
        <v>28</v>
      </c>
      <c r="B312" t="s">
        <v>18</v>
      </c>
      <c r="C312">
        <v>3832058.34</v>
      </c>
      <c r="D312" t="s">
        <v>634</v>
      </c>
      <c r="E312">
        <v>3832058.34</v>
      </c>
      <c r="F312">
        <v>0</v>
      </c>
      <c r="G312" t="s">
        <v>635</v>
      </c>
      <c r="H312">
        <v>531662.14</v>
      </c>
      <c r="I312">
        <v>4363720.4800000004</v>
      </c>
      <c r="J312">
        <v>1</v>
      </c>
      <c r="K312">
        <v>0</v>
      </c>
      <c r="L312">
        <v>4</v>
      </c>
      <c r="M312">
        <v>0</v>
      </c>
      <c r="N312">
        <v>1</v>
      </c>
      <c r="O312">
        <v>3832058.34</v>
      </c>
      <c r="P312">
        <v>5</v>
      </c>
      <c r="Q312">
        <v>4</v>
      </c>
      <c r="R312">
        <v>3.8000000000000003</v>
      </c>
      <c r="S312" t="s">
        <v>2310</v>
      </c>
      <c r="V312">
        <f t="shared" si="12"/>
        <v>0</v>
      </c>
      <c r="W312">
        <f t="shared" si="13"/>
        <v>0</v>
      </c>
      <c r="X312" t="str">
        <f t="shared" si="14"/>
        <v>MATCH</v>
      </c>
    </row>
    <row r="313" spans="1:24" x14ac:dyDescent="0.3">
      <c r="A313">
        <v>28</v>
      </c>
      <c r="B313" t="s">
        <v>15</v>
      </c>
      <c r="C313">
        <v>491517.77</v>
      </c>
      <c r="D313" t="s">
        <v>636</v>
      </c>
      <c r="E313">
        <v>491517.77</v>
      </c>
      <c r="F313">
        <v>0</v>
      </c>
      <c r="G313" t="s">
        <v>637</v>
      </c>
      <c r="H313">
        <v>0</v>
      </c>
      <c r="I313">
        <v>0</v>
      </c>
      <c r="J313">
        <v>1</v>
      </c>
      <c r="K313">
        <v>0</v>
      </c>
      <c r="L313">
        <v>4</v>
      </c>
      <c r="M313">
        <v>0</v>
      </c>
      <c r="N313">
        <v>1</v>
      </c>
      <c r="O313">
        <v>491517.77</v>
      </c>
      <c r="P313">
        <v>5</v>
      </c>
      <c r="Q313">
        <v>5</v>
      </c>
      <c r="R313">
        <v>4.0999999999999996</v>
      </c>
      <c r="S313" t="s">
        <v>2310</v>
      </c>
      <c r="V313">
        <f t="shared" si="12"/>
        <v>0</v>
      </c>
      <c r="W313">
        <f t="shared" si="13"/>
        <v>0</v>
      </c>
      <c r="X313" t="str">
        <f t="shared" si="14"/>
        <v>MATCH</v>
      </c>
    </row>
    <row r="314" spans="1:24" x14ac:dyDescent="0.3">
      <c r="A314">
        <v>28</v>
      </c>
      <c r="B314" t="s">
        <v>18</v>
      </c>
      <c r="C314">
        <v>491517.77</v>
      </c>
      <c r="D314" t="s">
        <v>638</v>
      </c>
      <c r="E314">
        <v>491517.77</v>
      </c>
      <c r="F314">
        <v>0</v>
      </c>
      <c r="G314" t="s">
        <v>639</v>
      </c>
      <c r="H314">
        <v>518777.34</v>
      </c>
      <c r="I314">
        <v>1010295.11</v>
      </c>
      <c r="J314">
        <v>1</v>
      </c>
      <c r="K314">
        <v>0</v>
      </c>
      <c r="L314">
        <v>4</v>
      </c>
      <c r="M314">
        <v>0</v>
      </c>
      <c r="N314">
        <v>1</v>
      </c>
      <c r="O314">
        <v>491517.77</v>
      </c>
      <c r="P314">
        <v>5</v>
      </c>
      <c r="Q314">
        <v>4</v>
      </c>
      <c r="R314">
        <v>3.8000000000000003</v>
      </c>
      <c r="S314" t="s">
        <v>2310</v>
      </c>
      <c r="V314">
        <f t="shared" si="12"/>
        <v>0</v>
      </c>
      <c r="W314">
        <f t="shared" si="13"/>
        <v>0</v>
      </c>
      <c r="X314" t="str">
        <f t="shared" si="14"/>
        <v>MATCH</v>
      </c>
    </row>
    <row r="315" spans="1:24" x14ac:dyDescent="0.3">
      <c r="A315">
        <v>29</v>
      </c>
      <c r="B315" t="s">
        <v>15</v>
      </c>
      <c r="C315">
        <v>340198.41</v>
      </c>
      <c r="D315" t="s">
        <v>640</v>
      </c>
      <c r="E315">
        <v>340198.41</v>
      </c>
      <c r="F315">
        <v>0</v>
      </c>
      <c r="G315" t="s">
        <v>641</v>
      </c>
      <c r="H315">
        <v>0</v>
      </c>
      <c r="I315">
        <v>0</v>
      </c>
      <c r="J315">
        <v>1</v>
      </c>
      <c r="K315">
        <v>0</v>
      </c>
      <c r="L315">
        <v>5</v>
      </c>
      <c r="M315">
        <v>0</v>
      </c>
      <c r="N315">
        <v>1</v>
      </c>
      <c r="O315">
        <v>340198.41</v>
      </c>
      <c r="P315">
        <v>5</v>
      </c>
      <c r="Q315">
        <v>5</v>
      </c>
      <c r="R315">
        <v>4.0999999999999996</v>
      </c>
      <c r="S315" t="s">
        <v>2310</v>
      </c>
      <c r="V315">
        <f t="shared" si="12"/>
        <v>0</v>
      </c>
      <c r="W315">
        <f t="shared" si="13"/>
        <v>0</v>
      </c>
      <c r="X315" t="str">
        <f t="shared" si="14"/>
        <v>MATCH</v>
      </c>
    </row>
    <row r="316" spans="1:24" x14ac:dyDescent="0.3">
      <c r="A316">
        <v>29</v>
      </c>
      <c r="B316" t="s">
        <v>18</v>
      </c>
      <c r="C316">
        <v>340198.41</v>
      </c>
      <c r="D316" t="s">
        <v>642</v>
      </c>
      <c r="E316">
        <v>340198.41</v>
      </c>
      <c r="F316">
        <v>0</v>
      </c>
      <c r="G316" t="s">
        <v>643</v>
      </c>
      <c r="H316">
        <v>1614043.79</v>
      </c>
      <c r="I316">
        <v>1954242.21</v>
      </c>
      <c r="J316">
        <v>1</v>
      </c>
      <c r="K316">
        <v>0</v>
      </c>
      <c r="L316">
        <v>5</v>
      </c>
      <c r="M316">
        <v>0</v>
      </c>
      <c r="N316">
        <v>1</v>
      </c>
      <c r="O316">
        <v>340198.41</v>
      </c>
      <c r="P316">
        <v>5</v>
      </c>
      <c r="Q316">
        <v>4</v>
      </c>
      <c r="R316">
        <v>3.8000000000000003</v>
      </c>
      <c r="S316" t="s">
        <v>2310</v>
      </c>
      <c r="V316">
        <f t="shared" si="12"/>
        <v>0</v>
      </c>
      <c r="W316">
        <f t="shared" si="13"/>
        <v>0</v>
      </c>
      <c r="X316" t="str">
        <f t="shared" si="14"/>
        <v>MATCH</v>
      </c>
    </row>
    <row r="317" spans="1:24" x14ac:dyDescent="0.3">
      <c r="A317">
        <v>29</v>
      </c>
      <c r="B317" t="s">
        <v>15</v>
      </c>
      <c r="C317">
        <v>268641.82</v>
      </c>
      <c r="D317" t="s">
        <v>644</v>
      </c>
      <c r="E317">
        <v>268641.82</v>
      </c>
      <c r="F317">
        <v>0</v>
      </c>
      <c r="G317" t="s">
        <v>645</v>
      </c>
      <c r="H317">
        <v>0</v>
      </c>
      <c r="I317">
        <v>0</v>
      </c>
      <c r="J317">
        <v>1</v>
      </c>
      <c r="K317">
        <v>0</v>
      </c>
      <c r="L317">
        <v>5</v>
      </c>
      <c r="M317">
        <v>0</v>
      </c>
      <c r="N317">
        <v>1</v>
      </c>
      <c r="O317">
        <v>268641.82</v>
      </c>
      <c r="P317">
        <v>5</v>
      </c>
      <c r="Q317">
        <v>5</v>
      </c>
      <c r="R317">
        <v>4.0999999999999996</v>
      </c>
      <c r="S317" t="s">
        <v>2310</v>
      </c>
      <c r="V317">
        <f t="shared" si="12"/>
        <v>0</v>
      </c>
      <c r="W317">
        <f t="shared" si="13"/>
        <v>0</v>
      </c>
      <c r="X317" t="str">
        <f t="shared" si="14"/>
        <v>MATCH</v>
      </c>
    </row>
    <row r="318" spans="1:24" x14ac:dyDescent="0.3">
      <c r="A318">
        <v>29</v>
      </c>
      <c r="B318" t="s">
        <v>18</v>
      </c>
      <c r="C318">
        <v>268641.82</v>
      </c>
      <c r="D318" t="s">
        <v>646</v>
      </c>
      <c r="E318">
        <v>268641.82</v>
      </c>
      <c r="F318">
        <v>0</v>
      </c>
      <c r="G318" t="s">
        <v>647</v>
      </c>
      <c r="H318">
        <v>197163.95</v>
      </c>
      <c r="I318">
        <v>465805.77</v>
      </c>
      <c r="J318">
        <v>1</v>
      </c>
      <c r="K318">
        <v>0</v>
      </c>
      <c r="L318">
        <v>5</v>
      </c>
      <c r="M318">
        <v>0</v>
      </c>
      <c r="N318">
        <v>1</v>
      </c>
      <c r="O318">
        <v>268641.82</v>
      </c>
      <c r="P318">
        <v>5</v>
      </c>
      <c r="Q318">
        <v>4</v>
      </c>
      <c r="R318">
        <v>3.8000000000000003</v>
      </c>
      <c r="S318" t="s">
        <v>2310</v>
      </c>
      <c r="V318">
        <f t="shared" si="12"/>
        <v>0</v>
      </c>
      <c r="W318">
        <f t="shared" si="13"/>
        <v>0</v>
      </c>
      <c r="X318" t="str">
        <f t="shared" si="14"/>
        <v>MATCH</v>
      </c>
    </row>
    <row r="319" spans="1:24" x14ac:dyDescent="0.3">
      <c r="A319">
        <v>30</v>
      </c>
      <c r="B319" t="s">
        <v>15</v>
      </c>
      <c r="C319">
        <v>122235.11</v>
      </c>
      <c r="D319" t="s">
        <v>648</v>
      </c>
      <c r="E319">
        <v>122235.11</v>
      </c>
      <c r="F319">
        <v>0</v>
      </c>
      <c r="G319" t="s">
        <v>649</v>
      </c>
      <c r="H319">
        <v>0</v>
      </c>
      <c r="I319">
        <v>0</v>
      </c>
      <c r="J319">
        <v>1</v>
      </c>
      <c r="K319">
        <v>0</v>
      </c>
      <c r="L319">
        <v>6</v>
      </c>
      <c r="M319">
        <v>0</v>
      </c>
      <c r="N319">
        <v>1</v>
      </c>
      <c r="O319">
        <v>122235.11</v>
      </c>
      <c r="P319">
        <v>4</v>
      </c>
      <c r="Q319">
        <v>5</v>
      </c>
      <c r="R319">
        <v>3.6</v>
      </c>
      <c r="S319" t="s">
        <v>2310</v>
      </c>
      <c r="V319">
        <f t="shared" si="12"/>
        <v>0</v>
      </c>
      <c r="W319">
        <f t="shared" si="13"/>
        <v>0</v>
      </c>
      <c r="X319" t="str">
        <f t="shared" si="14"/>
        <v>MATCH</v>
      </c>
    </row>
    <row r="320" spans="1:24" x14ac:dyDescent="0.3">
      <c r="A320">
        <v>30</v>
      </c>
      <c r="B320" t="s">
        <v>18</v>
      </c>
      <c r="C320">
        <v>122235.11</v>
      </c>
      <c r="D320" t="s">
        <v>650</v>
      </c>
      <c r="E320">
        <v>122235.11</v>
      </c>
      <c r="F320">
        <v>0</v>
      </c>
      <c r="G320" t="s">
        <v>651</v>
      </c>
      <c r="H320">
        <v>0</v>
      </c>
      <c r="I320">
        <v>122235.11</v>
      </c>
      <c r="J320">
        <v>1</v>
      </c>
      <c r="K320">
        <v>0</v>
      </c>
      <c r="L320">
        <v>6</v>
      </c>
      <c r="M320">
        <v>0</v>
      </c>
      <c r="N320">
        <v>1</v>
      </c>
      <c r="O320">
        <v>122235.11</v>
      </c>
      <c r="P320">
        <v>4</v>
      </c>
      <c r="Q320">
        <v>4</v>
      </c>
      <c r="R320">
        <v>3.3000000000000003</v>
      </c>
      <c r="S320" t="s">
        <v>2310</v>
      </c>
      <c r="V320">
        <f t="shared" si="12"/>
        <v>0</v>
      </c>
      <c r="W320">
        <f t="shared" si="13"/>
        <v>0</v>
      </c>
      <c r="X320" t="str">
        <f t="shared" si="14"/>
        <v>MATCH</v>
      </c>
    </row>
    <row r="321" spans="1:24" x14ac:dyDescent="0.3">
      <c r="A321">
        <v>30</v>
      </c>
      <c r="B321" t="s">
        <v>15</v>
      </c>
      <c r="C321">
        <v>236947.25</v>
      </c>
      <c r="D321" t="s">
        <v>652</v>
      </c>
      <c r="E321">
        <v>236947.25</v>
      </c>
      <c r="F321">
        <v>0</v>
      </c>
      <c r="G321" t="s">
        <v>653</v>
      </c>
      <c r="H321">
        <v>0</v>
      </c>
      <c r="I321">
        <v>0</v>
      </c>
      <c r="J321">
        <v>1</v>
      </c>
      <c r="K321">
        <v>0</v>
      </c>
      <c r="L321">
        <v>6</v>
      </c>
      <c r="M321">
        <v>0</v>
      </c>
      <c r="N321">
        <v>1</v>
      </c>
      <c r="O321">
        <v>236947.25</v>
      </c>
      <c r="P321">
        <v>5</v>
      </c>
      <c r="Q321">
        <v>5</v>
      </c>
      <c r="R321">
        <v>4.0999999999999996</v>
      </c>
      <c r="S321" t="s">
        <v>2310</v>
      </c>
      <c r="V321">
        <f t="shared" si="12"/>
        <v>0</v>
      </c>
      <c r="W321">
        <f t="shared" si="13"/>
        <v>0</v>
      </c>
      <c r="X321" t="str">
        <f t="shared" si="14"/>
        <v>MATCH</v>
      </c>
    </row>
    <row r="322" spans="1:24" x14ac:dyDescent="0.3">
      <c r="A322">
        <v>30</v>
      </c>
      <c r="B322" t="s">
        <v>18</v>
      </c>
      <c r="C322">
        <v>236947.25</v>
      </c>
      <c r="D322" t="s">
        <v>654</v>
      </c>
      <c r="E322">
        <v>236947.25</v>
      </c>
      <c r="F322">
        <v>0</v>
      </c>
      <c r="G322" t="s">
        <v>655</v>
      </c>
      <c r="H322">
        <v>70084.28</v>
      </c>
      <c r="I322">
        <v>307031.53000000003</v>
      </c>
      <c r="J322">
        <v>1</v>
      </c>
      <c r="K322">
        <v>0</v>
      </c>
      <c r="L322">
        <v>6</v>
      </c>
      <c r="M322">
        <v>0</v>
      </c>
      <c r="N322">
        <v>1</v>
      </c>
      <c r="O322">
        <v>236947.25</v>
      </c>
      <c r="P322">
        <v>5</v>
      </c>
      <c r="Q322">
        <v>4</v>
      </c>
      <c r="R322">
        <v>3.8000000000000003</v>
      </c>
      <c r="S322" t="s">
        <v>2310</v>
      </c>
      <c r="V322">
        <f t="shared" si="12"/>
        <v>0</v>
      </c>
      <c r="W322">
        <f t="shared" si="13"/>
        <v>0</v>
      </c>
      <c r="X322" t="str">
        <f t="shared" si="14"/>
        <v>MATCH</v>
      </c>
    </row>
    <row r="323" spans="1:24" x14ac:dyDescent="0.3">
      <c r="A323">
        <v>30</v>
      </c>
      <c r="B323" t="s">
        <v>15</v>
      </c>
      <c r="C323">
        <v>19016.22</v>
      </c>
      <c r="D323" t="s">
        <v>656</v>
      </c>
      <c r="E323">
        <v>19016.22</v>
      </c>
      <c r="F323">
        <v>0</v>
      </c>
      <c r="G323" t="s">
        <v>657</v>
      </c>
      <c r="H323">
        <v>0</v>
      </c>
      <c r="I323">
        <v>0</v>
      </c>
      <c r="J323">
        <v>1</v>
      </c>
      <c r="K323">
        <v>0</v>
      </c>
      <c r="L323">
        <v>6</v>
      </c>
      <c r="M323">
        <v>0</v>
      </c>
      <c r="N323">
        <v>1</v>
      </c>
      <c r="O323">
        <v>19016.22</v>
      </c>
      <c r="P323">
        <v>2</v>
      </c>
      <c r="Q323">
        <v>5</v>
      </c>
      <c r="R323">
        <v>2.6</v>
      </c>
      <c r="S323" t="s">
        <v>2312</v>
      </c>
      <c r="V323">
        <f t="shared" ref="V323:V386" si="15">E323-C323</f>
        <v>0</v>
      </c>
      <c r="W323">
        <f t="shared" ref="W323:W386" si="16">ABS(F323-V323)</f>
        <v>0</v>
      </c>
      <c r="X323" t="str">
        <f t="shared" ref="X323:X386" si="17">IF(W323&lt;1,"MATCH","BREAK")</f>
        <v>MATCH</v>
      </c>
    </row>
    <row r="324" spans="1:24" x14ac:dyDescent="0.3">
      <c r="A324">
        <v>30</v>
      </c>
      <c r="B324" t="s">
        <v>18</v>
      </c>
      <c r="C324">
        <v>19016.22</v>
      </c>
      <c r="D324" t="s">
        <v>658</v>
      </c>
      <c r="E324">
        <v>19016.22</v>
      </c>
      <c r="F324">
        <v>0</v>
      </c>
      <c r="G324" t="s">
        <v>659</v>
      </c>
      <c r="H324">
        <v>9347999.5199999996</v>
      </c>
      <c r="I324">
        <v>9367015.7400000002</v>
      </c>
      <c r="J324">
        <v>1</v>
      </c>
      <c r="K324">
        <v>0</v>
      </c>
      <c r="L324">
        <v>6</v>
      </c>
      <c r="M324">
        <v>0</v>
      </c>
      <c r="N324">
        <v>1</v>
      </c>
      <c r="O324">
        <v>19016.22</v>
      </c>
      <c r="P324">
        <v>2</v>
      </c>
      <c r="Q324">
        <v>4</v>
      </c>
      <c r="R324">
        <v>2.3000000000000003</v>
      </c>
      <c r="S324" t="s">
        <v>2312</v>
      </c>
      <c r="V324">
        <f t="shared" si="15"/>
        <v>0</v>
      </c>
      <c r="W324">
        <f t="shared" si="16"/>
        <v>0</v>
      </c>
      <c r="X324" t="str">
        <f t="shared" si="17"/>
        <v>MATCH</v>
      </c>
    </row>
    <row r="325" spans="1:24" x14ac:dyDescent="0.3">
      <c r="A325">
        <v>30</v>
      </c>
      <c r="B325" t="s">
        <v>15</v>
      </c>
      <c r="C325">
        <v>109401.88</v>
      </c>
      <c r="D325" t="s">
        <v>660</v>
      </c>
      <c r="E325">
        <v>109401.88</v>
      </c>
      <c r="F325">
        <v>0</v>
      </c>
      <c r="G325" t="s">
        <v>661</v>
      </c>
      <c r="H325">
        <v>0</v>
      </c>
      <c r="I325">
        <v>0</v>
      </c>
      <c r="J325">
        <v>1</v>
      </c>
      <c r="K325">
        <v>0</v>
      </c>
      <c r="L325">
        <v>6</v>
      </c>
      <c r="M325">
        <v>0</v>
      </c>
      <c r="N325">
        <v>1</v>
      </c>
      <c r="O325">
        <v>109401.88</v>
      </c>
      <c r="P325">
        <v>4</v>
      </c>
      <c r="Q325">
        <v>5</v>
      </c>
      <c r="R325">
        <v>3.6</v>
      </c>
      <c r="S325" t="s">
        <v>2310</v>
      </c>
      <c r="V325">
        <f t="shared" si="15"/>
        <v>0</v>
      </c>
      <c r="W325">
        <f t="shared" si="16"/>
        <v>0</v>
      </c>
      <c r="X325" t="str">
        <f t="shared" si="17"/>
        <v>MATCH</v>
      </c>
    </row>
    <row r="326" spans="1:24" x14ac:dyDescent="0.3">
      <c r="A326">
        <v>30</v>
      </c>
      <c r="B326" t="s">
        <v>18</v>
      </c>
      <c r="C326">
        <v>109401.88</v>
      </c>
      <c r="D326" t="s">
        <v>662</v>
      </c>
      <c r="E326">
        <v>109401.88</v>
      </c>
      <c r="F326">
        <v>0</v>
      </c>
      <c r="G326" t="s">
        <v>663</v>
      </c>
      <c r="H326">
        <v>245588.62</v>
      </c>
      <c r="I326">
        <v>354990.5</v>
      </c>
      <c r="J326">
        <v>1</v>
      </c>
      <c r="K326">
        <v>0</v>
      </c>
      <c r="L326">
        <v>6</v>
      </c>
      <c r="M326">
        <v>0</v>
      </c>
      <c r="N326">
        <v>1</v>
      </c>
      <c r="O326">
        <v>109401.88</v>
      </c>
      <c r="P326">
        <v>4</v>
      </c>
      <c r="Q326">
        <v>4</v>
      </c>
      <c r="R326">
        <v>3.3000000000000003</v>
      </c>
      <c r="S326" t="s">
        <v>2310</v>
      </c>
      <c r="V326">
        <f t="shared" si="15"/>
        <v>0</v>
      </c>
      <c r="W326">
        <f t="shared" si="16"/>
        <v>0</v>
      </c>
      <c r="X326" t="str">
        <f t="shared" si="17"/>
        <v>MATCH</v>
      </c>
    </row>
    <row r="327" spans="1:24" x14ac:dyDescent="0.3">
      <c r="A327">
        <v>31</v>
      </c>
      <c r="B327" t="s">
        <v>15</v>
      </c>
      <c r="C327">
        <v>335219.49</v>
      </c>
      <c r="D327" t="s">
        <v>664</v>
      </c>
      <c r="E327">
        <v>335219.49</v>
      </c>
      <c r="F327">
        <v>0</v>
      </c>
      <c r="G327" t="s">
        <v>665</v>
      </c>
      <c r="H327">
        <v>0</v>
      </c>
      <c r="I327">
        <v>0</v>
      </c>
      <c r="J327">
        <v>1</v>
      </c>
      <c r="K327">
        <v>0</v>
      </c>
      <c r="L327">
        <v>7</v>
      </c>
      <c r="M327">
        <v>0</v>
      </c>
      <c r="N327">
        <v>1</v>
      </c>
      <c r="O327">
        <v>335219.49</v>
      </c>
      <c r="P327">
        <v>5</v>
      </c>
      <c r="Q327">
        <v>5</v>
      </c>
      <c r="R327">
        <v>4.0999999999999996</v>
      </c>
      <c r="S327" t="s">
        <v>2310</v>
      </c>
      <c r="V327">
        <f t="shared" si="15"/>
        <v>0</v>
      </c>
      <c r="W327">
        <f t="shared" si="16"/>
        <v>0</v>
      </c>
      <c r="X327" t="str">
        <f t="shared" si="17"/>
        <v>MATCH</v>
      </c>
    </row>
    <row r="328" spans="1:24" x14ac:dyDescent="0.3">
      <c r="A328">
        <v>31</v>
      </c>
      <c r="B328" t="s">
        <v>18</v>
      </c>
      <c r="C328">
        <v>335219.49</v>
      </c>
      <c r="D328" t="s">
        <v>666</v>
      </c>
      <c r="E328">
        <v>335219.49</v>
      </c>
      <c r="F328">
        <v>0</v>
      </c>
      <c r="G328" t="s">
        <v>667</v>
      </c>
      <c r="H328">
        <v>111675.56</v>
      </c>
      <c r="I328">
        <v>446895.05</v>
      </c>
      <c r="J328">
        <v>1</v>
      </c>
      <c r="K328">
        <v>0</v>
      </c>
      <c r="L328">
        <v>7</v>
      </c>
      <c r="M328">
        <v>0</v>
      </c>
      <c r="N328">
        <v>1</v>
      </c>
      <c r="O328">
        <v>335219.49</v>
      </c>
      <c r="P328">
        <v>5</v>
      </c>
      <c r="Q328">
        <v>4</v>
      </c>
      <c r="R328">
        <v>3.8000000000000003</v>
      </c>
      <c r="S328" t="s">
        <v>2310</v>
      </c>
      <c r="V328">
        <f t="shared" si="15"/>
        <v>0</v>
      </c>
      <c r="W328">
        <f t="shared" si="16"/>
        <v>0</v>
      </c>
      <c r="X328" t="str">
        <f t="shared" si="17"/>
        <v>MATCH</v>
      </c>
    </row>
    <row r="329" spans="1:24" x14ac:dyDescent="0.3">
      <c r="A329">
        <v>31</v>
      </c>
      <c r="B329" t="s">
        <v>15</v>
      </c>
      <c r="C329">
        <v>120406.39</v>
      </c>
      <c r="D329" t="s">
        <v>668</v>
      </c>
      <c r="E329">
        <v>120406.39</v>
      </c>
      <c r="F329">
        <v>0</v>
      </c>
      <c r="G329" t="s">
        <v>669</v>
      </c>
      <c r="H329">
        <v>0</v>
      </c>
      <c r="I329">
        <v>0</v>
      </c>
      <c r="J329">
        <v>1</v>
      </c>
      <c r="K329">
        <v>0</v>
      </c>
      <c r="L329">
        <v>7</v>
      </c>
      <c r="M329">
        <v>0</v>
      </c>
      <c r="N329">
        <v>1</v>
      </c>
      <c r="O329">
        <v>120406.39</v>
      </c>
      <c r="P329">
        <v>4</v>
      </c>
      <c r="Q329">
        <v>5</v>
      </c>
      <c r="R329">
        <v>3.6</v>
      </c>
      <c r="S329" t="s">
        <v>2310</v>
      </c>
      <c r="V329">
        <f t="shared" si="15"/>
        <v>0</v>
      </c>
      <c r="W329">
        <f t="shared" si="16"/>
        <v>0</v>
      </c>
      <c r="X329" t="str">
        <f t="shared" si="17"/>
        <v>MATCH</v>
      </c>
    </row>
    <row r="330" spans="1:24" x14ac:dyDescent="0.3">
      <c r="A330">
        <v>31</v>
      </c>
      <c r="B330" t="s">
        <v>18</v>
      </c>
      <c r="C330">
        <v>120406.39</v>
      </c>
      <c r="D330" t="s">
        <v>670</v>
      </c>
      <c r="E330">
        <v>120406.39</v>
      </c>
      <c r="F330">
        <v>0</v>
      </c>
      <c r="G330" t="s">
        <v>671</v>
      </c>
      <c r="H330">
        <v>0</v>
      </c>
      <c r="I330">
        <v>120406.39</v>
      </c>
      <c r="J330">
        <v>1</v>
      </c>
      <c r="K330">
        <v>0</v>
      </c>
      <c r="L330">
        <v>7</v>
      </c>
      <c r="M330">
        <v>0</v>
      </c>
      <c r="N330">
        <v>1</v>
      </c>
      <c r="O330">
        <v>120406.39</v>
      </c>
      <c r="P330">
        <v>4</v>
      </c>
      <c r="Q330">
        <v>4</v>
      </c>
      <c r="R330">
        <v>3.3000000000000003</v>
      </c>
      <c r="S330" t="s">
        <v>2310</v>
      </c>
      <c r="V330">
        <f t="shared" si="15"/>
        <v>0</v>
      </c>
      <c r="W330">
        <f t="shared" si="16"/>
        <v>0</v>
      </c>
      <c r="X330" t="str">
        <f t="shared" si="17"/>
        <v>MATCH</v>
      </c>
    </row>
    <row r="331" spans="1:24" x14ac:dyDescent="0.3">
      <c r="A331">
        <v>31</v>
      </c>
      <c r="B331" t="s">
        <v>15</v>
      </c>
      <c r="C331">
        <v>21516.38</v>
      </c>
      <c r="D331" t="s">
        <v>672</v>
      </c>
      <c r="E331">
        <v>21516.38</v>
      </c>
      <c r="F331">
        <v>0</v>
      </c>
      <c r="G331" t="s">
        <v>673</v>
      </c>
      <c r="H331">
        <v>0</v>
      </c>
      <c r="I331">
        <v>0</v>
      </c>
      <c r="J331">
        <v>1</v>
      </c>
      <c r="K331">
        <v>0</v>
      </c>
      <c r="L331">
        <v>7</v>
      </c>
      <c r="M331">
        <v>0</v>
      </c>
      <c r="N331">
        <v>1</v>
      </c>
      <c r="O331">
        <v>21516.38</v>
      </c>
      <c r="P331">
        <v>2</v>
      </c>
      <c r="Q331">
        <v>5</v>
      </c>
      <c r="R331">
        <v>2.6</v>
      </c>
      <c r="S331" t="s">
        <v>2312</v>
      </c>
      <c r="V331">
        <f t="shared" si="15"/>
        <v>0</v>
      </c>
      <c r="W331">
        <f t="shared" si="16"/>
        <v>0</v>
      </c>
      <c r="X331" t="str">
        <f t="shared" si="17"/>
        <v>MATCH</v>
      </c>
    </row>
    <row r="332" spans="1:24" x14ac:dyDescent="0.3">
      <c r="A332">
        <v>31</v>
      </c>
      <c r="B332" t="s">
        <v>18</v>
      </c>
      <c r="C332">
        <v>21516.38</v>
      </c>
      <c r="D332" t="s">
        <v>674</v>
      </c>
      <c r="E332">
        <v>21516.38</v>
      </c>
      <c r="F332">
        <v>0</v>
      </c>
      <c r="G332" t="s">
        <v>675</v>
      </c>
      <c r="H332">
        <v>900122.84</v>
      </c>
      <c r="I332">
        <v>921639.22</v>
      </c>
      <c r="J332">
        <v>1</v>
      </c>
      <c r="K332">
        <v>0</v>
      </c>
      <c r="L332">
        <v>7</v>
      </c>
      <c r="M332">
        <v>0</v>
      </c>
      <c r="N332">
        <v>1</v>
      </c>
      <c r="O332">
        <v>21516.38</v>
      </c>
      <c r="P332">
        <v>2</v>
      </c>
      <c r="Q332">
        <v>4</v>
      </c>
      <c r="R332">
        <v>2.3000000000000003</v>
      </c>
      <c r="S332" t="s">
        <v>2312</v>
      </c>
      <c r="V332">
        <f t="shared" si="15"/>
        <v>0</v>
      </c>
      <c r="W332">
        <f t="shared" si="16"/>
        <v>0</v>
      </c>
      <c r="X332" t="str">
        <f t="shared" si="17"/>
        <v>MATCH</v>
      </c>
    </row>
    <row r="333" spans="1:24" x14ac:dyDescent="0.3">
      <c r="A333">
        <v>31</v>
      </c>
      <c r="B333" t="s">
        <v>15</v>
      </c>
      <c r="C333">
        <v>378204.02</v>
      </c>
      <c r="D333" t="s">
        <v>676</v>
      </c>
      <c r="E333">
        <v>378204.02</v>
      </c>
      <c r="F333">
        <v>0</v>
      </c>
      <c r="G333" t="s">
        <v>677</v>
      </c>
      <c r="H333">
        <v>0</v>
      </c>
      <c r="I333">
        <v>0</v>
      </c>
      <c r="J333">
        <v>1</v>
      </c>
      <c r="K333">
        <v>0</v>
      </c>
      <c r="L333">
        <v>7</v>
      </c>
      <c r="M333">
        <v>0</v>
      </c>
      <c r="N333">
        <v>1</v>
      </c>
      <c r="O333">
        <v>378204.02</v>
      </c>
      <c r="P333">
        <v>5</v>
      </c>
      <c r="Q333">
        <v>5</v>
      </c>
      <c r="R333">
        <v>4.0999999999999996</v>
      </c>
      <c r="S333" t="s">
        <v>2310</v>
      </c>
      <c r="V333">
        <f t="shared" si="15"/>
        <v>0</v>
      </c>
      <c r="W333">
        <f t="shared" si="16"/>
        <v>0</v>
      </c>
      <c r="X333" t="str">
        <f t="shared" si="17"/>
        <v>MATCH</v>
      </c>
    </row>
    <row r="334" spans="1:24" x14ac:dyDescent="0.3">
      <c r="A334">
        <v>31</v>
      </c>
      <c r="B334" t="s">
        <v>18</v>
      </c>
      <c r="C334">
        <v>378204.02</v>
      </c>
      <c r="D334" t="s">
        <v>678</v>
      </c>
      <c r="E334">
        <v>378204.02</v>
      </c>
      <c r="F334">
        <v>0</v>
      </c>
      <c r="G334" t="s">
        <v>679</v>
      </c>
      <c r="H334">
        <v>0</v>
      </c>
      <c r="I334">
        <v>378204.02</v>
      </c>
      <c r="J334">
        <v>1</v>
      </c>
      <c r="K334">
        <v>0</v>
      </c>
      <c r="L334">
        <v>7</v>
      </c>
      <c r="M334">
        <v>0</v>
      </c>
      <c r="N334">
        <v>1</v>
      </c>
      <c r="O334">
        <v>378204.02</v>
      </c>
      <c r="P334">
        <v>5</v>
      </c>
      <c r="Q334">
        <v>4</v>
      </c>
      <c r="R334">
        <v>3.8000000000000003</v>
      </c>
      <c r="S334" t="s">
        <v>2310</v>
      </c>
      <c r="V334">
        <f t="shared" si="15"/>
        <v>0</v>
      </c>
      <c r="W334">
        <f t="shared" si="16"/>
        <v>0</v>
      </c>
      <c r="X334" t="str">
        <f t="shared" si="17"/>
        <v>MATCH</v>
      </c>
    </row>
    <row r="335" spans="1:24" x14ac:dyDescent="0.3">
      <c r="A335">
        <v>31</v>
      </c>
      <c r="B335" t="s">
        <v>15</v>
      </c>
      <c r="C335">
        <v>5021186.54</v>
      </c>
      <c r="D335" t="s">
        <v>680</v>
      </c>
      <c r="E335">
        <v>5021186.54</v>
      </c>
      <c r="F335">
        <v>0</v>
      </c>
      <c r="G335" t="s">
        <v>681</v>
      </c>
      <c r="H335">
        <v>0</v>
      </c>
      <c r="I335">
        <v>0</v>
      </c>
      <c r="J335">
        <v>1</v>
      </c>
      <c r="K335">
        <v>0</v>
      </c>
      <c r="L335">
        <v>7</v>
      </c>
      <c r="M335">
        <v>0</v>
      </c>
      <c r="N335">
        <v>1</v>
      </c>
      <c r="O335">
        <v>5021186.54</v>
      </c>
      <c r="P335">
        <v>5</v>
      </c>
      <c r="Q335">
        <v>5</v>
      </c>
      <c r="R335">
        <v>4.0999999999999996</v>
      </c>
      <c r="S335" t="s">
        <v>2310</v>
      </c>
      <c r="V335">
        <f t="shared" si="15"/>
        <v>0</v>
      </c>
      <c r="W335">
        <f t="shared" si="16"/>
        <v>0</v>
      </c>
      <c r="X335" t="str">
        <f t="shared" si="17"/>
        <v>MATCH</v>
      </c>
    </row>
    <row r="336" spans="1:24" x14ac:dyDescent="0.3">
      <c r="A336">
        <v>31</v>
      </c>
      <c r="B336" t="s">
        <v>18</v>
      </c>
      <c r="C336">
        <v>5021186.54</v>
      </c>
      <c r="D336" t="s">
        <v>682</v>
      </c>
      <c r="E336">
        <v>5021186.54</v>
      </c>
      <c r="F336">
        <v>0</v>
      </c>
      <c r="G336" t="s">
        <v>683</v>
      </c>
      <c r="H336">
        <v>880859.14</v>
      </c>
      <c r="I336">
        <v>5902045.6799999997</v>
      </c>
      <c r="J336">
        <v>1</v>
      </c>
      <c r="K336">
        <v>0</v>
      </c>
      <c r="L336">
        <v>7</v>
      </c>
      <c r="M336">
        <v>0</v>
      </c>
      <c r="N336">
        <v>1</v>
      </c>
      <c r="O336">
        <v>5021186.54</v>
      </c>
      <c r="P336">
        <v>5</v>
      </c>
      <c r="Q336">
        <v>4</v>
      </c>
      <c r="R336">
        <v>3.8000000000000003</v>
      </c>
      <c r="S336" t="s">
        <v>2310</v>
      </c>
      <c r="V336">
        <f t="shared" si="15"/>
        <v>0</v>
      </c>
      <c r="W336">
        <f t="shared" si="16"/>
        <v>0</v>
      </c>
      <c r="X336" t="str">
        <f t="shared" si="17"/>
        <v>MATCH</v>
      </c>
    </row>
    <row r="337" spans="1:24" x14ac:dyDescent="0.3">
      <c r="A337">
        <v>31</v>
      </c>
      <c r="B337" t="s">
        <v>15</v>
      </c>
      <c r="C337">
        <v>587031.19999999995</v>
      </c>
      <c r="D337" t="s">
        <v>684</v>
      </c>
      <c r="E337">
        <v>587031.19999999995</v>
      </c>
      <c r="F337">
        <v>0</v>
      </c>
      <c r="G337" t="s">
        <v>685</v>
      </c>
      <c r="H337">
        <v>0</v>
      </c>
      <c r="I337">
        <v>0</v>
      </c>
      <c r="J337">
        <v>1</v>
      </c>
      <c r="K337">
        <v>0</v>
      </c>
      <c r="L337">
        <v>7</v>
      </c>
      <c r="M337">
        <v>0</v>
      </c>
      <c r="N337">
        <v>1</v>
      </c>
      <c r="O337">
        <v>587031.19999999995</v>
      </c>
      <c r="P337">
        <v>5</v>
      </c>
      <c r="Q337">
        <v>5</v>
      </c>
      <c r="R337">
        <v>4.0999999999999996</v>
      </c>
      <c r="S337" t="s">
        <v>2310</v>
      </c>
      <c r="V337">
        <f t="shared" si="15"/>
        <v>0</v>
      </c>
      <c r="W337">
        <f t="shared" si="16"/>
        <v>0</v>
      </c>
      <c r="X337" t="str">
        <f t="shared" si="17"/>
        <v>MATCH</v>
      </c>
    </row>
    <row r="338" spans="1:24" x14ac:dyDescent="0.3">
      <c r="A338">
        <v>31</v>
      </c>
      <c r="B338" t="s">
        <v>18</v>
      </c>
      <c r="C338">
        <v>587031.19999999995</v>
      </c>
      <c r="D338" t="s">
        <v>686</v>
      </c>
      <c r="E338">
        <v>587031.19999999995</v>
      </c>
      <c r="F338">
        <v>0</v>
      </c>
      <c r="G338" t="s">
        <v>687</v>
      </c>
      <c r="H338">
        <v>338247.75</v>
      </c>
      <c r="I338">
        <v>925278.94</v>
      </c>
      <c r="J338">
        <v>1</v>
      </c>
      <c r="K338">
        <v>0</v>
      </c>
      <c r="L338">
        <v>7</v>
      </c>
      <c r="M338">
        <v>0</v>
      </c>
      <c r="N338">
        <v>1</v>
      </c>
      <c r="O338">
        <v>587031.19999999995</v>
      </c>
      <c r="P338">
        <v>5</v>
      </c>
      <c r="Q338">
        <v>4</v>
      </c>
      <c r="R338">
        <v>3.8000000000000003</v>
      </c>
      <c r="S338" t="s">
        <v>2310</v>
      </c>
      <c r="V338">
        <f t="shared" si="15"/>
        <v>0</v>
      </c>
      <c r="W338">
        <f t="shared" si="16"/>
        <v>0</v>
      </c>
      <c r="X338" t="str">
        <f t="shared" si="17"/>
        <v>MATCH</v>
      </c>
    </row>
    <row r="339" spans="1:24" x14ac:dyDescent="0.3">
      <c r="A339">
        <v>32</v>
      </c>
      <c r="B339" t="s">
        <v>15</v>
      </c>
      <c r="C339">
        <v>81867.070000000007</v>
      </c>
      <c r="D339" t="s">
        <v>688</v>
      </c>
      <c r="E339">
        <v>81867.070000000007</v>
      </c>
      <c r="F339">
        <v>0</v>
      </c>
      <c r="G339" t="s">
        <v>689</v>
      </c>
      <c r="H339">
        <v>0</v>
      </c>
      <c r="I339">
        <v>0</v>
      </c>
      <c r="J339">
        <v>1</v>
      </c>
      <c r="K339">
        <v>0</v>
      </c>
      <c r="L339">
        <v>8</v>
      </c>
      <c r="M339">
        <v>0</v>
      </c>
      <c r="N339">
        <v>1</v>
      </c>
      <c r="O339">
        <v>81867.070000000007</v>
      </c>
      <c r="P339">
        <v>3</v>
      </c>
      <c r="Q339">
        <v>5</v>
      </c>
      <c r="R339">
        <v>3.1</v>
      </c>
      <c r="S339" t="s">
        <v>2310</v>
      </c>
      <c r="V339">
        <f t="shared" si="15"/>
        <v>0</v>
      </c>
      <c r="W339">
        <f t="shared" si="16"/>
        <v>0</v>
      </c>
      <c r="X339" t="str">
        <f t="shared" si="17"/>
        <v>MATCH</v>
      </c>
    </row>
    <row r="340" spans="1:24" x14ac:dyDescent="0.3">
      <c r="A340">
        <v>32</v>
      </c>
      <c r="B340" t="s">
        <v>18</v>
      </c>
      <c r="C340">
        <v>81867.070000000007</v>
      </c>
      <c r="D340" t="s">
        <v>690</v>
      </c>
      <c r="E340">
        <v>81867.070000000007</v>
      </c>
      <c r="F340">
        <v>0</v>
      </c>
      <c r="G340" t="s">
        <v>691</v>
      </c>
      <c r="H340">
        <v>135117.98000000001</v>
      </c>
      <c r="I340">
        <v>216985.05</v>
      </c>
      <c r="J340">
        <v>1</v>
      </c>
      <c r="K340">
        <v>0</v>
      </c>
      <c r="L340">
        <v>8</v>
      </c>
      <c r="M340">
        <v>0</v>
      </c>
      <c r="N340">
        <v>1</v>
      </c>
      <c r="O340">
        <v>81867.070000000007</v>
      </c>
      <c r="P340">
        <v>3</v>
      </c>
      <c r="Q340">
        <v>4</v>
      </c>
      <c r="R340">
        <v>2.8000000000000003</v>
      </c>
      <c r="S340" t="s">
        <v>2312</v>
      </c>
      <c r="V340">
        <f t="shared" si="15"/>
        <v>0</v>
      </c>
      <c r="W340">
        <f t="shared" si="16"/>
        <v>0</v>
      </c>
      <c r="X340" t="str">
        <f t="shared" si="17"/>
        <v>MATCH</v>
      </c>
    </row>
    <row r="341" spans="1:24" x14ac:dyDescent="0.3">
      <c r="A341">
        <v>32</v>
      </c>
      <c r="B341" t="s">
        <v>15</v>
      </c>
      <c r="C341">
        <v>2023920.09</v>
      </c>
      <c r="D341" t="s">
        <v>692</v>
      </c>
      <c r="E341">
        <v>2023920.09</v>
      </c>
      <c r="F341">
        <v>0</v>
      </c>
      <c r="G341" t="s">
        <v>693</v>
      </c>
      <c r="H341">
        <v>0</v>
      </c>
      <c r="I341">
        <v>0</v>
      </c>
      <c r="J341">
        <v>1</v>
      </c>
      <c r="K341">
        <v>0</v>
      </c>
      <c r="L341">
        <v>8</v>
      </c>
      <c r="M341">
        <v>0</v>
      </c>
      <c r="N341">
        <v>1</v>
      </c>
      <c r="O341">
        <v>2023920.09</v>
      </c>
      <c r="P341">
        <v>5</v>
      </c>
      <c r="Q341">
        <v>5</v>
      </c>
      <c r="R341">
        <v>4.0999999999999996</v>
      </c>
      <c r="S341" t="s">
        <v>2310</v>
      </c>
      <c r="V341">
        <f t="shared" si="15"/>
        <v>0</v>
      </c>
      <c r="W341">
        <f t="shared" si="16"/>
        <v>0</v>
      </c>
      <c r="X341" t="str">
        <f t="shared" si="17"/>
        <v>MATCH</v>
      </c>
    </row>
    <row r="342" spans="1:24" x14ac:dyDescent="0.3">
      <c r="A342">
        <v>32</v>
      </c>
      <c r="B342" t="s">
        <v>18</v>
      </c>
      <c r="C342">
        <v>2023920.09</v>
      </c>
      <c r="D342" t="s">
        <v>694</v>
      </c>
      <c r="E342">
        <v>2023920.09</v>
      </c>
      <c r="F342">
        <v>0</v>
      </c>
      <c r="G342" t="s">
        <v>695</v>
      </c>
      <c r="H342">
        <v>1530400.88</v>
      </c>
      <c r="I342">
        <v>3554320.97</v>
      </c>
      <c r="J342">
        <v>1</v>
      </c>
      <c r="K342">
        <v>0</v>
      </c>
      <c r="L342">
        <v>8</v>
      </c>
      <c r="M342">
        <v>0</v>
      </c>
      <c r="N342">
        <v>1</v>
      </c>
      <c r="O342">
        <v>2023920.09</v>
      </c>
      <c r="P342">
        <v>5</v>
      </c>
      <c r="Q342">
        <v>4</v>
      </c>
      <c r="R342">
        <v>3.8000000000000003</v>
      </c>
      <c r="S342" t="s">
        <v>2310</v>
      </c>
      <c r="V342">
        <f t="shared" si="15"/>
        <v>0</v>
      </c>
      <c r="W342">
        <f t="shared" si="16"/>
        <v>0</v>
      </c>
      <c r="X342" t="str">
        <f t="shared" si="17"/>
        <v>MATCH</v>
      </c>
    </row>
    <row r="343" spans="1:24" x14ac:dyDescent="0.3">
      <c r="A343">
        <v>32</v>
      </c>
      <c r="B343" t="s">
        <v>15</v>
      </c>
      <c r="C343">
        <v>404165.06</v>
      </c>
      <c r="D343" t="s">
        <v>696</v>
      </c>
      <c r="E343">
        <v>404165.06</v>
      </c>
      <c r="F343">
        <v>0</v>
      </c>
      <c r="G343" t="s">
        <v>697</v>
      </c>
      <c r="H343">
        <v>0</v>
      </c>
      <c r="I343">
        <v>0</v>
      </c>
      <c r="J343">
        <v>1</v>
      </c>
      <c r="K343">
        <v>0</v>
      </c>
      <c r="L343">
        <v>8</v>
      </c>
      <c r="M343">
        <v>0</v>
      </c>
      <c r="N343">
        <v>1</v>
      </c>
      <c r="O343">
        <v>404165.06</v>
      </c>
      <c r="P343">
        <v>5</v>
      </c>
      <c r="Q343">
        <v>5</v>
      </c>
      <c r="R343">
        <v>4.0999999999999996</v>
      </c>
      <c r="S343" t="s">
        <v>2310</v>
      </c>
      <c r="V343">
        <f t="shared" si="15"/>
        <v>0</v>
      </c>
      <c r="W343">
        <f t="shared" si="16"/>
        <v>0</v>
      </c>
      <c r="X343" t="str">
        <f t="shared" si="17"/>
        <v>MATCH</v>
      </c>
    </row>
    <row r="344" spans="1:24" x14ac:dyDescent="0.3">
      <c r="A344">
        <v>32</v>
      </c>
      <c r="B344" t="s">
        <v>18</v>
      </c>
      <c r="C344">
        <v>404165.06</v>
      </c>
      <c r="D344" t="s">
        <v>698</v>
      </c>
      <c r="E344">
        <v>404165.06</v>
      </c>
      <c r="F344">
        <v>0</v>
      </c>
      <c r="G344" t="s">
        <v>699</v>
      </c>
      <c r="H344">
        <v>0</v>
      </c>
      <c r="I344">
        <v>404165.06</v>
      </c>
      <c r="J344">
        <v>1</v>
      </c>
      <c r="K344">
        <v>0</v>
      </c>
      <c r="L344">
        <v>8</v>
      </c>
      <c r="M344">
        <v>0</v>
      </c>
      <c r="N344">
        <v>1</v>
      </c>
      <c r="O344">
        <v>404165.06</v>
      </c>
      <c r="P344">
        <v>5</v>
      </c>
      <c r="Q344">
        <v>4</v>
      </c>
      <c r="R344">
        <v>3.8000000000000003</v>
      </c>
      <c r="S344" t="s">
        <v>2310</v>
      </c>
      <c r="V344">
        <f t="shared" si="15"/>
        <v>0</v>
      </c>
      <c r="W344">
        <f t="shared" si="16"/>
        <v>0</v>
      </c>
      <c r="X344" t="str">
        <f t="shared" si="17"/>
        <v>MATCH</v>
      </c>
    </row>
    <row r="345" spans="1:24" x14ac:dyDescent="0.3">
      <c r="A345">
        <v>32</v>
      </c>
      <c r="B345" t="s">
        <v>15</v>
      </c>
      <c r="C345">
        <v>1164448.96</v>
      </c>
      <c r="D345" t="s">
        <v>700</v>
      </c>
      <c r="E345">
        <v>1164448.96</v>
      </c>
      <c r="F345">
        <v>0</v>
      </c>
      <c r="G345" t="s">
        <v>701</v>
      </c>
      <c r="H345">
        <v>0</v>
      </c>
      <c r="I345">
        <v>0</v>
      </c>
      <c r="J345">
        <v>1</v>
      </c>
      <c r="K345">
        <v>0</v>
      </c>
      <c r="L345">
        <v>8</v>
      </c>
      <c r="M345">
        <v>0</v>
      </c>
      <c r="N345">
        <v>1</v>
      </c>
      <c r="O345">
        <v>1164448.96</v>
      </c>
      <c r="P345">
        <v>5</v>
      </c>
      <c r="Q345">
        <v>5</v>
      </c>
      <c r="R345">
        <v>4.0999999999999996</v>
      </c>
      <c r="S345" t="s">
        <v>2310</v>
      </c>
      <c r="V345">
        <f t="shared" si="15"/>
        <v>0</v>
      </c>
      <c r="W345">
        <f t="shared" si="16"/>
        <v>0</v>
      </c>
      <c r="X345" t="str">
        <f t="shared" si="17"/>
        <v>MATCH</v>
      </c>
    </row>
    <row r="346" spans="1:24" x14ac:dyDescent="0.3">
      <c r="A346">
        <v>32</v>
      </c>
      <c r="B346" t="s">
        <v>18</v>
      </c>
      <c r="C346">
        <v>1164448.96</v>
      </c>
      <c r="D346" t="s">
        <v>702</v>
      </c>
      <c r="E346">
        <v>1164448.96</v>
      </c>
      <c r="F346">
        <v>0</v>
      </c>
      <c r="G346" t="s">
        <v>703</v>
      </c>
      <c r="H346">
        <v>1080246.3400000001</v>
      </c>
      <c r="I346">
        <v>2244695.29</v>
      </c>
      <c r="J346">
        <v>1</v>
      </c>
      <c r="K346">
        <v>0</v>
      </c>
      <c r="L346">
        <v>8</v>
      </c>
      <c r="M346">
        <v>0</v>
      </c>
      <c r="N346">
        <v>1</v>
      </c>
      <c r="O346">
        <v>1164448.96</v>
      </c>
      <c r="P346">
        <v>5</v>
      </c>
      <c r="Q346">
        <v>4</v>
      </c>
      <c r="R346">
        <v>3.8000000000000003</v>
      </c>
      <c r="S346" t="s">
        <v>2310</v>
      </c>
      <c r="V346">
        <f t="shared" si="15"/>
        <v>0</v>
      </c>
      <c r="W346">
        <f t="shared" si="16"/>
        <v>0</v>
      </c>
      <c r="X346" t="str">
        <f t="shared" si="17"/>
        <v>MATCH</v>
      </c>
    </row>
    <row r="347" spans="1:24" x14ac:dyDescent="0.3">
      <c r="A347">
        <v>32</v>
      </c>
      <c r="B347" t="s">
        <v>15</v>
      </c>
      <c r="C347">
        <v>401575.19</v>
      </c>
      <c r="D347" t="s">
        <v>704</v>
      </c>
      <c r="E347">
        <v>401575.19</v>
      </c>
      <c r="F347">
        <v>0</v>
      </c>
      <c r="G347" t="s">
        <v>705</v>
      </c>
      <c r="H347">
        <v>0</v>
      </c>
      <c r="I347">
        <v>0</v>
      </c>
      <c r="J347">
        <v>1</v>
      </c>
      <c r="K347">
        <v>0</v>
      </c>
      <c r="L347">
        <v>8</v>
      </c>
      <c r="M347">
        <v>0</v>
      </c>
      <c r="N347">
        <v>1</v>
      </c>
      <c r="O347">
        <v>401575.19</v>
      </c>
      <c r="P347">
        <v>5</v>
      </c>
      <c r="Q347">
        <v>5</v>
      </c>
      <c r="R347">
        <v>4.0999999999999996</v>
      </c>
      <c r="S347" t="s">
        <v>2310</v>
      </c>
      <c r="V347">
        <f t="shared" si="15"/>
        <v>0</v>
      </c>
      <c r="W347">
        <f t="shared" si="16"/>
        <v>0</v>
      </c>
      <c r="X347" t="str">
        <f t="shared" si="17"/>
        <v>MATCH</v>
      </c>
    </row>
    <row r="348" spans="1:24" x14ac:dyDescent="0.3">
      <c r="A348">
        <v>32</v>
      </c>
      <c r="B348" t="s">
        <v>18</v>
      </c>
      <c r="C348">
        <v>401575.19</v>
      </c>
      <c r="D348" t="s">
        <v>706</v>
      </c>
      <c r="E348">
        <v>401575.19</v>
      </c>
      <c r="F348">
        <v>0</v>
      </c>
      <c r="G348" t="s">
        <v>707</v>
      </c>
      <c r="H348">
        <v>0</v>
      </c>
      <c r="I348">
        <v>401575.19</v>
      </c>
      <c r="J348">
        <v>1</v>
      </c>
      <c r="K348">
        <v>0</v>
      </c>
      <c r="L348">
        <v>8</v>
      </c>
      <c r="M348">
        <v>0</v>
      </c>
      <c r="N348">
        <v>1</v>
      </c>
      <c r="O348">
        <v>401575.19</v>
      </c>
      <c r="P348">
        <v>5</v>
      </c>
      <c r="Q348">
        <v>4</v>
      </c>
      <c r="R348">
        <v>3.8000000000000003</v>
      </c>
      <c r="S348" t="s">
        <v>2310</v>
      </c>
      <c r="V348">
        <f t="shared" si="15"/>
        <v>0</v>
      </c>
      <c r="W348">
        <f t="shared" si="16"/>
        <v>0</v>
      </c>
      <c r="X348" t="str">
        <f t="shared" si="17"/>
        <v>MATCH</v>
      </c>
    </row>
    <row r="349" spans="1:24" x14ac:dyDescent="0.3">
      <c r="A349">
        <v>32</v>
      </c>
      <c r="B349" t="s">
        <v>15</v>
      </c>
      <c r="C349">
        <v>604933.67000000004</v>
      </c>
      <c r="D349" t="s">
        <v>708</v>
      </c>
      <c r="E349">
        <v>604933.67000000004</v>
      </c>
      <c r="F349">
        <v>0</v>
      </c>
      <c r="G349" t="s">
        <v>709</v>
      </c>
      <c r="H349">
        <v>0</v>
      </c>
      <c r="I349">
        <v>0</v>
      </c>
      <c r="J349">
        <v>1</v>
      </c>
      <c r="K349">
        <v>0</v>
      </c>
      <c r="L349">
        <v>8</v>
      </c>
      <c r="M349">
        <v>0</v>
      </c>
      <c r="N349">
        <v>1</v>
      </c>
      <c r="O349">
        <v>604933.67000000004</v>
      </c>
      <c r="P349">
        <v>5</v>
      </c>
      <c r="Q349">
        <v>5</v>
      </c>
      <c r="R349">
        <v>4.0999999999999996</v>
      </c>
      <c r="S349" t="s">
        <v>2310</v>
      </c>
      <c r="V349">
        <f t="shared" si="15"/>
        <v>0</v>
      </c>
      <c r="W349">
        <f t="shared" si="16"/>
        <v>0</v>
      </c>
      <c r="X349" t="str">
        <f t="shared" si="17"/>
        <v>MATCH</v>
      </c>
    </row>
    <row r="350" spans="1:24" x14ac:dyDescent="0.3">
      <c r="A350">
        <v>32</v>
      </c>
      <c r="B350" t="s">
        <v>18</v>
      </c>
      <c r="C350">
        <v>604933.67000000004</v>
      </c>
      <c r="D350" t="s">
        <v>710</v>
      </c>
      <c r="E350">
        <v>604933.67000000004</v>
      </c>
      <c r="F350">
        <v>0</v>
      </c>
      <c r="G350" t="s">
        <v>711</v>
      </c>
      <c r="H350">
        <v>35839.699999999997</v>
      </c>
      <c r="I350">
        <v>640773.38</v>
      </c>
      <c r="J350">
        <v>1</v>
      </c>
      <c r="K350">
        <v>0</v>
      </c>
      <c r="L350">
        <v>8</v>
      </c>
      <c r="M350">
        <v>0</v>
      </c>
      <c r="N350">
        <v>1</v>
      </c>
      <c r="O350">
        <v>604933.67000000004</v>
      </c>
      <c r="P350">
        <v>5</v>
      </c>
      <c r="Q350">
        <v>4</v>
      </c>
      <c r="R350">
        <v>3.8000000000000003</v>
      </c>
      <c r="S350" t="s">
        <v>2310</v>
      </c>
      <c r="V350">
        <f t="shared" si="15"/>
        <v>0</v>
      </c>
      <c r="W350">
        <f t="shared" si="16"/>
        <v>0</v>
      </c>
      <c r="X350" t="str">
        <f t="shared" si="17"/>
        <v>MATCH</v>
      </c>
    </row>
    <row r="351" spans="1:24" x14ac:dyDescent="0.3">
      <c r="A351">
        <v>33</v>
      </c>
      <c r="B351" t="s">
        <v>15</v>
      </c>
      <c r="C351">
        <v>3295227.84</v>
      </c>
      <c r="D351" t="s">
        <v>712</v>
      </c>
      <c r="E351">
        <v>3295227.84</v>
      </c>
      <c r="F351">
        <v>0</v>
      </c>
      <c r="G351" t="s">
        <v>713</v>
      </c>
      <c r="H351">
        <v>0</v>
      </c>
      <c r="I351">
        <v>0</v>
      </c>
      <c r="J351">
        <v>1</v>
      </c>
      <c r="K351">
        <v>0</v>
      </c>
      <c r="L351">
        <v>9</v>
      </c>
      <c r="M351">
        <v>0</v>
      </c>
      <c r="N351">
        <v>1</v>
      </c>
      <c r="O351">
        <v>3295227.84</v>
      </c>
      <c r="P351">
        <v>5</v>
      </c>
      <c r="Q351">
        <v>5</v>
      </c>
      <c r="R351">
        <v>4.0999999999999996</v>
      </c>
      <c r="S351" t="s">
        <v>2310</v>
      </c>
      <c r="V351">
        <f t="shared" si="15"/>
        <v>0</v>
      </c>
      <c r="W351">
        <f t="shared" si="16"/>
        <v>0</v>
      </c>
      <c r="X351" t="str">
        <f t="shared" si="17"/>
        <v>MATCH</v>
      </c>
    </row>
    <row r="352" spans="1:24" x14ac:dyDescent="0.3">
      <c r="A352">
        <v>33</v>
      </c>
      <c r="B352" t="s">
        <v>18</v>
      </c>
      <c r="C352">
        <v>3295227.84</v>
      </c>
      <c r="D352" t="s">
        <v>714</v>
      </c>
      <c r="E352">
        <v>3295227.84</v>
      </c>
      <c r="F352">
        <v>0</v>
      </c>
      <c r="G352" t="s">
        <v>715</v>
      </c>
      <c r="H352">
        <v>0</v>
      </c>
      <c r="I352">
        <v>4002861.53</v>
      </c>
      <c r="J352">
        <v>1</v>
      </c>
      <c r="K352">
        <v>0</v>
      </c>
      <c r="L352">
        <v>9</v>
      </c>
      <c r="M352">
        <v>0</v>
      </c>
      <c r="N352">
        <v>1</v>
      </c>
      <c r="O352">
        <v>3295227.84</v>
      </c>
      <c r="P352">
        <v>5</v>
      </c>
      <c r="Q352">
        <v>4</v>
      </c>
      <c r="R352">
        <v>3.8000000000000003</v>
      </c>
      <c r="S352" t="s">
        <v>2310</v>
      </c>
      <c r="V352">
        <f t="shared" si="15"/>
        <v>0</v>
      </c>
      <c r="W352">
        <f t="shared" si="16"/>
        <v>0</v>
      </c>
      <c r="X352" t="str">
        <f t="shared" si="17"/>
        <v>MATCH</v>
      </c>
    </row>
    <row r="353" spans="1:24" x14ac:dyDescent="0.3">
      <c r="A353">
        <v>33</v>
      </c>
      <c r="B353" t="s">
        <v>15</v>
      </c>
      <c r="C353">
        <v>214975.9</v>
      </c>
      <c r="D353" t="s">
        <v>716</v>
      </c>
      <c r="E353">
        <v>214975.9</v>
      </c>
      <c r="F353">
        <v>0</v>
      </c>
      <c r="G353" t="s">
        <v>717</v>
      </c>
      <c r="H353">
        <v>0</v>
      </c>
      <c r="I353">
        <v>0</v>
      </c>
      <c r="J353">
        <v>1</v>
      </c>
      <c r="K353">
        <v>0</v>
      </c>
      <c r="L353">
        <v>9</v>
      </c>
      <c r="M353">
        <v>0</v>
      </c>
      <c r="N353">
        <v>1</v>
      </c>
      <c r="O353">
        <v>214975.9</v>
      </c>
      <c r="P353">
        <v>5</v>
      </c>
      <c r="Q353">
        <v>5</v>
      </c>
      <c r="R353">
        <v>4.0999999999999996</v>
      </c>
      <c r="S353" t="s">
        <v>2310</v>
      </c>
      <c r="V353">
        <f t="shared" si="15"/>
        <v>0</v>
      </c>
      <c r="W353">
        <f t="shared" si="16"/>
        <v>0</v>
      </c>
      <c r="X353" t="str">
        <f t="shared" si="17"/>
        <v>MATCH</v>
      </c>
    </row>
    <row r="354" spans="1:24" x14ac:dyDescent="0.3">
      <c r="A354">
        <v>33</v>
      </c>
      <c r="B354" t="s">
        <v>18</v>
      </c>
      <c r="C354">
        <v>214975.9</v>
      </c>
      <c r="D354" t="s">
        <v>718</v>
      </c>
      <c r="E354">
        <v>214975.9</v>
      </c>
      <c r="F354">
        <v>0</v>
      </c>
      <c r="G354" t="s">
        <v>719</v>
      </c>
      <c r="H354">
        <v>152331.28</v>
      </c>
      <c r="I354">
        <v>374513.69</v>
      </c>
      <c r="J354">
        <v>1</v>
      </c>
      <c r="K354">
        <v>0</v>
      </c>
      <c r="L354">
        <v>9</v>
      </c>
      <c r="M354">
        <v>0</v>
      </c>
      <c r="N354">
        <v>1</v>
      </c>
      <c r="O354">
        <v>214975.9</v>
      </c>
      <c r="P354">
        <v>5</v>
      </c>
      <c r="Q354">
        <v>4</v>
      </c>
      <c r="R354">
        <v>3.8000000000000003</v>
      </c>
      <c r="S354" t="s">
        <v>2310</v>
      </c>
      <c r="V354">
        <f t="shared" si="15"/>
        <v>0</v>
      </c>
      <c r="W354">
        <f t="shared" si="16"/>
        <v>0</v>
      </c>
      <c r="X354" t="str">
        <f t="shared" si="17"/>
        <v>MATCH</v>
      </c>
    </row>
    <row r="355" spans="1:24" x14ac:dyDescent="0.3">
      <c r="A355">
        <v>33</v>
      </c>
      <c r="B355" t="s">
        <v>15</v>
      </c>
      <c r="C355">
        <v>10000000</v>
      </c>
      <c r="D355" t="s">
        <v>720</v>
      </c>
      <c r="E355">
        <v>19900000</v>
      </c>
      <c r="F355">
        <v>9887819.0600000005</v>
      </c>
      <c r="G355" t="s">
        <v>721</v>
      </c>
      <c r="H355">
        <v>0</v>
      </c>
      <c r="I355">
        <v>0</v>
      </c>
      <c r="J355">
        <v>1</v>
      </c>
      <c r="K355">
        <v>0</v>
      </c>
      <c r="L355">
        <v>9</v>
      </c>
      <c r="M355">
        <v>1</v>
      </c>
      <c r="N355">
        <v>0</v>
      </c>
      <c r="O355">
        <v>10012180.939999999</v>
      </c>
      <c r="P355">
        <v>5</v>
      </c>
      <c r="Q355">
        <v>5</v>
      </c>
      <c r="R355">
        <v>4.0999999999999996</v>
      </c>
      <c r="S355" t="s">
        <v>2310</v>
      </c>
      <c r="V355">
        <f t="shared" si="15"/>
        <v>9900000</v>
      </c>
      <c r="W355">
        <f t="shared" si="16"/>
        <v>12180.939999999478</v>
      </c>
      <c r="X355" t="str">
        <f t="shared" si="17"/>
        <v>BREAK</v>
      </c>
    </row>
    <row r="356" spans="1:24" x14ac:dyDescent="0.3">
      <c r="A356">
        <v>33</v>
      </c>
      <c r="B356" t="s">
        <v>18</v>
      </c>
      <c r="C356">
        <v>10000000</v>
      </c>
      <c r="D356" t="s">
        <v>722</v>
      </c>
      <c r="E356">
        <v>10000000</v>
      </c>
      <c r="F356">
        <v>0</v>
      </c>
      <c r="G356" t="s">
        <v>723</v>
      </c>
      <c r="H356">
        <v>0</v>
      </c>
      <c r="I356">
        <v>10000000</v>
      </c>
      <c r="J356">
        <v>1</v>
      </c>
      <c r="K356">
        <v>0</v>
      </c>
      <c r="L356">
        <v>9</v>
      </c>
      <c r="M356">
        <v>1</v>
      </c>
      <c r="N356">
        <v>1</v>
      </c>
      <c r="O356">
        <v>10000000</v>
      </c>
      <c r="P356">
        <v>5</v>
      </c>
      <c r="Q356">
        <v>4</v>
      </c>
      <c r="R356">
        <v>3.9000000000000004</v>
      </c>
      <c r="S356" t="s">
        <v>2310</v>
      </c>
      <c r="V356">
        <f t="shared" si="15"/>
        <v>0</v>
      </c>
      <c r="W356">
        <f t="shared" si="16"/>
        <v>0</v>
      </c>
      <c r="X356" t="str">
        <f t="shared" si="17"/>
        <v>MATCH</v>
      </c>
    </row>
    <row r="357" spans="1:24" x14ac:dyDescent="0.3">
      <c r="A357">
        <v>33</v>
      </c>
      <c r="B357" t="s">
        <v>15</v>
      </c>
      <c r="C357">
        <v>9887819.0600000005</v>
      </c>
      <c r="D357" t="s">
        <v>724</v>
      </c>
      <c r="E357">
        <v>9887819.0600000005</v>
      </c>
      <c r="F357">
        <v>0</v>
      </c>
      <c r="G357" t="s">
        <v>725</v>
      </c>
      <c r="H357">
        <v>0</v>
      </c>
      <c r="I357">
        <v>0</v>
      </c>
      <c r="J357">
        <v>1</v>
      </c>
      <c r="K357">
        <v>0</v>
      </c>
      <c r="L357">
        <v>9</v>
      </c>
      <c r="M357">
        <v>0</v>
      </c>
      <c r="N357">
        <v>1</v>
      </c>
      <c r="O357">
        <v>9887819.0600000005</v>
      </c>
      <c r="P357">
        <v>5</v>
      </c>
      <c r="Q357">
        <v>5</v>
      </c>
      <c r="R357">
        <v>4.0999999999999996</v>
      </c>
      <c r="S357" t="s">
        <v>2310</v>
      </c>
      <c r="V357">
        <f t="shared" si="15"/>
        <v>0</v>
      </c>
      <c r="W357">
        <f t="shared" si="16"/>
        <v>0</v>
      </c>
      <c r="X357" t="str">
        <f t="shared" si="17"/>
        <v>MATCH</v>
      </c>
    </row>
    <row r="358" spans="1:24" x14ac:dyDescent="0.3">
      <c r="A358">
        <v>33</v>
      </c>
      <c r="B358" t="s">
        <v>18</v>
      </c>
      <c r="C358">
        <v>9887819.0600000005</v>
      </c>
      <c r="D358" t="s">
        <v>726</v>
      </c>
      <c r="E358">
        <v>9887819.0600000005</v>
      </c>
      <c r="F358">
        <v>0</v>
      </c>
      <c r="G358" t="s">
        <v>727</v>
      </c>
      <c r="H358">
        <v>801913.95</v>
      </c>
      <c r="I358">
        <v>10200000</v>
      </c>
      <c r="J358">
        <v>1</v>
      </c>
      <c r="K358">
        <v>0</v>
      </c>
      <c r="L358">
        <v>9</v>
      </c>
      <c r="M358">
        <v>0</v>
      </c>
      <c r="N358">
        <v>1</v>
      </c>
      <c r="O358">
        <v>9887819.0600000005</v>
      </c>
      <c r="P358">
        <v>5</v>
      </c>
      <c r="Q358">
        <v>4</v>
      </c>
      <c r="R358">
        <v>3.8000000000000003</v>
      </c>
      <c r="S358" t="s">
        <v>2310</v>
      </c>
      <c r="V358">
        <f t="shared" si="15"/>
        <v>0</v>
      </c>
      <c r="W358">
        <f t="shared" si="16"/>
        <v>0</v>
      </c>
      <c r="X358" t="str">
        <f t="shared" si="17"/>
        <v>MATCH</v>
      </c>
    </row>
    <row r="359" spans="1:24" x14ac:dyDescent="0.3">
      <c r="A359">
        <v>33</v>
      </c>
      <c r="B359" t="s">
        <v>15</v>
      </c>
      <c r="C359">
        <v>1448630.38</v>
      </c>
      <c r="D359" t="s">
        <v>728</v>
      </c>
      <c r="E359">
        <v>1448630.38</v>
      </c>
      <c r="F359">
        <v>0</v>
      </c>
      <c r="G359" t="s">
        <v>729</v>
      </c>
      <c r="H359">
        <v>0</v>
      </c>
      <c r="I359">
        <v>0</v>
      </c>
      <c r="J359">
        <v>1</v>
      </c>
      <c r="K359">
        <v>0</v>
      </c>
      <c r="L359">
        <v>9</v>
      </c>
      <c r="M359">
        <v>0</v>
      </c>
      <c r="N359">
        <v>1</v>
      </c>
      <c r="O359">
        <v>1448630.38</v>
      </c>
      <c r="P359">
        <v>5</v>
      </c>
      <c r="Q359">
        <v>5</v>
      </c>
      <c r="R359">
        <v>4.0999999999999996</v>
      </c>
      <c r="S359" t="s">
        <v>2310</v>
      </c>
      <c r="V359">
        <f t="shared" si="15"/>
        <v>0</v>
      </c>
      <c r="W359">
        <f t="shared" si="16"/>
        <v>0</v>
      </c>
      <c r="X359" t="str">
        <f t="shared" si="17"/>
        <v>MATCH</v>
      </c>
    </row>
    <row r="360" spans="1:24" x14ac:dyDescent="0.3">
      <c r="A360">
        <v>33</v>
      </c>
      <c r="B360" t="s">
        <v>18</v>
      </c>
      <c r="C360">
        <v>1448630.38</v>
      </c>
      <c r="D360" t="s">
        <v>730</v>
      </c>
      <c r="E360">
        <v>1448630.38</v>
      </c>
      <c r="F360">
        <v>0</v>
      </c>
      <c r="G360" t="s">
        <v>731</v>
      </c>
      <c r="H360">
        <v>1294571.45</v>
      </c>
      <c r="I360">
        <v>2743201.82</v>
      </c>
      <c r="J360">
        <v>1</v>
      </c>
      <c r="K360">
        <v>0</v>
      </c>
      <c r="L360">
        <v>9</v>
      </c>
      <c r="M360">
        <v>0</v>
      </c>
      <c r="N360">
        <v>1</v>
      </c>
      <c r="O360">
        <v>1448630.38</v>
      </c>
      <c r="P360">
        <v>5</v>
      </c>
      <c r="Q360">
        <v>4</v>
      </c>
      <c r="R360">
        <v>3.8000000000000003</v>
      </c>
      <c r="S360" t="s">
        <v>2310</v>
      </c>
      <c r="V360">
        <f t="shared" si="15"/>
        <v>0</v>
      </c>
      <c r="W360">
        <f t="shared" si="16"/>
        <v>0</v>
      </c>
      <c r="X360" t="str">
        <f t="shared" si="17"/>
        <v>MATCH</v>
      </c>
    </row>
    <row r="361" spans="1:24" x14ac:dyDescent="0.3">
      <c r="A361">
        <v>33</v>
      </c>
      <c r="B361" t="s">
        <v>15</v>
      </c>
      <c r="C361">
        <v>6648389.9000000004</v>
      </c>
      <c r="D361" t="s">
        <v>732</v>
      </c>
      <c r="E361">
        <v>6648389.9000000004</v>
      </c>
      <c r="F361">
        <v>0</v>
      </c>
      <c r="G361" t="s">
        <v>733</v>
      </c>
      <c r="H361">
        <v>0</v>
      </c>
      <c r="I361">
        <v>0</v>
      </c>
      <c r="J361">
        <v>1</v>
      </c>
      <c r="K361">
        <v>0</v>
      </c>
      <c r="L361">
        <v>9</v>
      </c>
      <c r="M361">
        <v>0</v>
      </c>
      <c r="N361">
        <v>1</v>
      </c>
      <c r="O361">
        <v>6648389.9000000004</v>
      </c>
      <c r="P361">
        <v>5</v>
      </c>
      <c r="Q361">
        <v>5</v>
      </c>
      <c r="R361">
        <v>4.0999999999999996</v>
      </c>
      <c r="S361" t="s">
        <v>2310</v>
      </c>
      <c r="V361">
        <f t="shared" si="15"/>
        <v>0</v>
      </c>
      <c r="W361">
        <f t="shared" si="16"/>
        <v>0</v>
      </c>
      <c r="X361" t="str">
        <f t="shared" si="17"/>
        <v>MATCH</v>
      </c>
    </row>
    <row r="362" spans="1:24" x14ac:dyDescent="0.3">
      <c r="A362">
        <v>33</v>
      </c>
      <c r="B362" t="s">
        <v>18</v>
      </c>
      <c r="C362">
        <v>6648389.9000000004</v>
      </c>
      <c r="D362" t="s">
        <v>734</v>
      </c>
      <c r="E362">
        <v>6648389.9000000004</v>
      </c>
      <c r="F362">
        <v>0</v>
      </c>
      <c r="G362" t="s">
        <v>735</v>
      </c>
      <c r="H362">
        <v>2609209.5499999998</v>
      </c>
      <c r="I362">
        <v>9257599.4499999993</v>
      </c>
      <c r="J362">
        <v>1</v>
      </c>
      <c r="K362">
        <v>0</v>
      </c>
      <c r="L362">
        <v>9</v>
      </c>
      <c r="M362">
        <v>0</v>
      </c>
      <c r="N362">
        <v>1</v>
      </c>
      <c r="O362">
        <v>6648389.9000000004</v>
      </c>
      <c r="P362">
        <v>5</v>
      </c>
      <c r="Q362">
        <v>4</v>
      </c>
      <c r="R362">
        <v>3.8000000000000003</v>
      </c>
      <c r="S362" t="s">
        <v>2310</v>
      </c>
      <c r="V362">
        <f t="shared" si="15"/>
        <v>0</v>
      </c>
      <c r="W362">
        <f t="shared" si="16"/>
        <v>0</v>
      </c>
      <c r="X362" t="str">
        <f t="shared" si="17"/>
        <v>MATCH</v>
      </c>
    </row>
    <row r="363" spans="1:24" x14ac:dyDescent="0.3">
      <c r="A363">
        <v>34</v>
      </c>
      <c r="B363" t="s">
        <v>15</v>
      </c>
      <c r="C363">
        <v>51424.22</v>
      </c>
      <c r="D363" t="s">
        <v>736</v>
      </c>
      <c r="E363">
        <v>51424.22</v>
      </c>
      <c r="F363">
        <v>0</v>
      </c>
      <c r="G363" t="s">
        <v>737</v>
      </c>
      <c r="H363">
        <v>0</v>
      </c>
      <c r="I363">
        <v>0</v>
      </c>
      <c r="J363">
        <v>1</v>
      </c>
      <c r="K363">
        <v>0</v>
      </c>
      <c r="L363">
        <v>10</v>
      </c>
      <c r="M363">
        <v>0</v>
      </c>
      <c r="N363">
        <v>1</v>
      </c>
      <c r="O363">
        <v>51424.22</v>
      </c>
      <c r="P363">
        <v>3</v>
      </c>
      <c r="Q363">
        <v>5</v>
      </c>
      <c r="R363">
        <v>3.1</v>
      </c>
      <c r="S363" t="s">
        <v>2310</v>
      </c>
      <c r="V363">
        <f t="shared" si="15"/>
        <v>0</v>
      </c>
      <c r="W363">
        <f t="shared" si="16"/>
        <v>0</v>
      </c>
      <c r="X363" t="str">
        <f t="shared" si="17"/>
        <v>MATCH</v>
      </c>
    </row>
    <row r="364" spans="1:24" x14ac:dyDescent="0.3">
      <c r="A364">
        <v>34</v>
      </c>
      <c r="B364" t="s">
        <v>18</v>
      </c>
      <c r="C364">
        <v>51424.22</v>
      </c>
      <c r="D364" t="s">
        <v>738</v>
      </c>
      <c r="E364">
        <v>51424.22</v>
      </c>
      <c r="F364">
        <v>0</v>
      </c>
      <c r="G364" t="s">
        <v>739</v>
      </c>
      <c r="H364">
        <v>87252.78</v>
      </c>
      <c r="I364">
        <v>138677</v>
      </c>
      <c r="J364">
        <v>1</v>
      </c>
      <c r="K364">
        <v>0</v>
      </c>
      <c r="L364">
        <v>10</v>
      </c>
      <c r="M364">
        <v>0</v>
      </c>
      <c r="N364">
        <v>1</v>
      </c>
      <c r="O364">
        <v>51424.22</v>
      </c>
      <c r="P364">
        <v>3</v>
      </c>
      <c r="Q364">
        <v>4</v>
      </c>
      <c r="R364">
        <v>2.8000000000000003</v>
      </c>
      <c r="S364" t="s">
        <v>2312</v>
      </c>
      <c r="V364">
        <f t="shared" si="15"/>
        <v>0</v>
      </c>
      <c r="W364">
        <f t="shared" si="16"/>
        <v>0</v>
      </c>
      <c r="X364" t="str">
        <f t="shared" si="17"/>
        <v>MATCH</v>
      </c>
    </row>
    <row r="365" spans="1:24" x14ac:dyDescent="0.3">
      <c r="A365">
        <v>34</v>
      </c>
      <c r="B365" t="s">
        <v>15</v>
      </c>
      <c r="C365">
        <v>428239.03</v>
      </c>
      <c r="D365" t="s">
        <v>740</v>
      </c>
      <c r="E365">
        <v>428239.03</v>
      </c>
      <c r="F365">
        <v>0</v>
      </c>
      <c r="G365" t="s">
        <v>741</v>
      </c>
      <c r="H365">
        <v>0</v>
      </c>
      <c r="I365">
        <v>0</v>
      </c>
      <c r="J365">
        <v>1</v>
      </c>
      <c r="K365">
        <v>0</v>
      </c>
      <c r="L365">
        <v>10</v>
      </c>
      <c r="M365">
        <v>0</v>
      </c>
      <c r="N365">
        <v>1</v>
      </c>
      <c r="O365">
        <v>428239.03</v>
      </c>
      <c r="P365">
        <v>5</v>
      </c>
      <c r="Q365">
        <v>5</v>
      </c>
      <c r="R365">
        <v>4.0999999999999996</v>
      </c>
      <c r="S365" t="s">
        <v>2310</v>
      </c>
      <c r="V365">
        <f t="shared" si="15"/>
        <v>0</v>
      </c>
      <c r="W365">
        <f t="shared" si="16"/>
        <v>0</v>
      </c>
      <c r="X365" t="str">
        <f t="shared" si="17"/>
        <v>MATCH</v>
      </c>
    </row>
    <row r="366" spans="1:24" x14ac:dyDescent="0.3">
      <c r="A366">
        <v>34</v>
      </c>
      <c r="B366" t="s">
        <v>18</v>
      </c>
      <c r="C366">
        <v>428239.03</v>
      </c>
      <c r="D366" t="s">
        <v>742</v>
      </c>
      <c r="E366">
        <v>428239.03</v>
      </c>
      <c r="F366">
        <v>0</v>
      </c>
      <c r="G366" t="s">
        <v>743</v>
      </c>
      <c r="H366">
        <v>293130.02</v>
      </c>
      <c r="I366">
        <v>1456009.92</v>
      </c>
      <c r="J366">
        <v>1</v>
      </c>
      <c r="K366">
        <v>0</v>
      </c>
      <c r="L366">
        <v>10</v>
      </c>
      <c r="M366">
        <v>0</v>
      </c>
      <c r="N366">
        <v>1</v>
      </c>
      <c r="O366">
        <v>428239.03</v>
      </c>
      <c r="P366">
        <v>5</v>
      </c>
      <c r="Q366">
        <v>4</v>
      </c>
      <c r="R366">
        <v>3.8000000000000003</v>
      </c>
      <c r="S366" t="s">
        <v>2310</v>
      </c>
      <c r="V366">
        <f t="shared" si="15"/>
        <v>0</v>
      </c>
      <c r="W366">
        <f t="shared" si="16"/>
        <v>0</v>
      </c>
      <c r="X366" t="str">
        <f t="shared" si="17"/>
        <v>MATCH</v>
      </c>
    </row>
    <row r="367" spans="1:24" x14ac:dyDescent="0.3">
      <c r="A367">
        <v>34</v>
      </c>
      <c r="B367" t="s">
        <v>15</v>
      </c>
      <c r="C367">
        <v>52557.21</v>
      </c>
      <c r="D367" t="s">
        <v>744</v>
      </c>
      <c r="E367">
        <v>52557.21</v>
      </c>
      <c r="F367">
        <v>0</v>
      </c>
      <c r="G367" t="s">
        <v>745</v>
      </c>
      <c r="H367">
        <v>0</v>
      </c>
      <c r="I367">
        <v>0</v>
      </c>
      <c r="J367">
        <v>1</v>
      </c>
      <c r="K367">
        <v>0</v>
      </c>
      <c r="L367">
        <v>10</v>
      </c>
      <c r="M367">
        <v>0</v>
      </c>
      <c r="N367">
        <v>1</v>
      </c>
      <c r="O367">
        <v>52557.21</v>
      </c>
      <c r="P367">
        <v>3</v>
      </c>
      <c r="Q367">
        <v>5</v>
      </c>
      <c r="R367">
        <v>3.1</v>
      </c>
      <c r="S367" t="s">
        <v>2310</v>
      </c>
      <c r="V367">
        <f t="shared" si="15"/>
        <v>0</v>
      </c>
      <c r="W367">
        <f t="shared" si="16"/>
        <v>0</v>
      </c>
      <c r="X367" t="str">
        <f t="shared" si="17"/>
        <v>MATCH</v>
      </c>
    </row>
    <row r="368" spans="1:24" x14ac:dyDescent="0.3">
      <c r="A368">
        <v>34</v>
      </c>
      <c r="B368" t="s">
        <v>18</v>
      </c>
      <c r="C368">
        <v>52557.21</v>
      </c>
      <c r="D368" t="s">
        <v>746</v>
      </c>
      <c r="E368">
        <v>52557.21</v>
      </c>
      <c r="F368">
        <v>0</v>
      </c>
      <c r="G368" t="s">
        <v>747</v>
      </c>
      <c r="H368">
        <v>0</v>
      </c>
      <c r="I368">
        <v>52557.21</v>
      </c>
      <c r="J368">
        <v>1</v>
      </c>
      <c r="K368">
        <v>0</v>
      </c>
      <c r="L368">
        <v>10</v>
      </c>
      <c r="M368">
        <v>0</v>
      </c>
      <c r="N368">
        <v>1</v>
      </c>
      <c r="O368">
        <v>52557.21</v>
      </c>
      <c r="P368">
        <v>3</v>
      </c>
      <c r="Q368">
        <v>4</v>
      </c>
      <c r="R368">
        <v>2.8000000000000003</v>
      </c>
      <c r="S368" t="s">
        <v>2312</v>
      </c>
      <c r="V368">
        <f t="shared" si="15"/>
        <v>0</v>
      </c>
      <c r="W368">
        <f t="shared" si="16"/>
        <v>0</v>
      </c>
      <c r="X368" t="str">
        <f t="shared" si="17"/>
        <v>MATCH</v>
      </c>
    </row>
    <row r="369" spans="1:24" x14ac:dyDescent="0.3">
      <c r="A369">
        <v>34</v>
      </c>
      <c r="B369" t="s">
        <v>15</v>
      </c>
      <c r="C369">
        <v>1462355.44</v>
      </c>
      <c r="D369" t="s">
        <v>748</v>
      </c>
      <c r="E369">
        <v>1462355.44</v>
      </c>
      <c r="F369">
        <v>0</v>
      </c>
      <c r="G369" t="s">
        <v>749</v>
      </c>
      <c r="H369">
        <v>0</v>
      </c>
      <c r="I369">
        <v>0</v>
      </c>
      <c r="J369">
        <v>1</v>
      </c>
      <c r="K369">
        <v>0</v>
      </c>
      <c r="L369">
        <v>10</v>
      </c>
      <c r="M369">
        <v>0</v>
      </c>
      <c r="N369">
        <v>1</v>
      </c>
      <c r="O369">
        <v>1462355.44</v>
      </c>
      <c r="P369">
        <v>5</v>
      </c>
      <c r="Q369">
        <v>5</v>
      </c>
      <c r="R369">
        <v>4.0999999999999996</v>
      </c>
      <c r="S369" t="s">
        <v>2310</v>
      </c>
      <c r="V369">
        <f t="shared" si="15"/>
        <v>0</v>
      </c>
      <c r="W369">
        <f t="shared" si="16"/>
        <v>0</v>
      </c>
      <c r="X369" t="str">
        <f t="shared" si="17"/>
        <v>MATCH</v>
      </c>
    </row>
    <row r="370" spans="1:24" x14ac:dyDescent="0.3">
      <c r="A370">
        <v>34</v>
      </c>
      <c r="B370" t="s">
        <v>18</v>
      </c>
      <c r="C370">
        <v>1462355.44</v>
      </c>
      <c r="D370" t="s">
        <v>750</v>
      </c>
      <c r="E370">
        <v>1462355.44</v>
      </c>
      <c r="F370">
        <v>0</v>
      </c>
      <c r="G370" t="s">
        <v>751</v>
      </c>
      <c r="H370">
        <v>1544724.84</v>
      </c>
      <c r="I370">
        <v>3007080.29</v>
      </c>
      <c r="J370">
        <v>1</v>
      </c>
      <c r="K370">
        <v>0</v>
      </c>
      <c r="L370">
        <v>10</v>
      </c>
      <c r="M370">
        <v>0</v>
      </c>
      <c r="N370">
        <v>1</v>
      </c>
      <c r="O370">
        <v>1462355.44</v>
      </c>
      <c r="P370">
        <v>5</v>
      </c>
      <c r="Q370">
        <v>4</v>
      </c>
      <c r="R370">
        <v>3.8000000000000003</v>
      </c>
      <c r="S370" t="s">
        <v>2310</v>
      </c>
      <c r="V370">
        <f t="shared" si="15"/>
        <v>0</v>
      </c>
      <c r="W370">
        <f t="shared" si="16"/>
        <v>0</v>
      </c>
      <c r="X370" t="str">
        <f t="shared" si="17"/>
        <v>MATCH</v>
      </c>
    </row>
    <row r="371" spans="1:24" x14ac:dyDescent="0.3">
      <c r="A371">
        <v>34</v>
      </c>
      <c r="B371" t="s">
        <v>15</v>
      </c>
      <c r="C371">
        <v>27951.26</v>
      </c>
      <c r="D371" t="s">
        <v>752</v>
      </c>
      <c r="E371">
        <v>27951.26</v>
      </c>
      <c r="F371">
        <v>0</v>
      </c>
      <c r="G371" t="s">
        <v>753</v>
      </c>
      <c r="H371">
        <v>0</v>
      </c>
      <c r="I371">
        <v>0</v>
      </c>
      <c r="J371">
        <v>1</v>
      </c>
      <c r="K371">
        <v>0</v>
      </c>
      <c r="L371">
        <v>10</v>
      </c>
      <c r="M371">
        <v>0</v>
      </c>
      <c r="N371">
        <v>1</v>
      </c>
      <c r="O371">
        <v>27951.26</v>
      </c>
      <c r="P371">
        <v>2</v>
      </c>
      <c r="Q371">
        <v>5</v>
      </c>
      <c r="R371">
        <v>2.6</v>
      </c>
      <c r="S371" t="s">
        <v>2312</v>
      </c>
      <c r="V371">
        <f t="shared" si="15"/>
        <v>0</v>
      </c>
      <c r="W371">
        <f t="shared" si="16"/>
        <v>0</v>
      </c>
      <c r="X371" t="str">
        <f t="shared" si="17"/>
        <v>MATCH</v>
      </c>
    </row>
    <row r="372" spans="1:24" x14ac:dyDescent="0.3">
      <c r="A372">
        <v>34</v>
      </c>
      <c r="B372" t="s">
        <v>18</v>
      </c>
      <c r="C372">
        <v>27951.26</v>
      </c>
      <c r="D372" t="s">
        <v>754</v>
      </c>
      <c r="E372">
        <v>27951.26</v>
      </c>
      <c r="F372">
        <v>0</v>
      </c>
      <c r="G372" t="s">
        <v>755</v>
      </c>
      <c r="H372">
        <v>10439</v>
      </c>
      <c r="I372">
        <v>698752.71</v>
      </c>
      <c r="J372">
        <v>1</v>
      </c>
      <c r="K372">
        <v>0</v>
      </c>
      <c r="L372">
        <v>10</v>
      </c>
      <c r="M372">
        <v>0</v>
      </c>
      <c r="N372">
        <v>1</v>
      </c>
      <c r="O372">
        <v>27951.26</v>
      </c>
      <c r="P372">
        <v>2</v>
      </c>
      <c r="Q372">
        <v>4</v>
      </c>
      <c r="R372">
        <v>2.3000000000000003</v>
      </c>
      <c r="S372" t="s">
        <v>2312</v>
      </c>
      <c r="V372">
        <f t="shared" si="15"/>
        <v>0</v>
      </c>
      <c r="W372">
        <f t="shared" si="16"/>
        <v>0</v>
      </c>
      <c r="X372" t="str">
        <f t="shared" si="17"/>
        <v>MATCH</v>
      </c>
    </row>
    <row r="373" spans="1:24" x14ac:dyDescent="0.3">
      <c r="A373">
        <v>34</v>
      </c>
      <c r="B373" t="s">
        <v>15</v>
      </c>
      <c r="C373">
        <v>989311.12</v>
      </c>
      <c r="D373" t="s">
        <v>756</v>
      </c>
      <c r="E373">
        <v>989311.12</v>
      </c>
      <c r="F373">
        <v>0</v>
      </c>
      <c r="G373" t="s">
        <v>757</v>
      </c>
      <c r="H373">
        <v>0</v>
      </c>
      <c r="I373">
        <v>0</v>
      </c>
      <c r="J373">
        <v>1</v>
      </c>
      <c r="K373">
        <v>0</v>
      </c>
      <c r="L373">
        <v>10</v>
      </c>
      <c r="M373">
        <v>0</v>
      </c>
      <c r="N373">
        <v>1</v>
      </c>
      <c r="O373">
        <v>989311.12</v>
      </c>
      <c r="P373">
        <v>5</v>
      </c>
      <c r="Q373">
        <v>5</v>
      </c>
      <c r="R373">
        <v>4.0999999999999996</v>
      </c>
      <c r="S373" t="s">
        <v>2310</v>
      </c>
      <c r="V373">
        <f t="shared" si="15"/>
        <v>0</v>
      </c>
      <c r="W373">
        <f t="shared" si="16"/>
        <v>0</v>
      </c>
      <c r="X373" t="str">
        <f t="shared" si="17"/>
        <v>MATCH</v>
      </c>
    </row>
    <row r="374" spans="1:24" x14ac:dyDescent="0.3">
      <c r="A374">
        <v>34</v>
      </c>
      <c r="B374" t="s">
        <v>18</v>
      </c>
      <c r="C374">
        <v>989311.12</v>
      </c>
      <c r="D374" t="s">
        <v>758</v>
      </c>
      <c r="E374">
        <v>989311.12</v>
      </c>
      <c r="F374">
        <v>0</v>
      </c>
      <c r="G374" t="s">
        <v>759</v>
      </c>
      <c r="H374">
        <v>1009370.24</v>
      </c>
      <c r="I374">
        <v>1998681.36</v>
      </c>
      <c r="J374">
        <v>1</v>
      </c>
      <c r="K374">
        <v>0</v>
      </c>
      <c r="L374">
        <v>10</v>
      </c>
      <c r="M374">
        <v>0</v>
      </c>
      <c r="N374">
        <v>1</v>
      </c>
      <c r="O374">
        <v>989311.12</v>
      </c>
      <c r="P374">
        <v>5</v>
      </c>
      <c r="Q374">
        <v>4</v>
      </c>
      <c r="R374">
        <v>3.8000000000000003</v>
      </c>
      <c r="S374" t="s">
        <v>2310</v>
      </c>
      <c r="V374">
        <f t="shared" si="15"/>
        <v>0</v>
      </c>
      <c r="W374">
        <f t="shared" si="16"/>
        <v>0</v>
      </c>
      <c r="X374" t="str">
        <f t="shared" si="17"/>
        <v>MATCH</v>
      </c>
    </row>
    <row r="375" spans="1:24" x14ac:dyDescent="0.3">
      <c r="A375">
        <v>34</v>
      </c>
      <c r="B375" t="s">
        <v>15</v>
      </c>
      <c r="C375">
        <v>865948.49</v>
      </c>
      <c r="D375" t="s">
        <v>760</v>
      </c>
      <c r="E375">
        <v>865948.49</v>
      </c>
      <c r="F375">
        <v>0</v>
      </c>
      <c r="G375" t="s">
        <v>761</v>
      </c>
      <c r="H375">
        <v>0</v>
      </c>
      <c r="I375">
        <v>0</v>
      </c>
      <c r="J375">
        <v>1</v>
      </c>
      <c r="K375">
        <v>0</v>
      </c>
      <c r="L375">
        <v>10</v>
      </c>
      <c r="M375">
        <v>0</v>
      </c>
      <c r="N375">
        <v>1</v>
      </c>
      <c r="O375">
        <v>865948.49</v>
      </c>
      <c r="P375">
        <v>5</v>
      </c>
      <c r="Q375">
        <v>5</v>
      </c>
      <c r="R375">
        <v>4.0999999999999996</v>
      </c>
      <c r="S375" t="s">
        <v>2310</v>
      </c>
      <c r="V375">
        <f t="shared" si="15"/>
        <v>0</v>
      </c>
      <c r="W375">
        <f t="shared" si="16"/>
        <v>0</v>
      </c>
      <c r="X375" t="str">
        <f t="shared" si="17"/>
        <v>MATCH</v>
      </c>
    </row>
    <row r="376" spans="1:24" x14ac:dyDescent="0.3">
      <c r="A376">
        <v>34</v>
      </c>
      <c r="B376" t="s">
        <v>18</v>
      </c>
      <c r="C376">
        <v>865948.49</v>
      </c>
      <c r="D376" t="s">
        <v>762</v>
      </c>
      <c r="E376">
        <v>865948.49</v>
      </c>
      <c r="F376">
        <v>0</v>
      </c>
      <c r="G376" t="s">
        <v>763</v>
      </c>
      <c r="H376">
        <v>0</v>
      </c>
      <c r="I376">
        <v>865948.49</v>
      </c>
      <c r="J376">
        <v>1</v>
      </c>
      <c r="K376">
        <v>0</v>
      </c>
      <c r="L376">
        <v>10</v>
      </c>
      <c r="M376">
        <v>0</v>
      </c>
      <c r="N376">
        <v>1</v>
      </c>
      <c r="O376">
        <v>865948.49</v>
      </c>
      <c r="P376">
        <v>5</v>
      </c>
      <c r="Q376">
        <v>4</v>
      </c>
      <c r="R376">
        <v>3.8000000000000003</v>
      </c>
      <c r="S376" t="s">
        <v>2310</v>
      </c>
      <c r="V376">
        <f t="shared" si="15"/>
        <v>0</v>
      </c>
      <c r="W376">
        <f t="shared" si="16"/>
        <v>0</v>
      </c>
      <c r="X376" t="str">
        <f t="shared" si="17"/>
        <v>MATCH</v>
      </c>
    </row>
    <row r="377" spans="1:24" x14ac:dyDescent="0.3">
      <c r="A377">
        <v>34</v>
      </c>
      <c r="B377" t="s">
        <v>15</v>
      </c>
      <c r="C377">
        <v>30917.39</v>
      </c>
      <c r="D377" t="s">
        <v>764</v>
      </c>
      <c r="E377">
        <v>30917.39</v>
      </c>
      <c r="F377">
        <v>0</v>
      </c>
      <c r="G377" t="s">
        <v>765</v>
      </c>
      <c r="H377">
        <v>0</v>
      </c>
      <c r="I377">
        <v>0</v>
      </c>
      <c r="J377">
        <v>1</v>
      </c>
      <c r="K377">
        <v>0</v>
      </c>
      <c r="L377">
        <v>10</v>
      </c>
      <c r="M377">
        <v>0</v>
      </c>
      <c r="N377">
        <v>1</v>
      </c>
      <c r="O377">
        <v>30917.39</v>
      </c>
      <c r="P377">
        <v>2</v>
      </c>
      <c r="Q377">
        <v>5</v>
      </c>
      <c r="R377">
        <v>2.6</v>
      </c>
      <c r="S377" t="s">
        <v>2312</v>
      </c>
      <c r="V377">
        <f t="shared" si="15"/>
        <v>0</v>
      </c>
      <c r="W377">
        <f t="shared" si="16"/>
        <v>0</v>
      </c>
      <c r="X377" t="str">
        <f t="shared" si="17"/>
        <v>MATCH</v>
      </c>
    </row>
    <row r="378" spans="1:24" x14ac:dyDescent="0.3">
      <c r="A378">
        <v>34</v>
      </c>
      <c r="B378" t="s">
        <v>18</v>
      </c>
      <c r="C378">
        <v>30917.39</v>
      </c>
      <c r="D378" t="s">
        <v>766</v>
      </c>
      <c r="E378">
        <v>30917.39</v>
      </c>
      <c r="F378">
        <v>0</v>
      </c>
      <c r="G378" t="s">
        <v>767</v>
      </c>
      <c r="H378">
        <v>339926.42</v>
      </c>
      <c r="I378">
        <v>370843.82</v>
      </c>
      <c r="J378">
        <v>1</v>
      </c>
      <c r="K378">
        <v>0</v>
      </c>
      <c r="L378">
        <v>10</v>
      </c>
      <c r="M378">
        <v>0</v>
      </c>
      <c r="N378">
        <v>1</v>
      </c>
      <c r="O378">
        <v>30917.39</v>
      </c>
      <c r="P378">
        <v>2</v>
      </c>
      <c r="Q378">
        <v>4</v>
      </c>
      <c r="R378">
        <v>2.3000000000000003</v>
      </c>
      <c r="S378" t="s">
        <v>2312</v>
      </c>
      <c r="V378">
        <f t="shared" si="15"/>
        <v>0</v>
      </c>
      <c r="W378">
        <f t="shared" si="16"/>
        <v>0</v>
      </c>
      <c r="X378" t="str">
        <f t="shared" si="17"/>
        <v>MATCH</v>
      </c>
    </row>
    <row r="379" spans="1:24" x14ac:dyDescent="0.3">
      <c r="A379">
        <v>34</v>
      </c>
      <c r="B379" t="s">
        <v>15</v>
      </c>
      <c r="C379">
        <v>40458</v>
      </c>
      <c r="D379" t="s">
        <v>768</v>
      </c>
      <c r="E379">
        <v>40458</v>
      </c>
      <c r="F379">
        <v>0</v>
      </c>
      <c r="G379" t="s">
        <v>769</v>
      </c>
      <c r="H379">
        <v>0</v>
      </c>
      <c r="I379">
        <v>0</v>
      </c>
      <c r="J379">
        <v>1</v>
      </c>
      <c r="K379">
        <v>0</v>
      </c>
      <c r="L379">
        <v>10</v>
      </c>
      <c r="M379">
        <v>0</v>
      </c>
      <c r="N379">
        <v>1</v>
      </c>
      <c r="O379">
        <v>40458</v>
      </c>
      <c r="P379">
        <v>2</v>
      </c>
      <c r="Q379">
        <v>5</v>
      </c>
      <c r="R379">
        <v>2.6</v>
      </c>
      <c r="S379" t="s">
        <v>2312</v>
      </c>
      <c r="V379">
        <f t="shared" si="15"/>
        <v>0</v>
      </c>
      <c r="W379">
        <f t="shared" si="16"/>
        <v>0</v>
      </c>
      <c r="X379" t="str">
        <f t="shared" si="17"/>
        <v>MATCH</v>
      </c>
    </row>
    <row r="380" spans="1:24" x14ac:dyDescent="0.3">
      <c r="A380">
        <v>34</v>
      </c>
      <c r="B380" t="s">
        <v>18</v>
      </c>
      <c r="C380">
        <v>40458</v>
      </c>
      <c r="D380" t="s">
        <v>770</v>
      </c>
      <c r="E380">
        <v>40458</v>
      </c>
      <c r="F380">
        <v>0</v>
      </c>
      <c r="G380" t="s">
        <v>771</v>
      </c>
      <c r="H380">
        <v>561393.36</v>
      </c>
      <c r="I380">
        <v>331179.02</v>
      </c>
      <c r="J380">
        <v>1</v>
      </c>
      <c r="K380">
        <v>0</v>
      </c>
      <c r="L380">
        <v>10</v>
      </c>
      <c r="M380">
        <v>0</v>
      </c>
      <c r="N380">
        <v>1</v>
      </c>
      <c r="O380">
        <v>40458</v>
      </c>
      <c r="P380">
        <v>2</v>
      </c>
      <c r="Q380">
        <v>4</v>
      </c>
      <c r="R380">
        <v>2.3000000000000003</v>
      </c>
      <c r="S380" t="s">
        <v>2312</v>
      </c>
      <c r="V380">
        <f t="shared" si="15"/>
        <v>0</v>
      </c>
      <c r="W380">
        <f t="shared" si="16"/>
        <v>0</v>
      </c>
      <c r="X380" t="str">
        <f t="shared" si="17"/>
        <v>MATCH</v>
      </c>
    </row>
    <row r="381" spans="1:24" x14ac:dyDescent="0.3">
      <c r="A381">
        <v>34</v>
      </c>
      <c r="B381" t="s">
        <v>15</v>
      </c>
      <c r="C381">
        <v>1016540.35</v>
      </c>
      <c r="D381" t="s">
        <v>772</v>
      </c>
      <c r="E381">
        <v>1016540.35</v>
      </c>
      <c r="F381">
        <v>0</v>
      </c>
      <c r="G381" t="s">
        <v>773</v>
      </c>
      <c r="H381">
        <v>0</v>
      </c>
      <c r="I381">
        <v>0</v>
      </c>
      <c r="J381">
        <v>1</v>
      </c>
      <c r="K381">
        <v>0</v>
      </c>
      <c r="L381">
        <v>10</v>
      </c>
      <c r="M381">
        <v>0</v>
      </c>
      <c r="N381">
        <v>1</v>
      </c>
      <c r="O381">
        <v>1016540.35</v>
      </c>
      <c r="P381">
        <v>5</v>
      </c>
      <c r="Q381">
        <v>5</v>
      </c>
      <c r="R381">
        <v>4.0999999999999996</v>
      </c>
      <c r="S381" t="s">
        <v>2310</v>
      </c>
      <c r="V381">
        <f t="shared" si="15"/>
        <v>0</v>
      </c>
      <c r="W381">
        <f t="shared" si="16"/>
        <v>0</v>
      </c>
      <c r="X381" t="str">
        <f t="shared" si="17"/>
        <v>MATCH</v>
      </c>
    </row>
    <row r="382" spans="1:24" x14ac:dyDescent="0.3">
      <c r="A382">
        <v>34</v>
      </c>
      <c r="B382" t="s">
        <v>18</v>
      </c>
      <c r="C382">
        <v>1016540.35</v>
      </c>
      <c r="D382" t="s">
        <v>774</v>
      </c>
      <c r="E382">
        <v>1016540.35</v>
      </c>
      <c r="F382">
        <v>0</v>
      </c>
      <c r="G382" t="s">
        <v>775</v>
      </c>
      <c r="H382">
        <v>4463851.6399999997</v>
      </c>
      <c r="I382">
        <v>5700161.7400000002</v>
      </c>
      <c r="J382">
        <v>1</v>
      </c>
      <c r="K382">
        <v>0</v>
      </c>
      <c r="L382">
        <v>10</v>
      </c>
      <c r="M382">
        <v>0</v>
      </c>
      <c r="N382">
        <v>1</v>
      </c>
      <c r="O382">
        <v>1016540.35</v>
      </c>
      <c r="P382">
        <v>5</v>
      </c>
      <c r="Q382">
        <v>4</v>
      </c>
      <c r="R382">
        <v>3.8000000000000003</v>
      </c>
      <c r="S382" t="s">
        <v>2310</v>
      </c>
      <c r="V382">
        <f t="shared" si="15"/>
        <v>0</v>
      </c>
      <c r="W382">
        <f t="shared" si="16"/>
        <v>0</v>
      </c>
      <c r="X382" t="str">
        <f t="shared" si="17"/>
        <v>MATCH</v>
      </c>
    </row>
    <row r="383" spans="1:24" x14ac:dyDescent="0.3">
      <c r="A383">
        <v>34</v>
      </c>
      <c r="B383" t="s">
        <v>15</v>
      </c>
      <c r="C383">
        <v>71693.42</v>
      </c>
      <c r="D383" t="s">
        <v>776</v>
      </c>
      <c r="E383">
        <v>71693.42</v>
      </c>
      <c r="F383">
        <v>0</v>
      </c>
      <c r="G383" t="s">
        <v>777</v>
      </c>
      <c r="H383">
        <v>0</v>
      </c>
      <c r="I383">
        <v>0</v>
      </c>
      <c r="J383">
        <v>1</v>
      </c>
      <c r="K383">
        <v>0</v>
      </c>
      <c r="L383">
        <v>10</v>
      </c>
      <c r="M383">
        <v>0</v>
      </c>
      <c r="N383">
        <v>1</v>
      </c>
      <c r="O383">
        <v>71693.42</v>
      </c>
      <c r="P383">
        <v>3</v>
      </c>
      <c r="Q383">
        <v>5</v>
      </c>
      <c r="R383">
        <v>3.1</v>
      </c>
      <c r="S383" t="s">
        <v>2310</v>
      </c>
      <c r="V383">
        <f t="shared" si="15"/>
        <v>0</v>
      </c>
      <c r="W383">
        <f t="shared" si="16"/>
        <v>0</v>
      </c>
      <c r="X383" t="str">
        <f t="shared" si="17"/>
        <v>MATCH</v>
      </c>
    </row>
    <row r="384" spans="1:24" x14ac:dyDescent="0.3">
      <c r="A384">
        <v>34</v>
      </c>
      <c r="B384" t="s">
        <v>18</v>
      </c>
      <c r="C384">
        <v>71693.42</v>
      </c>
      <c r="D384" t="s">
        <v>778</v>
      </c>
      <c r="E384">
        <v>71693.42</v>
      </c>
      <c r="F384">
        <v>0</v>
      </c>
      <c r="G384" t="s">
        <v>779</v>
      </c>
      <c r="H384">
        <v>0</v>
      </c>
      <c r="I384">
        <v>71693.42</v>
      </c>
      <c r="J384">
        <v>1</v>
      </c>
      <c r="K384">
        <v>0</v>
      </c>
      <c r="L384">
        <v>10</v>
      </c>
      <c r="M384">
        <v>0</v>
      </c>
      <c r="N384">
        <v>1</v>
      </c>
      <c r="O384">
        <v>71693.42</v>
      </c>
      <c r="P384">
        <v>3</v>
      </c>
      <c r="Q384">
        <v>4</v>
      </c>
      <c r="R384">
        <v>2.8000000000000003</v>
      </c>
      <c r="S384" t="s">
        <v>2312</v>
      </c>
      <c r="V384">
        <f t="shared" si="15"/>
        <v>0</v>
      </c>
      <c r="W384">
        <f t="shared" si="16"/>
        <v>0</v>
      </c>
      <c r="X384" t="str">
        <f t="shared" si="17"/>
        <v>MATCH</v>
      </c>
    </row>
    <row r="385" spans="1:24" x14ac:dyDescent="0.3">
      <c r="A385">
        <v>35</v>
      </c>
      <c r="B385" t="s">
        <v>15</v>
      </c>
      <c r="C385">
        <v>472692.51</v>
      </c>
      <c r="D385" t="s">
        <v>780</v>
      </c>
      <c r="E385">
        <v>472692.51</v>
      </c>
      <c r="F385">
        <v>0</v>
      </c>
      <c r="G385" t="s">
        <v>781</v>
      </c>
      <c r="H385">
        <v>0</v>
      </c>
      <c r="I385">
        <v>0</v>
      </c>
      <c r="J385">
        <v>1</v>
      </c>
      <c r="K385">
        <v>0</v>
      </c>
      <c r="L385">
        <v>11</v>
      </c>
      <c r="M385">
        <v>0</v>
      </c>
      <c r="N385">
        <v>1</v>
      </c>
      <c r="O385">
        <v>472692.51</v>
      </c>
      <c r="P385">
        <v>5</v>
      </c>
      <c r="Q385">
        <v>5</v>
      </c>
      <c r="R385">
        <v>4.0999999999999996</v>
      </c>
      <c r="S385" t="s">
        <v>2310</v>
      </c>
      <c r="V385">
        <f t="shared" si="15"/>
        <v>0</v>
      </c>
      <c r="W385">
        <f t="shared" si="16"/>
        <v>0</v>
      </c>
      <c r="X385" t="str">
        <f t="shared" si="17"/>
        <v>MATCH</v>
      </c>
    </row>
    <row r="386" spans="1:24" x14ac:dyDescent="0.3">
      <c r="A386">
        <v>35</v>
      </c>
      <c r="B386" t="s">
        <v>18</v>
      </c>
      <c r="C386">
        <v>472692.51</v>
      </c>
      <c r="D386" t="s">
        <v>782</v>
      </c>
      <c r="E386">
        <v>472692.51</v>
      </c>
      <c r="F386">
        <v>0</v>
      </c>
      <c r="G386" t="s">
        <v>783</v>
      </c>
      <c r="H386">
        <v>193065.83</v>
      </c>
      <c r="I386">
        <v>665758.34</v>
      </c>
      <c r="J386">
        <v>1</v>
      </c>
      <c r="K386">
        <v>0</v>
      </c>
      <c r="L386">
        <v>11</v>
      </c>
      <c r="M386">
        <v>0</v>
      </c>
      <c r="N386">
        <v>1</v>
      </c>
      <c r="O386">
        <v>472692.51</v>
      </c>
      <c r="P386">
        <v>5</v>
      </c>
      <c r="Q386">
        <v>4</v>
      </c>
      <c r="R386">
        <v>3.8000000000000003</v>
      </c>
      <c r="S386" t="s">
        <v>2310</v>
      </c>
      <c r="V386">
        <f t="shared" si="15"/>
        <v>0</v>
      </c>
      <c r="W386">
        <f t="shared" si="16"/>
        <v>0</v>
      </c>
      <c r="X386" t="str">
        <f t="shared" si="17"/>
        <v>MATCH</v>
      </c>
    </row>
    <row r="387" spans="1:24" x14ac:dyDescent="0.3">
      <c r="A387">
        <v>35</v>
      </c>
      <c r="B387" t="s">
        <v>15</v>
      </c>
      <c r="C387">
        <v>122032.62</v>
      </c>
      <c r="D387" t="s">
        <v>784</v>
      </c>
      <c r="E387">
        <v>122032.62</v>
      </c>
      <c r="F387">
        <v>0</v>
      </c>
      <c r="G387" t="s">
        <v>785</v>
      </c>
      <c r="H387">
        <v>0</v>
      </c>
      <c r="I387">
        <v>0</v>
      </c>
      <c r="J387">
        <v>1</v>
      </c>
      <c r="K387">
        <v>0</v>
      </c>
      <c r="L387">
        <v>11</v>
      </c>
      <c r="M387">
        <v>0</v>
      </c>
      <c r="N387">
        <v>1</v>
      </c>
      <c r="O387">
        <v>122032.62</v>
      </c>
      <c r="P387">
        <v>4</v>
      </c>
      <c r="Q387">
        <v>5</v>
      </c>
      <c r="R387">
        <v>3.6</v>
      </c>
      <c r="S387" t="s">
        <v>2310</v>
      </c>
      <c r="V387">
        <f t="shared" ref="V387:V450" si="18">E387-C387</f>
        <v>0</v>
      </c>
      <c r="W387">
        <f t="shared" ref="W387:W450" si="19">ABS(F387-V387)</f>
        <v>0</v>
      </c>
      <c r="X387" t="str">
        <f t="shared" ref="X387:X450" si="20">IF(W387&lt;1,"MATCH","BREAK")</f>
        <v>MATCH</v>
      </c>
    </row>
    <row r="388" spans="1:24" x14ac:dyDescent="0.3">
      <c r="A388">
        <v>35</v>
      </c>
      <c r="B388" t="s">
        <v>18</v>
      </c>
      <c r="C388">
        <v>122032.62</v>
      </c>
      <c r="D388" t="s">
        <v>786</v>
      </c>
      <c r="E388">
        <v>122032.62</v>
      </c>
      <c r="F388">
        <v>0</v>
      </c>
      <c r="G388" t="s">
        <v>787</v>
      </c>
      <c r="H388">
        <v>0</v>
      </c>
      <c r="I388">
        <v>122032.62</v>
      </c>
      <c r="J388">
        <v>1</v>
      </c>
      <c r="K388">
        <v>0</v>
      </c>
      <c r="L388">
        <v>11</v>
      </c>
      <c r="M388">
        <v>0</v>
      </c>
      <c r="N388">
        <v>1</v>
      </c>
      <c r="O388">
        <v>122032.62</v>
      </c>
      <c r="P388">
        <v>4</v>
      </c>
      <c r="Q388">
        <v>4</v>
      </c>
      <c r="R388">
        <v>3.3000000000000003</v>
      </c>
      <c r="S388" t="s">
        <v>2310</v>
      </c>
      <c r="V388">
        <f t="shared" si="18"/>
        <v>0</v>
      </c>
      <c r="W388">
        <f t="shared" si="19"/>
        <v>0</v>
      </c>
      <c r="X388" t="str">
        <f t="shared" si="20"/>
        <v>MATCH</v>
      </c>
    </row>
    <row r="389" spans="1:24" x14ac:dyDescent="0.3">
      <c r="A389">
        <v>35</v>
      </c>
      <c r="B389" t="s">
        <v>15</v>
      </c>
      <c r="C389">
        <v>3606943.31</v>
      </c>
      <c r="D389" t="s">
        <v>788</v>
      </c>
      <c r="E389">
        <v>3606943.31</v>
      </c>
      <c r="F389">
        <v>0</v>
      </c>
      <c r="G389" t="s">
        <v>789</v>
      </c>
      <c r="H389">
        <v>0</v>
      </c>
      <c r="I389">
        <v>0</v>
      </c>
      <c r="J389">
        <v>1</v>
      </c>
      <c r="K389">
        <v>0</v>
      </c>
      <c r="L389">
        <v>11</v>
      </c>
      <c r="M389">
        <v>0</v>
      </c>
      <c r="N389">
        <v>1</v>
      </c>
      <c r="O389">
        <v>3606943.31</v>
      </c>
      <c r="P389">
        <v>5</v>
      </c>
      <c r="Q389">
        <v>5</v>
      </c>
      <c r="R389">
        <v>4.0999999999999996</v>
      </c>
      <c r="S389" t="s">
        <v>2310</v>
      </c>
      <c r="V389">
        <f t="shared" si="18"/>
        <v>0</v>
      </c>
      <c r="W389">
        <f t="shared" si="19"/>
        <v>0</v>
      </c>
      <c r="X389" t="str">
        <f t="shared" si="20"/>
        <v>MATCH</v>
      </c>
    </row>
    <row r="390" spans="1:24" x14ac:dyDescent="0.3">
      <c r="A390">
        <v>35</v>
      </c>
      <c r="B390" t="s">
        <v>18</v>
      </c>
      <c r="C390">
        <v>3606943.31</v>
      </c>
      <c r="D390" t="s">
        <v>790</v>
      </c>
      <c r="E390">
        <v>3606943.31</v>
      </c>
      <c r="F390">
        <v>0</v>
      </c>
      <c r="G390" t="s">
        <v>791</v>
      </c>
      <c r="H390">
        <v>0</v>
      </c>
      <c r="I390">
        <v>3606943.31</v>
      </c>
      <c r="J390">
        <v>1</v>
      </c>
      <c r="K390">
        <v>0</v>
      </c>
      <c r="L390">
        <v>11</v>
      </c>
      <c r="M390">
        <v>0</v>
      </c>
      <c r="N390">
        <v>1</v>
      </c>
      <c r="O390">
        <v>3606943.31</v>
      </c>
      <c r="P390">
        <v>5</v>
      </c>
      <c r="Q390">
        <v>4</v>
      </c>
      <c r="R390">
        <v>3.8000000000000003</v>
      </c>
      <c r="S390" t="s">
        <v>2310</v>
      </c>
      <c r="V390">
        <f t="shared" si="18"/>
        <v>0</v>
      </c>
      <c r="W390">
        <f t="shared" si="19"/>
        <v>0</v>
      </c>
      <c r="X390" t="str">
        <f t="shared" si="20"/>
        <v>MATCH</v>
      </c>
    </row>
    <row r="391" spans="1:24" x14ac:dyDescent="0.3">
      <c r="A391">
        <v>35</v>
      </c>
      <c r="B391" t="s">
        <v>18</v>
      </c>
      <c r="C391">
        <v>112280.88</v>
      </c>
      <c r="D391" t="s">
        <v>792</v>
      </c>
      <c r="E391">
        <v>0</v>
      </c>
      <c r="F391">
        <v>0</v>
      </c>
      <c r="G391" t="s">
        <v>793</v>
      </c>
      <c r="H391">
        <v>40512.49</v>
      </c>
      <c r="I391">
        <v>152793.35999999999</v>
      </c>
      <c r="J391">
        <v>1</v>
      </c>
      <c r="K391">
        <v>0</v>
      </c>
      <c r="L391">
        <v>11</v>
      </c>
      <c r="M391">
        <v>0</v>
      </c>
      <c r="N391">
        <v>0</v>
      </c>
      <c r="O391">
        <v>0</v>
      </c>
      <c r="P391">
        <v>4</v>
      </c>
      <c r="Q391">
        <v>4</v>
      </c>
      <c r="R391">
        <v>3.2</v>
      </c>
      <c r="S391" t="s">
        <v>2310</v>
      </c>
      <c r="V391">
        <f t="shared" si="18"/>
        <v>-112280.88</v>
      </c>
      <c r="W391">
        <f t="shared" si="19"/>
        <v>112280.88</v>
      </c>
      <c r="X391" t="str">
        <f t="shared" si="20"/>
        <v>BREAK</v>
      </c>
    </row>
    <row r="392" spans="1:24" x14ac:dyDescent="0.3">
      <c r="A392">
        <v>35</v>
      </c>
      <c r="B392" t="s">
        <v>15</v>
      </c>
      <c r="C392">
        <v>171788.82</v>
      </c>
      <c r="D392" t="s">
        <v>794</v>
      </c>
      <c r="E392">
        <v>171788.82</v>
      </c>
      <c r="F392">
        <v>0</v>
      </c>
      <c r="G392" t="s">
        <v>795</v>
      </c>
      <c r="H392">
        <v>0</v>
      </c>
      <c r="I392">
        <v>0</v>
      </c>
      <c r="J392">
        <v>1</v>
      </c>
      <c r="K392">
        <v>0</v>
      </c>
      <c r="L392">
        <v>11</v>
      </c>
      <c r="M392">
        <v>0</v>
      </c>
      <c r="N392">
        <v>1</v>
      </c>
      <c r="O392">
        <v>171788.82</v>
      </c>
      <c r="P392">
        <v>4</v>
      </c>
      <c r="Q392">
        <v>5</v>
      </c>
      <c r="R392">
        <v>3.6</v>
      </c>
      <c r="S392" t="s">
        <v>2310</v>
      </c>
      <c r="V392">
        <f t="shared" si="18"/>
        <v>0</v>
      </c>
      <c r="W392">
        <f t="shared" si="19"/>
        <v>0</v>
      </c>
      <c r="X392" t="str">
        <f t="shared" si="20"/>
        <v>MATCH</v>
      </c>
    </row>
    <row r="393" spans="1:24" x14ac:dyDescent="0.3">
      <c r="A393">
        <v>35</v>
      </c>
      <c r="B393" t="s">
        <v>18</v>
      </c>
      <c r="C393">
        <v>171788.82</v>
      </c>
      <c r="D393" t="s">
        <v>796</v>
      </c>
      <c r="E393">
        <v>171788.82</v>
      </c>
      <c r="F393">
        <v>0</v>
      </c>
      <c r="G393" t="s">
        <v>797</v>
      </c>
      <c r="H393">
        <v>19962</v>
      </c>
      <c r="I393">
        <v>0</v>
      </c>
      <c r="J393">
        <v>1</v>
      </c>
      <c r="K393">
        <v>0</v>
      </c>
      <c r="L393">
        <v>11</v>
      </c>
      <c r="M393">
        <v>0</v>
      </c>
      <c r="N393">
        <v>1</v>
      </c>
      <c r="O393">
        <v>171788.82</v>
      </c>
      <c r="P393">
        <v>4</v>
      </c>
      <c r="Q393">
        <v>4</v>
      </c>
      <c r="R393">
        <v>3.3000000000000003</v>
      </c>
      <c r="S393" t="s">
        <v>2310</v>
      </c>
      <c r="V393">
        <f t="shared" si="18"/>
        <v>0</v>
      </c>
      <c r="W393">
        <f t="shared" si="19"/>
        <v>0</v>
      </c>
      <c r="X393" t="str">
        <f t="shared" si="20"/>
        <v>MATCH</v>
      </c>
    </row>
    <row r="394" spans="1:24" x14ac:dyDescent="0.3">
      <c r="A394">
        <v>35</v>
      </c>
      <c r="B394" t="s">
        <v>15</v>
      </c>
      <c r="C394">
        <v>9465988.8200000003</v>
      </c>
      <c r="D394" t="s">
        <v>798</v>
      </c>
      <c r="E394">
        <v>9465988.8200000003</v>
      </c>
      <c r="F394">
        <v>0</v>
      </c>
      <c r="G394" t="s">
        <v>799</v>
      </c>
      <c r="H394">
        <v>0</v>
      </c>
      <c r="I394">
        <v>0</v>
      </c>
      <c r="J394">
        <v>1</v>
      </c>
      <c r="K394">
        <v>0</v>
      </c>
      <c r="L394">
        <v>11</v>
      </c>
      <c r="M394">
        <v>0</v>
      </c>
      <c r="N394">
        <v>1</v>
      </c>
      <c r="O394">
        <v>9465988.8200000003</v>
      </c>
      <c r="P394">
        <v>5</v>
      </c>
      <c r="Q394">
        <v>5</v>
      </c>
      <c r="R394">
        <v>4.0999999999999996</v>
      </c>
      <c r="S394" t="s">
        <v>2310</v>
      </c>
      <c r="V394">
        <f t="shared" si="18"/>
        <v>0</v>
      </c>
      <c r="W394">
        <f t="shared" si="19"/>
        <v>0</v>
      </c>
      <c r="X394" t="str">
        <f t="shared" si="20"/>
        <v>MATCH</v>
      </c>
    </row>
    <row r="395" spans="1:24" x14ac:dyDescent="0.3">
      <c r="A395">
        <v>35</v>
      </c>
      <c r="B395" t="s">
        <v>18</v>
      </c>
      <c r="C395">
        <v>9465988.8200000003</v>
      </c>
      <c r="D395" t="s">
        <v>800</v>
      </c>
      <c r="E395">
        <v>9465988.8200000003</v>
      </c>
      <c r="F395">
        <v>0</v>
      </c>
      <c r="G395" t="s">
        <v>801</v>
      </c>
      <c r="H395">
        <v>0</v>
      </c>
      <c r="I395">
        <v>9465988.8200000003</v>
      </c>
      <c r="J395">
        <v>1</v>
      </c>
      <c r="K395">
        <v>0</v>
      </c>
      <c r="L395">
        <v>11</v>
      </c>
      <c r="M395">
        <v>0</v>
      </c>
      <c r="N395">
        <v>1</v>
      </c>
      <c r="O395">
        <v>9465988.8200000003</v>
      </c>
      <c r="P395">
        <v>5</v>
      </c>
      <c r="Q395">
        <v>4</v>
      </c>
      <c r="R395">
        <v>3.8000000000000003</v>
      </c>
      <c r="S395" t="s">
        <v>2310</v>
      </c>
      <c r="V395">
        <f t="shared" si="18"/>
        <v>0</v>
      </c>
      <c r="W395">
        <f t="shared" si="19"/>
        <v>0</v>
      </c>
      <c r="X395" t="str">
        <f t="shared" si="20"/>
        <v>MATCH</v>
      </c>
    </row>
    <row r="396" spans="1:24" x14ac:dyDescent="0.3">
      <c r="A396">
        <v>35</v>
      </c>
      <c r="B396" t="s">
        <v>15</v>
      </c>
      <c r="C396">
        <v>454511.73</v>
      </c>
      <c r="D396" t="s">
        <v>802</v>
      </c>
      <c r="E396">
        <v>454511.73</v>
      </c>
      <c r="F396">
        <v>0</v>
      </c>
      <c r="G396" t="s">
        <v>803</v>
      </c>
      <c r="H396">
        <v>0</v>
      </c>
      <c r="I396">
        <v>0</v>
      </c>
      <c r="J396">
        <v>1</v>
      </c>
      <c r="K396">
        <v>0</v>
      </c>
      <c r="L396">
        <v>11</v>
      </c>
      <c r="M396">
        <v>0</v>
      </c>
      <c r="N396">
        <v>1</v>
      </c>
      <c r="O396">
        <v>454511.73</v>
      </c>
      <c r="P396">
        <v>5</v>
      </c>
      <c r="Q396">
        <v>5</v>
      </c>
      <c r="R396">
        <v>4.0999999999999996</v>
      </c>
      <c r="S396" t="s">
        <v>2310</v>
      </c>
      <c r="V396">
        <f t="shared" si="18"/>
        <v>0</v>
      </c>
      <c r="W396">
        <f t="shared" si="19"/>
        <v>0</v>
      </c>
      <c r="X396" t="str">
        <f t="shared" si="20"/>
        <v>MATCH</v>
      </c>
    </row>
    <row r="397" spans="1:24" x14ac:dyDescent="0.3">
      <c r="A397">
        <v>35</v>
      </c>
      <c r="B397" t="s">
        <v>18</v>
      </c>
      <c r="C397">
        <v>454511.73</v>
      </c>
      <c r="D397" t="s">
        <v>804</v>
      </c>
      <c r="E397">
        <v>454511.73</v>
      </c>
      <c r="F397">
        <v>0</v>
      </c>
      <c r="G397" t="s">
        <v>805</v>
      </c>
      <c r="H397">
        <v>140892.24</v>
      </c>
      <c r="I397">
        <v>595403.98</v>
      </c>
      <c r="J397">
        <v>1</v>
      </c>
      <c r="K397">
        <v>0</v>
      </c>
      <c r="L397">
        <v>11</v>
      </c>
      <c r="M397">
        <v>0</v>
      </c>
      <c r="N397">
        <v>1</v>
      </c>
      <c r="O397">
        <v>454511.73</v>
      </c>
      <c r="P397">
        <v>5</v>
      </c>
      <c r="Q397">
        <v>4</v>
      </c>
      <c r="R397">
        <v>3.8000000000000003</v>
      </c>
      <c r="S397" t="s">
        <v>2310</v>
      </c>
      <c r="V397">
        <f t="shared" si="18"/>
        <v>0</v>
      </c>
      <c r="W397">
        <f t="shared" si="19"/>
        <v>0</v>
      </c>
      <c r="X397" t="str">
        <f t="shared" si="20"/>
        <v>MATCH</v>
      </c>
    </row>
    <row r="398" spans="1:24" x14ac:dyDescent="0.3">
      <c r="A398">
        <v>35</v>
      </c>
      <c r="B398" t="s">
        <v>15</v>
      </c>
      <c r="C398">
        <v>136983.26</v>
      </c>
      <c r="D398" t="s">
        <v>806</v>
      </c>
      <c r="E398">
        <v>136983.26</v>
      </c>
      <c r="F398">
        <v>0</v>
      </c>
      <c r="G398" t="s">
        <v>807</v>
      </c>
      <c r="H398">
        <v>0</v>
      </c>
      <c r="I398">
        <v>0</v>
      </c>
      <c r="J398">
        <v>1</v>
      </c>
      <c r="K398">
        <v>0</v>
      </c>
      <c r="L398">
        <v>11</v>
      </c>
      <c r="M398">
        <v>0</v>
      </c>
      <c r="N398">
        <v>1</v>
      </c>
      <c r="O398">
        <v>136983.26</v>
      </c>
      <c r="P398">
        <v>4</v>
      </c>
      <c r="Q398">
        <v>5</v>
      </c>
      <c r="R398">
        <v>3.6</v>
      </c>
      <c r="S398" t="s">
        <v>2310</v>
      </c>
      <c r="V398">
        <f t="shared" si="18"/>
        <v>0</v>
      </c>
      <c r="W398">
        <f t="shared" si="19"/>
        <v>0</v>
      </c>
      <c r="X398" t="str">
        <f t="shared" si="20"/>
        <v>MATCH</v>
      </c>
    </row>
    <row r="399" spans="1:24" x14ac:dyDescent="0.3">
      <c r="A399">
        <v>35</v>
      </c>
      <c r="B399" t="s">
        <v>18</v>
      </c>
      <c r="C399">
        <v>136983.26</v>
      </c>
      <c r="D399" t="s">
        <v>808</v>
      </c>
      <c r="E399">
        <v>136983.26</v>
      </c>
      <c r="F399">
        <v>0</v>
      </c>
      <c r="G399" t="s">
        <v>809</v>
      </c>
      <c r="H399">
        <v>0</v>
      </c>
      <c r="I399">
        <v>136983.26</v>
      </c>
      <c r="J399">
        <v>1</v>
      </c>
      <c r="K399">
        <v>0</v>
      </c>
      <c r="L399">
        <v>11</v>
      </c>
      <c r="M399">
        <v>0</v>
      </c>
      <c r="N399">
        <v>1</v>
      </c>
      <c r="O399">
        <v>136983.26</v>
      </c>
      <c r="P399">
        <v>4</v>
      </c>
      <c r="Q399">
        <v>4</v>
      </c>
      <c r="R399">
        <v>3.3000000000000003</v>
      </c>
      <c r="S399" t="s">
        <v>2310</v>
      </c>
      <c r="V399">
        <f t="shared" si="18"/>
        <v>0</v>
      </c>
      <c r="W399">
        <f t="shared" si="19"/>
        <v>0</v>
      </c>
      <c r="X399" t="str">
        <f t="shared" si="20"/>
        <v>MATCH</v>
      </c>
    </row>
    <row r="400" spans="1:24" x14ac:dyDescent="0.3">
      <c r="A400">
        <v>36</v>
      </c>
      <c r="B400" t="s">
        <v>15</v>
      </c>
      <c r="C400">
        <v>326884.31</v>
      </c>
      <c r="D400" t="s">
        <v>810</v>
      </c>
      <c r="E400">
        <v>326884.31</v>
      </c>
      <c r="F400">
        <v>0</v>
      </c>
      <c r="G400" t="s">
        <v>811</v>
      </c>
      <c r="H400">
        <v>0</v>
      </c>
      <c r="I400">
        <v>0</v>
      </c>
      <c r="J400">
        <v>1</v>
      </c>
      <c r="K400">
        <v>0</v>
      </c>
      <c r="L400">
        <v>12</v>
      </c>
      <c r="M400">
        <v>0</v>
      </c>
      <c r="N400">
        <v>1</v>
      </c>
      <c r="O400">
        <v>326884.31</v>
      </c>
      <c r="P400">
        <v>5</v>
      </c>
      <c r="Q400">
        <v>5</v>
      </c>
      <c r="R400">
        <v>4.0999999999999996</v>
      </c>
      <c r="S400" t="s">
        <v>2310</v>
      </c>
      <c r="V400">
        <f t="shared" si="18"/>
        <v>0</v>
      </c>
      <c r="W400">
        <f t="shared" si="19"/>
        <v>0</v>
      </c>
      <c r="X400" t="str">
        <f t="shared" si="20"/>
        <v>MATCH</v>
      </c>
    </row>
    <row r="401" spans="1:24" x14ac:dyDescent="0.3">
      <c r="A401">
        <v>36</v>
      </c>
      <c r="B401" t="s">
        <v>18</v>
      </c>
      <c r="C401">
        <v>326884.31</v>
      </c>
      <c r="D401" t="s">
        <v>812</v>
      </c>
      <c r="E401">
        <v>326884.31</v>
      </c>
      <c r="F401">
        <v>0</v>
      </c>
      <c r="G401" t="s">
        <v>813</v>
      </c>
      <c r="H401">
        <v>337428.2</v>
      </c>
      <c r="I401">
        <v>664312.51</v>
      </c>
      <c r="J401">
        <v>1</v>
      </c>
      <c r="K401">
        <v>0</v>
      </c>
      <c r="L401">
        <v>12</v>
      </c>
      <c r="M401">
        <v>0</v>
      </c>
      <c r="N401">
        <v>1</v>
      </c>
      <c r="O401">
        <v>326884.31</v>
      </c>
      <c r="P401">
        <v>5</v>
      </c>
      <c r="Q401">
        <v>4</v>
      </c>
      <c r="R401">
        <v>3.8000000000000003</v>
      </c>
      <c r="S401" t="s">
        <v>2310</v>
      </c>
      <c r="V401">
        <f t="shared" si="18"/>
        <v>0</v>
      </c>
      <c r="W401">
        <f t="shared" si="19"/>
        <v>0</v>
      </c>
      <c r="X401" t="str">
        <f t="shared" si="20"/>
        <v>MATCH</v>
      </c>
    </row>
    <row r="402" spans="1:24" x14ac:dyDescent="0.3">
      <c r="A402">
        <v>36</v>
      </c>
      <c r="B402" t="s">
        <v>15</v>
      </c>
      <c r="C402">
        <v>2352524.1800000002</v>
      </c>
      <c r="D402" t="s">
        <v>814</v>
      </c>
      <c r="E402">
        <v>2352524.1800000002</v>
      </c>
      <c r="F402">
        <v>0</v>
      </c>
      <c r="G402" t="s">
        <v>815</v>
      </c>
      <c r="H402">
        <v>0</v>
      </c>
      <c r="I402">
        <v>0</v>
      </c>
      <c r="J402">
        <v>1</v>
      </c>
      <c r="K402">
        <v>0</v>
      </c>
      <c r="L402">
        <v>12</v>
      </c>
      <c r="M402">
        <v>0</v>
      </c>
      <c r="N402">
        <v>1</v>
      </c>
      <c r="O402">
        <v>2352524.1800000002</v>
      </c>
      <c r="P402">
        <v>5</v>
      </c>
      <c r="Q402">
        <v>5</v>
      </c>
      <c r="R402">
        <v>4.0999999999999996</v>
      </c>
      <c r="S402" t="s">
        <v>2310</v>
      </c>
      <c r="V402">
        <f t="shared" si="18"/>
        <v>0</v>
      </c>
      <c r="W402">
        <f t="shared" si="19"/>
        <v>0</v>
      </c>
      <c r="X402" t="str">
        <f t="shared" si="20"/>
        <v>MATCH</v>
      </c>
    </row>
    <row r="403" spans="1:24" x14ac:dyDescent="0.3">
      <c r="A403">
        <v>36</v>
      </c>
      <c r="B403" t="s">
        <v>18</v>
      </c>
      <c r="C403">
        <v>2352524.1800000002</v>
      </c>
      <c r="D403" t="s">
        <v>816</v>
      </c>
      <c r="E403">
        <v>2352524.1800000002</v>
      </c>
      <c r="F403">
        <v>0</v>
      </c>
      <c r="G403" t="s">
        <v>817</v>
      </c>
      <c r="H403">
        <v>1227902.1200000001</v>
      </c>
      <c r="I403">
        <v>3580426.31</v>
      </c>
      <c r="J403">
        <v>1</v>
      </c>
      <c r="K403">
        <v>0</v>
      </c>
      <c r="L403">
        <v>12</v>
      </c>
      <c r="M403">
        <v>0</v>
      </c>
      <c r="N403">
        <v>1</v>
      </c>
      <c r="O403">
        <v>2352524.1800000002</v>
      </c>
      <c r="P403">
        <v>5</v>
      </c>
      <c r="Q403">
        <v>4</v>
      </c>
      <c r="R403">
        <v>3.8000000000000003</v>
      </c>
      <c r="S403" t="s">
        <v>2310</v>
      </c>
      <c r="V403">
        <f t="shared" si="18"/>
        <v>0</v>
      </c>
      <c r="W403">
        <f t="shared" si="19"/>
        <v>0</v>
      </c>
      <c r="X403" t="str">
        <f t="shared" si="20"/>
        <v>MATCH</v>
      </c>
    </row>
    <row r="404" spans="1:24" x14ac:dyDescent="0.3">
      <c r="A404">
        <v>36</v>
      </c>
      <c r="B404" t="s">
        <v>15</v>
      </c>
      <c r="C404">
        <v>113338.99</v>
      </c>
      <c r="D404" t="s">
        <v>818</v>
      </c>
      <c r="E404">
        <v>113338.99</v>
      </c>
      <c r="F404">
        <v>0</v>
      </c>
      <c r="G404" t="s">
        <v>819</v>
      </c>
      <c r="H404">
        <v>0</v>
      </c>
      <c r="I404">
        <v>0</v>
      </c>
      <c r="J404">
        <v>1</v>
      </c>
      <c r="K404">
        <v>0</v>
      </c>
      <c r="L404">
        <v>12</v>
      </c>
      <c r="M404">
        <v>0</v>
      </c>
      <c r="N404">
        <v>1</v>
      </c>
      <c r="O404">
        <v>113338.99</v>
      </c>
      <c r="P404">
        <v>4</v>
      </c>
      <c r="Q404">
        <v>5</v>
      </c>
      <c r="R404">
        <v>3.6</v>
      </c>
      <c r="S404" t="s">
        <v>2310</v>
      </c>
      <c r="V404">
        <f t="shared" si="18"/>
        <v>0</v>
      </c>
      <c r="W404">
        <f t="shared" si="19"/>
        <v>0</v>
      </c>
      <c r="X404" t="str">
        <f t="shared" si="20"/>
        <v>MATCH</v>
      </c>
    </row>
    <row r="405" spans="1:24" x14ac:dyDescent="0.3">
      <c r="A405">
        <v>36</v>
      </c>
      <c r="B405" t="s">
        <v>18</v>
      </c>
      <c r="C405">
        <v>113338.99</v>
      </c>
      <c r="D405" t="s">
        <v>820</v>
      </c>
      <c r="E405">
        <v>113338.99</v>
      </c>
      <c r="F405">
        <v>0</v>
      </c>
      <c r="G405" t="s">
        <v>821</v>
      </c>
      <c r="H405">
        <v>3290608.15</v>
      </c>
      <c r="I405">
        <v>3403947.14</v>
      </c>
      <c r="J405">
        <v>1</v>
      </c>
      <c r="K405">
        <v>0</v>
      </c>
      <c r="L405">
        <v>12</v>
      </c>
      <c r="M405">
        <v>0</v>
      </c>
      <c r="N405">
        <v>1</v>
      </c>
      <c r="O405">
        <v>113338.99</v>
      </c>
      <c r="P405">
        <v>4</v>
      </c>
      <c r="Q405">
        <v>4</v>
      </c>
      <c r="R405">
        <v>3.3000000000000003</v>
      </c>
      <c r="S405" t="s">
        <v>2310</v>
      </c>
      <c r="V405">
        <f t="shared" si="18"/>
        <v>0</v>
      </c>
      <c r="W405">
        <f t="shared" si="19"/>
        <v>0</v>
      </c>
      <c r="X405" t="str">
        <f t="shared" si="20"/>
        <v>MATCH</v>
      </c>
    </row>
    <row r="406" spans="1:24" x14ac:dyDescent="0.3">
      <c r="A406">
        <v>36</v>
      </c>
      <c r="B406" t="s">
        <v>15</v>
      </c>
      <c r="C406">
        <v>886592.76</v>
      </c>
      <c r="D406" t="s">
        <v>822</v>
      </c>
      <c r="E406">
        <v>886592.76</v>
      </c>
      <c r="F406">
        <v>0</v>
      </c>
      <c r="G406" t="s">
        <v>823</v>
      </c>
      <c r="H406">
        <v>0</v>
      </c>
      <c r="I406">
        <v>0</v>
      </c>
      <c r="J406">
        <v>1</v>
      </c>
      <c r="K406">
        <v>0</v>
      </c>
      <c r="L406">
        <v>12</v>
      </c>
      <c r="M406">
        <v>0</v>
      </c>
      <c r="N406">
        <v>1</v>
      </c>
      <c r="O406">
        <v>886592.76</v>
      </c>
      <c r="P406">
        <v>5</v>
      </c>
      <c r="Q406">
        <v>5</v>
      </c>
      <c r="R406">
        <v>4.0999999999999996</v>
      </c>
      <c r="S406" t="s">
        <v>2310</v>
      </c>
      <c r="V406">
        <f t="shared" si="18"/>
        <v>0</v>
      </c>
      <c r="W406">
        <f t="shared" si="19"/>
        <v>0</v>
      </c>
      <c r="X406" t="str">
        <f t="shared" si="20"/>
        <v>MATCH</v>
      </c>
    </row>
    <row r="407" spans="1:24" x14ac:dyDescent="0.3">
      <c r="A407">
        <v>36</v>
      </c>
      <c r="B407" t="s">
        <v>18</v>
      </c>
      <c r="C407">
        <v>886592.76</v>
      </c>
      <c r="D407" t="s">
        <v>824</v>
      </c>
      <c r="E407">
        <v>886592.76</v>
      </c>
      <c r="F407">
        <v>0</v>
      </c>
      <c r="G407" t="s">
        <v>825</v>
      </c>
      <c r="H407">
        <v>112531.06</v>
      </c>
      <c r="I407">
        <v>999123.82</v>
      </c>
      <c r="J407">
        <v>1</v>
      </c>
      <c r="K407">
        <v>0</v>
      </c>
      <c r="L407">
        <v>12</v>
      </c>
      <c r="M407">
        <v>0</v>
      </c>
      <c r="N407">
        <v>1</v>
      </c>
      <c r="O407">
        <v>886592.76</v>
      </c>
      <c r="P407">
        <v>5</v>
      </c>
      <c r="Q407">
        <v>4</v>
      </c>
      <c r="R407">
        <v>3.8000000000000003</v>
      </c>
      <c r="S407" t="s">
        <v>2310</v>
      </c>
      <c r="V407">
        <f t="shared" si="18"/>
        <v>0</v>
      </c>
      <c r="W407">
        <f t="shared" si="19"/>
        <v>0</v>
      </c>
      <c r="X407" t="str">
        <f t="shared" si="20"/>
        <v>MATCH</v>
      </c>
    </row>
    <row r="408" spans="1:24" x14ac:dyDescent="0.3">
      <c r="A408">
        <v>36</v>
      </c>
      <c r="B408" t="s">
        <v>15</v>
      </c>
      <c r="C408">
        <v>819503.92</v>
      </c>
      <c r="D408" t="s">
        <v>826</v>
      </c>
      <c r="E408">
        <v>819503.92</v>
      </c>
      <c r="F408">
        <v>0</v>
      </c>
      <c r="G408" t="s">
        <v>827</v>
      </c>
      <c r="H408">
        <v>0</v>
      </c>
      <c r="I408">
        <v>0</v>
      </c>
      <c r="J408">
        <v>1</v>
      </c>
      <c r="K408">
        <v>0</v>
      </c>
      <c r="L408">
        <v>12</v>
      </c>
      <c r="M408">
        <v>0</v>
      </c>
      <c r="N408">
        <v>1</v>
      </c>
      <c r="O408">
        <v>819503.92</v>
      </c>
      <c r="P408">
        <v>5</v>
      </c>
      <c r="Q408">
        <v>5</v>
      </c>
      <c r="R408">
        <v>4.0999999999999996</v>
      </c>
      <c r="S408" t="s">
        <v>2310</v>
      </c>
      <c r="V408">
        <f t="shared" si="18"/>
        <v>0</v>
      </c>
      <c r="W408">
        <f t="shared" si="19"/>
        <v>0</v>
      </c>
      <c r="X408" t="str">
        <f t="shared" si="20"/>
        <v>MATCH</v>
      </c>
    </row>
    <row r="409" spans="1:24" x14ac:dyDescent="0.3">
      <c r="A409">
        <v>36</v>
      </c>
      <c r="B409" t="s">
        <v>18</v>
      </c>
      <c r="C409">
        <v>819503.92</v>
      </c>
      <c r="D409" t="s">
        <v>828</v>
      </c>
      <c r="E409">
        <v>819503.92</v>
      </c>
      <c r="F409">
        <v>0</v>
      </c>
      <c r="G409" t="s">
        <v>829</v>
      </c>
      <c r="H409">
        <v>255585.23</v>
      </c>
      <c r="I409">
        <v>1470226.48</v>
      </c>
      <c r="J409">
        <v>1</v>
      </c>
      <c r="K409">
        <v>0</v>
      </c>
      <c r="L409">
        <v>12</v>
      </c>
      <c r="M409">
        <v>0</v>
      </c>
      <c r="N409">
        <v>1</v>
      </c>
      <c r="O409">
        <v>819503.92</v>
      </c>
      <c r="P409">
        <v>5</v>
      </c>
      <c r="Q409">
        <v>4</v>
      </c>
      <c r="R409">
        <v>3.8000000000000003</v>
      </c>
      <c r="S409" t="s">
        <v>2310</v>
      </c>
      <c r="V409">
        <f t="shared" si="18"/>
        <v>0</v>
      </c>
      <c r="W409">
        <f t="shared" si="19"/>
        <v>0</v>
      </c>
      <c r="X409" t="str">
        <f t="shared" si="20"/>
        <v>MATCH</v>
      </c>
    </row>
    <row r="410" spans="1:24" x14ac:dyDescent="0.3">
      <c r="A410">
        <v>36</v>
      </c>
      <c r="B410" t="s">
        <v>15</v>
      </c>
      <c r="C410">
        <v>636</v>
      </c>
      <c r="D410" t="s">
        <v>830</v>
      </c>
      <c r="E410">
        <v>636</v>
      </c>
      <c r="F410">
        <v>0</v>
      </c>
      <c r="G410" t="s">
        <v>831</v>
      </c>
      <c r="H410">
        <v>0</v>
      </c>
      <c r="I410">
        <v>0</v>
      </c>
      <c r="J410">
        <v>1</v>
      </c>
      <c r="K410">
        <v>0</v>
      </c>
      <c r="L410">
        <v>12</v>
      </c>
      <c r="M410">
        <v>0</v>
      </c>
      <c r="N410">
        <v>1</v>
      </c>
      <c r="O410">
        <v>636</v>
      </c>
      <c r="P410">
        <v>1</v>
      </c>
      <c r="Q410">
        <v>5</v>
      </c>
      <c r="R410">
        <v>2.1</v>
      </c>
      <c r="S410" t="s">
        <v>2312</v>
      </c>
      <c r="V410">
        <f t="shared" si="18"/>
        <v>0</v>
      </c>
      <c r="W410">
        <f t="shared" si="19"/>
        <v>0</v>
      </c>
      <c r="X410" t="str">
        <f t="shared" si="20"/>
        <v>MATCH</v>
      </c>
    </row>
    <row r="411" spans="1:24" x14ac:dyDescent="0.3">
      <c r="A411">
        <v>36</v>
      </c>
      <c r="B411" t="s">
        <v>18</v>
      </c>
      <c r="C411">
        <v>636</v>
      </c>
      <c r="D411" t="s">
        <v>832</v>
      </c>
      <c r="E411">
        <v>636</v>
      </c>
      <c r="F411">
        <v>0</v>
      </c>
      <c r="G411" t="s">
        <v>833</v>
      </c>
      <c r="H411">
        <v>0</v>
      </c>
      <c r="I411">
        <v>636</v>
      </c>
      <c r="J411">
        <v>1</v>
      </c>
      <c r="K411">
        <v>0</v>
      </c>
      <c r="L411">
        <v>12</v>
      </c>
      <c r="M411">
        <v>0</v>
      </c>
      <c r="N411">
        <v>1</v>
      </c>
      <c r="O411">
        <v>636</v>
      </c>
      <c r="P411">
        <v>1</v>
      </c>
      <c r="Q411">
        <v>4</v>
      </c>
      <c r="R411">
        <v>1.8</v>
      </c>
      <c r="S411" t="s">
        <v>2311</v>
      </c>
      <c r="V411">
        <f t="shared" si="18"/>
        <v>0</v>
      </c>
      <c r="W411">
        <f t="shared" si="19"/>
        <v>0</v>
      </c>
      <c r="X411" t="str">
        <f t="shared" si="20"/>
        <v>MATCH</v>
      </c>
    </row>
    <row r="412" spans="1:24" x14ac:dyDescent="0.3">
      <c r="A412">
        <v>36</v>
      </c>
      <c r="B412" t="s">
        <v>15</v>
      </c>
      <c r="C412">
        <v>32382.959999999999</v>
      </c>
      <c r="D412" t="s">
        <v>834</v>
      </c>
      <c r="E412">
        <v>32382.959999999999</v>
      </c>
      <c r="F412">
        <v>0</v>
      </c>
      <c r="G412" t="s">
        <v>835</v>
      </c>
      <c r="H412">
        <v>0</v>
      </c>
      <c r="I412">
        <v>0</v>
      </c>
      <c r="J412">
        <v>1</v>
      </c>
      <c r="K412">
        <v>0</v>
      </c>
      <c r="L412">
        <v>12</v>
      </c>
      <c r="M412">
        <v>0</v>
      </c>
      <c r="N412">
        <v>1</v>
      </c>
      <c r="O412">
        <v>32382.959999999999</v>
      </c>
      <c r="P412">
        <v>2</v>
      </c>
      <c r="Q412">
        <v>5</v>
      </c>
      <c r="R412">
        <v>2.6</v>
      </c>
      <c r="S412" t="s">
        <v>2312</v>
      </c>
      <c r="V412">
        <f t="shared" si="18"/>
        <v>0</v>
      </c>
      <c r="W412">
        <f t="shared" si="19"/>
        <v>0</v>
      </c>
      <c r="X412" t="str">
        <f t="shared" si="20"/>
        <v>MATCH</v>
      </c>
    </row>
    <row r="413" spans="1:24" x14ac:dyDescent="0.3">
      <c r="A413">
        <v>36</v>
      </c>
      <c r="B413" t="s">
        <v>18</v>
      </c>
      <c r="C413">
        <v>32382.959999999999</v>
      </c>
      <c r="D413" t="s">
        <v>836</v>
      </c>
      <c r="E413">
        <v>32382.959999999999</v>
      </c>
      <c r="F413">
        <v>0</v>
      </c>
      <c r="G413" t="s">
        <v>837</v>
      </c>
      <c r="H413">
        <v>0</v>
      </c>
      <c r="I413">
        <v>32382.959999999999</v>
      </c>
      <c r="J413">
        <v>1</v>
      </c>
      <c r="K413">
        <v>0</v>
      </c>
      <c r="L413">
        <v>12</v>
      </c>
      <c r="M413">
        <v>0</v>
      </c>
      <c r="N413">
        <v>1</v>
      </c>
      <c r="O413">
        <v>32382.959999999999</v>
      </c>
      <c r="P413">
        <v>2</v>
      </c>
      <c r="Q413">
        <v>4</v>
      </c>
      <c r="R413">
        <v>2.3000000000000003</v>
      </c>
      <c r="S413" t="s">
        <v>2312</v>
      </c>
      <c r="V413">
        <f t="shared" si="18"/>
        <v>0</v>
      </c>
      <c r="W413">
        <f t="shared" si="19"/>
        <v>0</v>
      </c>
      <c r="X413" t="str">
        <f t="shared" si="20"/>
        <v>MATCH</v>
      </c>
    </row>
    <row r="414" spans="1:24" x14ac:dyDescent="0.3">
      <c r="A414">
        <v>36</v>
      </c>
      <c r="B414" t="s">
        <v>15</v>
      </c>
      <c r="C414">
        <v>103056</v>
      </c>
      <c r="D414" t="s">
        <v>838</v>
      </c>
      <c r="E414">
        <v>103056</v>
      </c>
      <c r="F414">
        <v>0</v>
      </c>
      <c r="G414" t="s">
        <v>839</v>
      </c>
      <c r="H414">
        <v>0</v>
      </c>
      <c r="I414">
        <v>0</v>
      </c>
      <c r="J414">
        <v>1</v>
      </c>
      <c r="K414">
        <v>0</v>
      </c>
      <c r="L414">
        <v>12</v>
      </c>
      <c r="M414">
        <v>0</v>
      </c>
      <c r="N414">
        <v>1</v>
      </c>
      <c r="O414">
        <v>103056</v>
      </c>
      <c r="P414">
        <v>4</v>
      </c>
      <c r="Q414">
        <v>5</v>
      </c>
      <c r="R414">
        <v>3.6</v>
      </c>
      <c r="S414" t="s">
        <v>2310</v>
      </c>
      <c r="V414">
        <f t="shared" si="18"/>
        <v>0</v>
      </c>
      <c r="W414">
        <f t="shared" si="19"/>
        <v>0</v>
      </c>
      <c r="X414" t="str">
        <f t="shared" si="20"/>
        <v>MATCH</v>
      </c>
    </row>
    <row r="415" spans="1:24" x14ac:dyDescent="0.3">
      <c r="A415">
        <v>36</v>
      </c>
      <c r="B415" t="s">
        <v>18</v>
      </c>
      <c r="C415">
        <v>103056</v>
      </c>
      <c r="D415" t="s">
        <v>840</v>
      </c>
      <c r="E415">
        <v>103056</v>
      </c>
      <c r="F415">
        <v>0</v>
      </c>
      <c r="G415" t="s">
        <v>841</v>
      </c>
      <c r="H415">
        <v>444182.13</v>
      </c>
      <c r="I415">
        <v>547238.13</v>
      </c>
      <c r="J415">
        <v>1</v>
      </c>
      <c r="K415">
        <v>0</v>
      </c>
      <c r="L415">
        <v>12</v>
      </c>
      <c r="M415">
        <v>0</v>
      </c>
      <c r="N415">
        <v>1</v>
      </c>
      <c r="O415">
        <v>103056</v>
      </c>
      <c r="P415">
        <v>4</v>
      </c>
      <c r="Q415">
        <v>4</v>
      </c>
      <c r="R415">
        <v>3.3000000000000003</v>
      </c>
      <c r="S415" t="s">
        <v>2310</v>
      </c>
      <c r="V415">
        <f t="shared" si="18"/>
        <v>0</v>
      </c>
      <c r="W415">
        <f t="shared" si="19"/>
        <v>0</v>
      </c>
      <c r="X415" t="str">
        <f t="shared" si="20"/>
        <v>MATCH</v>
      </c>
    </row>
    <row r="416" spans="1:24" x14ac:dyDescent="0.3">
      <c r="A416">
        <v>36</v>
      </c>
      <c r="B416" t="s">
        <v>18</v>
      </c>
      <c r="C416">
        <v>234377.29</v>
      </c>
      <c r="D416" t="s">
        <v>842</v>
      </c>
      <c r="E416">
        <v>0</v>
      </c>
      <c r="F416">
        <v>0</v>
      </c>
      <c r="G416" t="s">
        <v>843</v>
      </c>
      <c r="H416">
        <v>34937.86</v>
      </c>
      <c r="I416">
        <v>269315.15000000002</v>
      </c>
      <c r="J416">
        <v>1</v>
      </c>
      <c r="K416">
        <v>0</v>
      </c>
      <c r="L416">
        <v>12</v>
      </c>
      <c r="M416">
        <v>0</v>
      </c>
      <c r="N416">
        <v>0</v>
      </c>
      <c r="O416">
        <v>0</v>
      </c>
      <c r="P416">
        <v>5</v>
      </c>
      <c r="Q416">
        <v>4</v>
      </c>
      <c r="R416">
        <v>3.7</v>
      </c>
      <c r="S416" t="s">
        <v>2310</v>
      </c>
      <c r="V416">
        <f t="shared" si="18"/>
        <v>-234377.29</v>
      </c>
      <c r="W416">
        <f t="shared" si="19"/>
        <v>234377.29</v>
      </c>
      <c r="X416" t="str">
        <f t="shared" si="20"/>
        <v>BREAK</v>
      </c>
    </row>
    <row r="417" spans="1:24" x14ac:dyDescent="0.3">
      <c r="A417">
        <v>36</v>
      </c>
      <c r="B417" t="s">
        <v>15</v>
      </c>
      <c r="C417">
        <v>1684039.12</v>
      </c>
      <c r="D417" t="s">
        <v>844</v>
      </c>
      <c r="E417">
        <v>1684039.12</v>
      </c>
      <c r="F417">
        <v>0</v>
      </c>
      <c r="G417" t="s">
        <v>845</v>
      </c>
      <c r="H417">
        <v>0</v>
      </c>
      <c r="I417">
        <v>0</v>
      </c>
      <c r="J417">
        <v>1</v>
      </c>
      <c r="K417">
        <v>0</v>
      </c>
      <c r="L417">
        <v>12</v>
      </c>
      <c r="M417">
        <v>0</v>
      </c>
      <c r="N417">
        <v>1</v>
      </c>
      <c r="O417">
        <v>1684039.12</v>
      </c>
      <c r="P417">
        <v>5</v>
      </c>
      <c r="Q417">
        <v>5</v>
      </c>
      <c r="R417">
        <v>4.0999999999999996</v>
      </c>
      <c r="S417" t="s">
        <v>2310</v>
      </c>
      <c r="V417">
        <f t="shared" si="18"/>
        <v>0</v>
      </c>
      <c r="W417">
        <f t="shared" si="19"/>
        <v>0</v>
      </c>
      <c r="X417" t="str">
        <f t="shared" si="20"/>
        <v>MATCH</v>
      </c>
    </row>
    <row r="418" spans="1:24" x14ac:dyDescent="0.3">
      <c r="A418">
        <v>36</v>
      </c>
      <c r="B418" t="s">
        <v>18</v>
      </c>
      <c r="C418">
        <v>1684039.12</v>
      </c>
      <c r="D418" t="s">
        <v>846</v>
      </c>
      <c r="E418">
        <v>1684039.12</v>
      </c>
      <c r="F418">
        <v>0</v>
      </c>
      <c r="G418" t="s">
        <v>99</v>
      </c>
      <c r="H418">
        <v>33000000</v>
      </c>
      <c r="I418">
        <v>34600000</v>
      </c>
      <c r="J418">
        <v>1</v>
      </c>
      <c r="K418">
        <v>0</v>
      </c>
      <c r="L418">
        <v>12</v>
      </c>
      <c r="M418">
        <v>0</v>
      </c>
      <c r="N418">
        <v>1</v>
      </c>
      <c r="O418">
        <v>1684039.12</v>
      </c>
      <c r="P418">
        <v>5</v>
      </c>
      <c r="Q418">
        <v>4</v>
      </c>
      <c r="R418">
        <v>3.8000000000000003</v>
      </c>
      <c r="S418" t="s">
        <v>2310</v>
      </c>
      <c r="V418">
        <f t="shared" si="18"/>
        <v>0</v>
      </c>
      <c r="W418">
        <f t="shared" si="19"/>
        <v>0</v>
      </c>
      <c r="X418" t="str">
        <f t="shared" si="20"/>
        <v>MATCH</v>
      </c>
    </row>
    <row r="419" spans="1:24" x14ac:dyDescent="0.3">
      <c r="A419">
        <v>37</v>
      </c>
      <c r="B419" t="s">
        <v>15</v>
      </c>
      <c r="C419">
        <v>1842</v>
      </c>
      <c r="D419" t="s">
        <v>847</v>
      </c>
      <c r="E419">
        <v>1842</v>
      </c>
      <c r="F419">
        <v>0</v>
      </c>
      <c r="G419" t="s">
        <v>848</v>
      </c>
      <c r="H419">
        <v>0</v>
      </c>
      <c r="I419">
        <v>0</v>
      </c>
      <c r="J419">
        <v>1</v>
      </c>
      <c r="K419">
        <v>0</v>
      </c>
      <c r="L419">
        <v>13</v>
      </c>
      <c r="M419">
        <v>0</v>
      </c>
      <c r="N419">
        <v>1</v>
      </c>
      <c r="O419">
        <v>1842</v>
      </c>
      <c r="P419">
        <v>1</v>
      </c>
      <c r="Q419">
        <v>5</v>
      </c>
      <c r="R419">
        <v>2.1</v>
      </c>
      <c r="S419" t="s">
        <v>2312</v>
      </c>
      <c r="V419">
        <f t="shared" si="18"/>
        <v>0</v>
      </c>
      <c r="W419">
        <f t="shared" si="19"/>
        <v>0</v>
      </c>
      <c r="X419" t="str">
        <f t="shared" si="20"/>
        <v>MATCH</v>
      </c>
    </row>
    <row r="420" spans="1:24" x14ac:dyDescent="0.3">
      <c r="A420">
        <v>37</v>
      </c>
      <c r="B420" t="s">
        <v>18</v>
      </c>
      <c r="C420">
        <v>1842</v>
      </c>
      <c r="D420" t="s">
        <v>849</v>
      </c>
      <c r="E420">
        <v>1842</v>
      </c>
      <c r="F420">
        <v>0</v>
      </c>
      <c r="G420" t="s">
        <v>850</v>
      </c>
      <c r="H420">
        <v>0</v>
      </c>
      <c r="I420">
        <v>1842</v>
      </c>
      <c r="J420">
        <v>1</v>
      </c>
      <c r="K420">
        <v>0</v>
      </c>
      <c r="L420">
        <v>13</v>
      </c>
      <c r="M420">
        <v>0</v>
      </c>
      <c r="N420">
        <v>1</v>
      </c>
      <c r="O420">
        <v>1842</v>
      </c>
      <c r="P420">
        <v>1</v>
      </c>
      <c r="Q420">
        <v>4</v>
      </c>
      <c r="R420">
        <v>1.8</v>
      </c>
      <c r="S420" t="s">
        <v>2311</v>
      </c>
      <c r="V420">
        <f t="shared" si="18"/>
        <v>0</v>
      </c>
      <c r="W420">
        <f t="shared" si="19"/>
        <v>0</v>
      </c>
      <c r="X420" t="str">
        <f t="shared" si="20"/>
        <v>MATCH</v>
      </c>
    </row>
    <row r="421" spans="1:24" x14ac:dyDescent="0.3">
      <c r="A421">
        <v>37</v>
      </c>
      <c r="B421" t="s">
        <v>15</v>
      </c>
      <c r="C421">
        <v>180967.56</v>
      </c>
      <c r="D421" t="s">
        <v>851</v>
      </c>
      <c r="E421">
        <v>180967.56</v>
      </c>
      <c r="F421">
        <v>0</v>
      </c>
      <c r="G421" t="s">
        <v>852</v>
      </c>
      <c r="H421">
        <v>0</v>
      </c>
      <c r="I421">
        <v>0</v>
      </c>
      <c r="J421">
        <v>1</v>
      </c>
      <c r="K421">
        <v>0</v>
      </c>
      <c r="L421">
        <v>13</v>
      </c>
      <c r="M421">
        <v>0</v>
      </c>
      <c r="N421">
        <v>1</v>
      </c>
      <c r="O421">
        <v>180967.56</v>
      </c>
      <c r="P421">
        <v>4</v>
      </c>
      <c r="Q421">
        <v>5</v>
      </c>
      <c r="R421">
        <v>3.6</v>
      </c>
      <c r="S421" t="s">
        <v>2310</v>
      </c>
      <c r="V421">
        <f t="shared" si="18"/>
        <v>0</v>
      </c>
      <c r="W421">
        <f t="shared" si="19"/>
        <v>0</v>
      </c>
      <c r="X421" t="str">
        <f t="shared" si="20"/>
        <v>MATCH</v>
      </c>
    </row>
    <row r="422" spans="1:24" x14ac:dyDescent="0.3">
      <c r="A422">
        <v>37</v>
      </c>
      <c r="B422" t="s">
        <v>18</v>
      </c>
      <c r="C422">
        <v>180967.56</v>
      </c>
      <c r="D422" t="s">
        <v>853</v>
      </c>
      <c r="E422">
        <v>180967.56</v>
      </c>
      <c r="F422">
        <v>0</v>
      </c>
      <c r="G422" t="s">
        <v>854</v>
      </c>
      <c r="H422">
        <v>95280.53</v>
      </c>
      <c r="I422">
        <v>276248.09999999998</v>
      </c>
      <c r="J422">
        <v>1</v>
      </c>
      <c r="K422">
        <v>0</v>
      </c>
      <c r="L422">
        <v>13</v>
      </c>
      <c r="M422">
        <v>0</v>
      </c>
      <c r="N422">
        <v>1</v>
      </c>
      <c r="O422">
        <v>180967.56</v>
      </c>
      <c r="P422">
        <v>4</v>
      </c>
      <c r="Q422">
        <v>4</v>
      </c>
      <c r="R422">
        <v>3.3000000000000003</v>
      </c>
      <c r="S422" t="s">
        <v>2310</v>
      </c>
      <c r="V422">
        <f t="shared" si="18"/>
        <v>0</v>
      </c>
      <c r="W422">
        <f t="shared" si="19"/>
        <v>0</v>
      </c>
      <c r="X422" t="str">
        <f t="shared" si="20"/>
        <v>MATCH</v>
      </c>
    </row>
    <row r="423" spans="1:24" x14ac:dyDescent="0.3">
      <c r="A423">
        <v>37</v>
      </c>
      <c r="B423" t="s">
        <v>15</v>
      </c>
      <c r="C423">
        <v>93083.27</v>
      </c>
      <c r="D423" t="s">
        <v>855</v>
      </c>
      <c r="E423">
        <v>93083.27</v>
      </c>
      <c r="F423">
        <v>0</v>
      </c>
      <c r="G423" t="s">
        <v>856</v>
      </c>
      <c r="H423">
        <v>0</v>
      </c>
      <c r="I423">
        <v>0</v>
      </c>
      <c r="J423">
        <v>1</v>
      </c>
      <c r="K423">
        <v>0</v>
      </c>
      <c r="L423">
        <v>13</v>
      </c>
      <c r="M423">
        <v>0</v>
      </c>
      <c r="N423">
        <v>1</v>
      </c>
      <c r="O423">
        <v>93083.27</v>
      </c>
      <c r="P423">
        <v>3</v>
      </c>
      <c r="Q423">
        <v>5</v>
      </c>
      <c r="R423">
        <v>3.1</v>
      </c>
      <c r="S423" t="s">
        <v>2310</v>
      </c>
      <c r="V423">
        <f t="shared" si="18"/>
        <v>0</v>
      </c>
      <c r="W423">
        <f t="shared" si="19"/>
        <v>0</v>
      </c>
      <c r="X423" t="str">
        <f t="shared" si="20"/>
        <v>MATCH</v>
      </c>
    </row>
    <row r="424" spans="1:24" x14ac:dyDescent="0.3">
      <c r="A424">
        <v>37</v>
      </c>
      <c r="B424" t="s">
        <v>18</v>
      </c>
      <c r="C424">
        <v>93083.27</v>
      </c>
      <c r="D424" t="s">
        <v>857</v>
      </c>
      <c r="E424">
        <v>93083.27</v>
      </c>
      <c r="F424">
        <v>0</v>
      </c>
      <c r="G424" t="s">
        <v>858</v>
      </c>
      <c r="H424">
        <v>2466124.85</v>
      </c>
      <c r="I424">
        <v>2559208.13</v>
      </c>
      <c r="J424">
        <v>1</v>
      </c>
      <c r="K424">
        <v>0</v>
      </c>
      <c r="L424">
        <v>13</v>
      </c>
      <c r="M424">
        <v>0</v>
      </c>
      <c r="N424">
        <v>1</v>
      </c>
      <c r="O424">
        <v>93083.27</v>
      </c>
      <c r="P424">
        <v>3</v>
      </c>
      <c r="Q424">
        <v>4</v>
      </c>
      <c r="R424">
        <v>2.8000000000000003</v>
      </c>
      <c r="S424" t="s">
        <v>2312</v>
      </c>
      <c r="V424">
        <f t="shared" si="18"/>
        <v>0</v>
      </c>
      <c r="W424">
        <f t="shared" si="19"/>
        <v>0</v>
      </c>
      <c r="X424" t="str">
        <f t="shared" si="20"/>
        <v>MATCH</v>
      </c>
    </row>
    <row r="425" spans="1:24" x14ac:dyDescent="0.3">
      <c r="A425">
        <v>37</v>
      </c>
      <c r="B425" t="s">
        <v>15</v>
      </c>
      <c r="C425">
        <v>5979556.0599999996</v>
      </c>
      <c r="D425" t="s">
        <v>859</v>
      </c>
      <c r="E425">
        <v>5979556.0599999996</v>
      </c>
      <c r="F425">
        <v>0</v>
      </c>
      <c r="G425" t="s">
        <v>860</v>
      </c>
      <c r="H425">
        <v>0</v>
      </c>
      <c r="I425">
        <v>0</v>
      </c>
      <c r="J425">
        <v>1</v>
      </c>
      <c r="K425">
        <v>0</v>
      </c>
      <c r="L425">
        <v>13</v>
      </c>
      <c r="M425">
        <v>0</v>
      </c>
      <c r="N425">
        <v>1</v>
      </c>
      <c r="O425">
        <v>5979556.0599999996</v>
      </c>
      <c r="P425">
        <v>5</v>
      </c>
      <c r="Q425">
        <v>5</v>
      </c>
      <c r="R425">
        <v>4.0999999999999996</v>
      </c>
      <c r="S425" t="s">
        <v>2310</v>
      </c>
      <c r="V425">
        <f t="shared" si="18"/>
        <v>0</v>
      </c>
      <c r="W425">
        <f t="shared" si="19"/>
        <v>0</v>
      </c>
      <c r="X425" t="str">
        <f t="shared" si="20"/>
        <v>MATCH</v>
      </c>
    </row>
    <row r="426" spans="1:24" x14ac:dyDescent="0.3">
      <c r="A426">
        <v>37</v>
      </c>
      <c r="B426" t="s">
        <v>18</v>
      </c>
      <c r="C426">
        <v>5979556.0599999996</v>
      </c>
      <c r="D426" t="s">
        <v>861</v>
      </c>
      <c r="E426">
        <v>5979556.0599999996</v>
      </c>
      <c r="F426">
        <v>0</v>
      </c>
      <c r="G426" t="s">
        <v>862</v>
      </c>
      <c r="H426">
        <v>0</v>
      </c>
      <c r="I426">
        <v>5979556.0599999996</v>
      </c>
      <c r="J426">
        <v>1</v>
      </c>
      <c r="K426">
        <v>0</v>
      </c>
      <c r="L426">
        <v>13</v>
      </c>
      <c r="M426">
        <v>0</v>
      </c>
      <c r="N426">
        <v>1</v>
      </c>
      <c r="O426">
        <v>5979556.0599999996</v>
      </c>
      <c r="P426">
        <v>5</v>
      </c>
      <c r="Q426">
        <v>4</v>
      </c>
      <c r="R426">
        <v>3.8000000000000003</v>
      </c>
      <c r="S426" t="s">
        <v>2310</v>
      </c>
      <c r="V426">
        <f t="shared" si="18"/>
        <v>0</v>
      </c>
      <c r="W426">
        <f t="shared" si="19"/>
        <v>0</v>
      </c>
      <c r="X426" t="str">
        <f t="shared" si="20"/>
        <v>MATCH</v>
      </c>
    </row>
    <row r="427" spans="1:24" x14ac:dyDescent="0.3">
      <c r="A427">
        <v>37</v>
      </c>
      <c r="B427" t="s">
        <v>15</v>
      </c>
      <c r="C427">
        <v>128133</v>
      </c>
      <c r="D427" t="s">
        <v>863</v>
      </c>
      <c r="E427">
        <v>128133</v>
      </c>
      <c r="F427">
        <v>0</v>
      </c>
      <c r="G427" t="s">
        <v>864</v>
      </c>
      <c r="H427">
        <v>0</v>
      </c>
      <c r="I427">
        <v>0</v>
      </c>
      <c r="J427">
        <v>1</v>
      </c>
      <c r="K427">
        <v>0</v>
      </c>
      <c r="L427">
        <v>13</v>
      </c>
      <c r="M427">
        <v>0</v>
      </c>
      <c r="N427">
        <v>1</v>
      </c>
      <c r="O427">
        <v>128133</v>
      </c>
      <c r="P427">
        <v>4</v>
      </c>
      <c r="Q427">
        <v>5</v>
      </c>
      <c r="R427">
        <v>3.6</v>
      </c>
      <c r="S427" t="s">
        <v>2310</v>
      </c>
      <c r="V427">
        <f t="shared" si="18"/>
        <v>0</v>
      </c>
      <c r="W427">
        <f t="shared" si="19"/>
        <v>0</v>
      </c>
      <c r="X427" t="str">
        <f t="shared" si="20"/>
        <v>MATCH</v>
      </c>
    </row>
    <row r="428" spans="1:24" x14ac:dyDescent="0.3">
      <c r="A428">
        <v>37</v>
      </c>
      <c r="B428" t="s">
        <v>18</v>
      </c>
      <c r="C428">
        <v>128133</v>
      </c>
      <c r="D428" t="s">
        <v>865</v>
      </c>
      <c r="E428">
        <v>128133</v>
      </c>
      <c r="F428">
        <v>0</v>
      </c>
      <c r="G428" t="s">
        <v>866</v>
      </c>
      <c r="H428">
        <v>160395.62</v>
      </c>
      <c r="I428">
        <v>288528.62</v>
      </c>
      <c r="J428">
        <v>1</v>
      </c>
      <c r="K428">
        <v>0</v>
      </c>
      <c r="L428">
        <v>13</v>
      </c>
      <c r="M428">
        <v>0</v>
      </c>
      <c r="N428">
        <v>1</v>
      </c>
      <c r="O428">
        <v>128133</v>
      </c>
      <c r="P428">
        <v>4</v>
      </c>
      <c r="Q428">
        <v>4</v>
      </c>
      <c r="R428">
        <v>3.3000000000000003</v>
      </c>
      <c r="S428" t="s">
        <v>2310</v>
      </c>
      <c r="V428">
        <f t="shared" si="18"/>
        <v>0</v>
      </c>
      <c r="W428">
        <f t="shared" si="19"/>
        <v>0</v>
      </c>
      <c r="X428" t="str">
        <f t="shared" si="20"/>
        <v>MATCH</v>
      </c>
    </row>
    <row r="429" spans="1:24" x14ac:dyDescent="0.3">
      <c r="A429">
        <v>37</v>
      </c>
      <c r="B429" t="s">
        <v>15</v>
      </c>
      <c r="C429">
        <v>503793.25</v>
      </c>
      <c r="D429" t="s">
        <v>867</v>
      </c>
      <c r="E429">
        <v>503793.25</v>
      </c>
      <c r="F429">
        <v>0</v>
      </c>
      <c r="G429" t="s">
        <v>868</v>
      </c>
      <c r="H429">
        <v>0</v>
      </c>
      <c r="I429">
        <v>95709.62</v>
      </c>
      <c r="J429">
        <v>1</v>
      </c>
      <c r="K429">
        <v>0</v>
      </c>
      <c r="L429">
        <v>13</v>
      </c>
      <c r="M429">
        <v>0</v>
      </c>
      <c r="N429">
        <v>1</v>
      </c>
      <c r="O429">
        <v>503793.25</v>
      </c>
      <c r="P429">
        <v>5</v>
      </c>
      <c r="Q429">
        <v>5</v>
      </c>
      <c r="R429">
        <v>4.0999999999999996</v>
      </c>
      <c r="S429" t="s">
        <v>2310</v>
      </c>
      <c r="V429">
        <f t="shared" si="18"/>
        <v>0</v>
      </c>
      <c r="W429">
        <f t="shared" si="19"/>
        <v>0</v>
      </c>
      <c r="X429" t="str">
        <f t="shared" si="20"/>
        <v>MATCH</v>
      </c>
    </row>
    <row r="430" spans="1:24" x14ac:dyDescent="0.3">
      <c r="A430">
        <v>37</v>
      </c>
      <c r="B430" t="s">
        <v>18</v>
      </c>
      <c r="C430">
        <v>503793.25</v>
      </c>
      <c r="D430" t="s">
        <v>869</v>
      </c>
      <c r="E430">
        <v>503793.25</v>
      </c>
      <c r="F430">
        <v>0</v>
      </c>
      <c r="G430" t="s">
        <v>870</v>
      </c>
      <c r="H430">
        <v>10100000</v>
      </c>
      <c r="I430">
        <v>10600000</v>
      </c>
      <c r="J430">
        <v>1</v>
      </c>
      <c r="K430">
        <v>0</v>
      </c>
      <c r="L430">
        <v>13</v>
      </c>
      <c r="M430">
        <v>0</v>
      </c>
      <c r="N430">
        <v>1</v>
      </c>
      <c r="O430">
        <v>503793.25</v>
      </c>
      <c r="P430">
        <v>5</v>
      </c>
      <c r="Q430">
        <v>4</v>
      </c>
      <c r="R430">
        <v>3.8000000000000003</v>
      </c>
      <c r="S430" t="s">
        <v>2310</v>
      </c>
      <c r="V430">
        <f t="shared" si="18"/>
        <v>0</v>
      </c>
      <c r="W430">
        <f t="shared" si="19"/>
        <v>0</v>
      </c>
      <c r="X430" t="str">
        <f t="shared" si="20"/>
        <v>MATCH</v>
      </c>
    </row>
    <row r="431" spans="1:24" x14ac:dyDescent="0.3">
      <c r="A431">
        <v>37</v>
      </c>
      <c r="B431" t="s">
        <v>18</v>
      </c>
      <c r="C431">
        <v>112486.46</v>
      </c>
      <c r="D431" t="s">
        <v>871</v>
      </c>
      <c r="E431">
        <v>0</v>
      </c>
      <c r="F431">
        <v>0</v>
      </c>
      <c r="G431" t="s">
        <v>872</v>
      </c>
      <c r="H431">
        <v>257274.47</v>
      </c>
      <c r="I431">
        <v>369760.93</v>
      </c>
      <c r="J431">
        <v>1</v>
      </c>
      <c r="K431">
        <v>0</v>
      </c>
      <c r="L431">
        <v>13</v>
      </c>
      <c r="M431">
        <v>0</v>
      </c>
      <c r="N431">
        <v>0</v>
      </c>
      <c r="O431">
        <v>0</v>
      </c>
      <c r="P431">
        <v>4</v>
      </c>
      <c r="Q431">
        <v>4</v>
      </c>
      <c r="R431">
        <v>3.2</v>
      </c>
      <c r="S431" t="s">
        <v>2310</v>
      </c>
      <c r="V431">
        <f t="shared" si="18"/>
        <v>-112486.46</v>
      </c>
      <c r="W431">
        <f t="shared" si="19"/>
        <v>112486.46</v>
      </c>
      <c r="X431" t="str">
        <f t="shared" si="20"/>
        <v>BREAK</v>
      </c>
    </row>
    <row r="432" spans="1:24" x14ac:dyDescent="0.3">
      <c r="A432">
        <v>38</v>
      </c>
      <c r="B432" t="s">
        <v>15</v>
      </c>
      <c r="C432">
        <v>448004.86</v>
      </c>
      <c r="D432" t="s">
        <v>873</v>
      </c>
      <c r="E432">
        <v>448004.86</v>
      </c>
      <c r="F432">
        <v>0</v>
      </c>
      <c r="G432" t="s">
        <v>874</v>
      </c>
      <c r="H432">
        <v>0</v>
      </c>
      <c r="I432">
        <v>0</v>
      </c>
      <c r="J432">
        <v>1</v>
      </c>
      <c r="K432">
        <v>0</v>
      </c>
      <c r="L432">
        <v>14</v>
      </c>
      <c r="M432">
        <v>0</v>
      </c>
      <c r="N432">
        <v>1</v>
      </c>
      <c r="O432">
        <v>448004.86</v>
      </c>
      <c r="P432">
        <v>5</v>
      </c>
      <c r="Q432">
        <v>5</v>
      </c>
      <c r="R432">
        <v>4.0999999999999996</v>
      </c>
      <c r="S432" t="s">
        <v>2310</v>
      </c>
      <c r="V432">
        <f t="shared" si="18"/>
        <v>0</v>
      </c>
      <c r="W432">
        <f t="shared" si="19"/>
        <v>0</v>
      </c>
      <c r="X432" t="str">
        <f t="shared" si="20"/>
        <v>MATCH</v>
      </c>
    </row>
    <row r="433" spans="1:24" x14ac:dyDescent="0.3">
      <c r="A433">
        <v>38</v>
      </c>
      <c r="B433" t="s">
        <v>18</v>
      </c>
      <c r="C433">
        <v>448004.86</v>
      </c>
      <c r="D433" t="s">
        <v>875</v>
      </c>
      <c r="E433">
        <v>448004.86</v>
      </c>
      <c r="F433">
        <v>0</v>
      </c>
      <c r="G433" t="s">
        <v>876</v>
      </c>
      <c r="H433">
        <v>147828.66</v>
      </c>
      <c r="I433">
        <v>595833.52</v>
      </c>
      <c r="J433">
        <v>1</v>
      </c>
      <c r="K433">
        <v>0</v>
      </c>
      <c r="L433">
        <v>14</v>
      </c>
      <c r="M433">
        <v>0</v>
      </c>
      <c r="N433">
        <v>1</v>
      </c>
      <c r="O433">
        <v>448004.86</v>
      </c>
      <c r="P433">
        <v>5</v>
      </c>
      <c r="Q433">
        <v>4</v>
      </c>
      <c r="R433">
        <v>3.8000000000000003</v>
      </c>
      <c r="S433" t="s">
        <v>2310</v>
      </c>
      <c r="V433">
        <f t="shared" si="18"/>
        <v>0</v>
      </c>
      <c r="W433">
        <f t="shared" si="19"/>
        <v>0</v>
      </c>
      <c r="X433" t="str">
        <f t="shared" si="20"/>
        <v>MATCH</v>
      </c>
    </row>
    <row r="434" spans="1:24" x14ac:dyDescent="0.3">
      <c r="A434">
        <v>38</v>
      </c>
      <c r="B434" t="s">
        <v>15</v>
      </c>
      <c r="C434">
        <v>90204.54</v>
      </c>
      <c r="D434" t="s">
        <v>877</v>
      </c>
      <c r="E434">
        <v>90204.54</v>
      </c>
      <c r="F434">
        <v>0</v>
      </c>
      <c r="G434" t="s">
        <v>878</v>
      </c>
      <c r="H434">
        <v>0</v>
      </c>
      <c r="I434">
        <v>0</v>
      </c>
      <c r="J434">
        <v>1</v>
      </c>
      <c r="K434">
        <v>0</v>
      </c>
      <c r="L434">
        <v>14</v>
      </c>
      <c r="M434">
        <v>0</v>
      </c>
      <c r="N434">
        <v>1</v>
      </c>
      <c r="O434">
        <v>90204.54</v>
      </c>
      <c r="P434">
        <v>3</v>
      </c>
      <c r="Q434">
        <v>5</v>
      </c>
      <c r="R434">
        <v>3.1</v>
      </c>
      <c r="S434" t="s">
        <v>2310</v>
      </c>
      <c r="V434">
        <f t="shared" si="18"/>
        <v>0</v>
      </c>
      <c r="W434">
        <f t="shared" si="19"/>
        <v>0</v>
      </c>
      <c r="X434" t="str">
        <f t="shared" si="20"/>
        <v>MATCH</v>
      </c>
    </row>
    <row r="435" spans="1:24" x14ac:dyDescent="0.3">
      <c r="A435">
        <v>38</v>
      </c>
      <c r="B435" t="s">
        <v>18</v>
      </c>
      <c r="C435">
        <v>90204.54</v>
      </c>
      <c r="D435" t="s">
        <v>879</v>
      </c>
      <c r="E435">
        <v>90204.54</v>
      </c>
      <c r="F435">
        <v>0</v>
      </c>
      <c r="G435" t="s">
        <v>880</v>
      </c>
      <c r="H435">
        <v>0</v>
      </c>
      <c r="I435">
        <v>90204.54</v>
      </c>
      <c r="J435">
        <v>1</v>
      </c>
      <c r="K435">
        <v>0</v>
      </c>
      <c r="L435">
        <v>14</v>
      </c>
      <c r="M435">
        <v>0</v>
      </c>
      <c r="N435">
        <v>1</v>
      </c>
      <c r="O435">
        <v>90204.54</v>
      </c>
      <c r="P435">
        <v>3</v>
      </c>
      <c r="Q435">
        <v>4</v>
      </c>
      <c r="R435">
        <v>2.8000000000000003</v>
      </c>
      <c r="S435" t="s">
        <v>2312</v>
      </c>
      <c r="V435">
        <f t="shared" si="18"/>
        <v>0</v>
      </c>
      <c r="W435">
        <f t="shared" si="19"/>
        <v>0</v>
      </c>
      <c r="X435" t="str">
        <f t="shared" si="20"/>
        <v>MATCH</v>
      </c>
    </row>
    <row r="436" spans="1:24" x14ac:dyDescent="0.3">
      <c r="A436">
        <v>38</v>
      </c>
      <c r="B436" t="s">
        <v>18</v>
      </c>
      <c r="C436">
        <v>577418.98</v>
      </c>
      <c r="D436" t="s">
        <v>881</v>
      </c>
      <c r="E436">
        <v>0</v>
      </c>
      <c r="F436">
        <v>0</v>
      </c>
      <c r="G436" t="s">
        <v>882</v>
      </c>
      <c r="H436">
        <v>0</v>
      </c>
      <c r="I436">
        <v>577418.98</v>
      </c>
      <c r="J436">
        <v>1</v>
      </c>
      <c r="K436">
        <v>0</v>
      </c>
      <c r="L436">
        <v>14</v>
      </c>
      <c r="M436">
        <v>0</v>
      </c>
      <c r="N436">
        <v>0</v>
      </c>
      <c r="O436">
        <v>0</v>
      </c>
      <c r="P436">
        <v>5</v>
      </c>
      <c r="Q436">
        <v>4</v>
      </c>
      <c r="R436">
        <v>3.7</v>
      </c>
      <c r="S436" t="s">
        <v>2310</v>
      </c>
      <c r="V436">
        <f t="shared" si="18"/>
        <v>-577418.98</v>
      </c>
      <c r="W436">
        <f t="shared" si="19"/>
        <v>577418.98</v>
      </c>
      <c r="X436" t="str">
        <f t="shared" si="20"/>
        <v>BREAK</v>
      </c>
    </row>
    <row r="437" spans="1:24" x14ac:dyDescent="0.3">
      <c r="A437">
        <v>38</v>
      </c>
      <c r="B437" t="s">
        <v>15</v>
      </c>
      <c r="C437">
        <v>21367</v>
      </c>
      <c r="D437" t="s">
        <v>883</v>
      </c>
      <c r="E437">
        <v>21367</v>
      </c>
      <c r="F437">
        <v>0</v>
      </c>
      <c r="G437" t="s">
        <v>884</v>
      </c>
      <c r="H437">
        <v>0</v>
      </c>
      <c r="I437">
        <v>0</v>
      </c>
      <c r="J437">
        <v>1</v>
      </c>
      <c r="K437">
        <v>0</v>
      </c>
      <c r="L437">
        <v>14</v>
      </c>
      <c r="M437">
        <v>0</v>
      </c>
      <c r="N437">
        <v>1</v>
      </c>
      <c r="O437">
        <v>21367</v>
      </c>
      <c r="P437">
        <v>2</v>
      </c>
      <c r="Q437">
        <v>5</v>
      </c>
      <c r="R437">
        <v>2.6</v>
      </c>
      <c r="S437" t="s">
        <v>2312</v>
      </c>
      <c r="V437">
        <f t="shared" si="18"/>
        <v>0</v>
      </c>
      <c r="W437">
        <f t="shared" si="19"/>
        <v>0</v>
      </c>
      <c r="X437" t="str">
        <f t="shared" si="20"/>
        <v>MATCH</v>
      </c>
    </row>
    <row r="438" spans="1:24" x14ac:dyDescent="0.3">
      <c r="A438">
        <v>38</v>
      </c>
      <c r="B438" t="s">
        <v>18</v>
      </c>
      <c r="C438">
        <v>21367</v>
      </c>
      <c r="D438" t="s">
        <v>885</v>
      </c>
      <c r="E438">
        <v>21367</v>
      </c>
      <c r="F438">
        <v>0</v>
      </c>
      <c r="G438" t="s">
        <v>886</v>
      </c>
      <c r="H438">
        <v>898934.02</v>
      </c>
      <c r="I438">
        <v>920301.02</v>
      </c>
      <c r="J438">
        <v>1</v>
      </c>
      <c r="K438">
        <v>0</v>
      </c>
      <c r="L438">
        <v>14</v>
      </c>
      <c r="M438">
        <v>0</v>
      </c>
      <c r="N438">
        <v>1</v>
      </c>
      <c r="O438">
        <v>21367</v>
      </c>
      <c r="P438">
        <v>2</v>
      </c>
      <c r="Q438">
        <v>4</v>
      </c>
      <c r="R438">
        <v>2.3000000000000003</v>
      </c>
      <c r="S438" t="s">
        <v>2312</v>
      </c>
      <c r="V438">
        <f t="shared" si="18"/>
        <v>0</v>
      </c>
      <c r="W438">
        <f t="shared" si="19"/>
        <v>0</v>
      </c>
      <c r="X438" t="str">
        <f t="shared" si="20"/>
        <v>MATCH</v>
      </c>
    </row>
    <row r="439" spans="1:24" x14ac:dyDescent="0.3">
      <c r="A439">
        <v>38</v>
      </c>
      <c r="B439" t="s">
        <v>15</v>
      </c>
      <c r="C439">
        <v>2395.29</v>
      </c>
      <c r="D439" t="s">
        <v>887</v>
      </c>
      <c r="E439">
        <v>2395.29</v>
      </c>
      <c r="F439">
        <v>0</v>
      </c>
      <c r="G439" t="s">
        <v>888</v>
      </c>
      <c r="H439">
        <v>0</v>
      </c>
      <c r="I439">
        <v>0</v>
      </c>
      <c r="J439">
        <v>1</v>
      </c>
      <c r="K439">
        <v>0</v>
      </c>
      <c r="L439">
        <v>14</v>
      </c>
      <c r="M439">
        <v>0</v>
      </c>
      <c r="N439">
        <v>1</v>
      </c>
      <c r="O439">
        <v>2395.29</v>
      </c>
      <c r="P439">
        <v>1</v>
      </c>
      <c r="Q439">
        <v>5</v>
      </c>
      <c r="R439">
        <v>2.1</v>
      </c>
      <c r="S439" t="s">
        <v>2312</v>
      </c>
      <c r="V439">
        <f t="shared" si="18"/>
        <v>0</v>
      </c>
      <c r="W439">
        <f t="shared" si="19"/>
        <v>0</v>
      </c>
      <c r="X439" t="str">
        <f t="shared" si="20"/>
        <v>MATCH</v>
      </c>
    </row>
    <row r="440" spans="1:24" x14ac:dyDescent="0.3">
      <c r="A440">
        <v>38</v>
      </c>
      <c r="B440" t="s">
        <v>18</v>
      </c>
      <c r="C440">
        <v>2395.29</v>
      </c>
      <c r="D440" t="s">
        <v>889</v>
      </c>
      <c r="E440">
        <v>2395.29</v>
      </c>
      <c r="F440">
        <v>0</v>
      </c>
      <c r="G440" t="s">
        <v>890</v>
      </c>
      <c r="H440">
        <v>276538.59000000003</v>
      </c>
      <c r="I440">
        <v>470937.03</v>
      </c>
      <c r="J440">
        <v>1</v>
      </c>
      <c r="K440">
        <v>0</v>
      </c>
      <c r="L440">
        <v>14</v>
      </c>
      <c r="M440">
        <v>0</v>
      </c>
      <c r="N440">
        <v>1</v>
      </c>
      <c r="O440">
        <v>2395.29</v>
      </c>
      <c r="P440">
        <v>1</v>
      </c>
      <c r="Q440">
        <v>4</v>
      </c>
      <c r="R440">
        <v>1.8</v>
      </c>
      <c r="S440" t="s">
        <v>2311</v>
      </c>
      <c r="V440">
        <f t="shared" si="18"/>
        <v>0</v>
      </c>
      <c r="W440">
        <f t="shared" si="19"/>
        <v>0</v>
      </c>
      <c r="X440" t="str">
        <f t="shared" si="20"/>
        <v>MATCH</v>
      </c>
    </row>
    <row r="441" spans="1:24" x14ac:dyDescent="0.3">
      <c r="A441">
        <v>38</v>
      </c>
      <c r="B441" t="s">
        <v>15</v>
      </c>
      <c r="C441">
        <v>7567170.3600000003</v>
      </c>
      <c r="D441" t="s">
        <v>891</v>
      </c>
      <c r="E441">
        <v>7567170.3600000003</v>
      </c>
      <c r="F441">
        <v>0</v>
      </c>
      <c r="G441" t="s">
        <v>892</v>
      </c>
      <c r="H441">
        <v>0</v>
      </c>
      <c r="I441">
        <v>0</v>
      </c>
      <c r="J441">
        <v>1</v>
      </c>
      <c r="K441">
        <v>0</v>
      </c>
      <c r="L441">
        <v>14</v>
      </c>
      <c r="M441">
        <v>0</v>
      </c>
      <c r="N441">
        <v>1</v>
      </c>
      <c r="O441">
        <v>7567170.3600000003</v>
      </c>
      <c r="P441">
        <v>5</v>
      </c>
      <c r="Q441">
        <v>5</v>
      </c>
      <c r="R441">
        <v>4.0999999999999996</v>
      </c>
      <c r="S441" t="s">
        <v>2310</v>
      </c>
      <c r="V441">
        <f t="shared" si="18"/>
        <v>0</v>
      </c>
      <c r="W441">
        <f t="shared" si="19"/>
        <v>0</v>
      </c>
      <c r="X441" t="str">
        <f t="shared" si="20"/>
        <v>MATCH</v>
      </c>
    </row>
    <row r="442" spans="1:24" x14ac:dyDescent="0.3">
      <c r="A442">
        <v>38</v>
      </c>
      <c r="B442" t="s">
        <v>18</v>
      </c>
      <c r="C442">
        <v>7567170.3600000003</v>
      </c>
      <c r="D442" t="s">
        <v>893</v>
      </c>
      <c r="E442">
        <v>7567170.3600000003</v>
      </c>
      <c r="F442">
        <v>0</v>
      </c>
      <c r="G442" t="s">
        <v>894</v>
      </c>
      <c r="H442">
        <v>345425.4</v>
      </c>
      <c r="I442">
        <v>7912595.75</v>
      </c>
      <c r="J442">
        <v>1</v>
      </c>
      <c r="K442">
        <v>0</v>
      </c>
      <c r="L442">
        <v>14</v>
      </c>
      <c r="M442">
        <v>0</v>
      </c>
      <c r="N442">
        <v>1</v>
      </c>
      <c r="O442">
        <v>7567170.3600000003</v>
      </c>
      <c r="P442">
        <v>5</v>
      </c>
      <c r="Q442">
        <v>4</v>
      </c>
      <c r="R442">
        <v>3.8000000000000003</v>
      </c>
      <c r="S442" t="s">
        <v>2310</v>
      </c>
      <c r="V442">
        <f t="shared" si="18"/>
        <v>0</v>
      </c>
      <c r="W442">
        <f t="shared" si="19"/>
        <v>0</v>
      </c>
      <c r="X442" t="str">
        <f t="shared" si="20"/>
        <v>MATCH</v>
      </c>
    </row>
    <row r="443" spans="1:24" x14ac:dyDescent="0.3">
      <c r="A443">
        <v>38</v>
      </c>
      <c r="B443" t="s">
        <v>15</v>
      </c>
      <c r="C443">
        <v>3372</v>
      </c>
      <c r="D443" t="s">
        <v>895</v>
      </c>
      <c r="E443">
        <v>3372</v>
      </c>
      <c r="F443">
        <v>0</v>
      </c>
      <c r="G443" t="s">
        <v>896</v>
      </c>
      <c r="H443">
        <v>0</v>
      </c>
      <c r="I443">
        <v>0</v>
      </c>
      <c r="J443">
        <v>1</v>
      </c>
      <c r="K443">
        <v>0</v>
      </c>
      <c r="L443">
        <v>14</v>
      </c>
      <c r="M443">
        <v>0</v>
      </c>
      <c r="N443">
        <v>1</v>
      </c>
      <c r="O443">
        <v>3372</v>
      </c>
      <c r="P443">
        <v>1</v>
      </c>
      <c r="Q443">
        <v>5</v>
      </c>
      <c r="R443">
        <v>2.1</v>
      </c>
      <c r="S443" t="s">
        <v>2312</v>
      </c>
      <c r="V443">
        <f t="shared" si="18"/>
        <v>0</v>
      </c>
      <c r="W443">
        <f t="shared" si="19"/>
        <v>0</v>
      </c>
      <c r="X443" t="str">
        <f t="shared" si="20"/>
        <v>MATCH</v>
      </c>
    </row>
    <row r="444" spans="1:24" x14ac:dyDescent="0.3">
      <c r="A444">
        <v>38</v>
      </c>
      <c r="B444" t="s">
        <v>18</v>
      </c>
      <c r="C444">
        <v>3372</v>
      </c>
      <c r="D444" t="s">
        <v>897</v>
      </c>
      <c r="E444">
        <v>3372</v>
      </c>
      <c r="F444">
        <v>0</v>
      </c>
      <c r="G444" t="s">
        <v>898</v>
      </c>
      <c r="H444">
        <v>456659.44</v>
      </c>
      <c r="I444">
        <v>460031.44</v>
      </c>
      <c r="J444">
        <v>1</v>
      </c>
      <c r="K444">
        <v>0</v>
      </c>
      <c r="L444">
        <v>14</v>
      </c>
      <c r="M444">
        <v>0</v>
      </c>
      <c r="N444">
        <v>1</v>
      </c>
      <c r="O444">
        <v>3372</v>
      </c>
      <c r="P444">
        <v>1</v>
      </c>
      <c r="Q444">
        <v>4</v>
      </c>
      <c r="R444">
        <v>1.8</v>
      </c>
      <c r="S444" t="s">
        <v>2311</v>
      </c>
      <c r="V444">
        <f t="shared" si="18"/>
        <v>0</v>
      </c>
      <c r="W444">
        <f t="shared" si="19"/>
        <v>0</v>
      </c>
      <c r="X444" t="str">
        <f t="shared" si="20"/>
        <v>MATCH</v>
      </c>
    </row>
    <row r="445" spans="1:24" x14ac:dyDescent="0.3">
      <c r="A445">
        <v>38</v>
      </c>
      <c r="B445" t="s">
        <v>18</v>
      </c>
      <c r="C445">
        <v>407005.78</v>
      </c>
      <c r="D445" t="s">
        <v>899</v>
      </c>
      <c r="E445">
        <v>0</v>
      </c>
      <c r="F445">
        <v>0</v>
      </c>
      <c r="G445" t="s">
        <v>900</v>
      </c>
      <c r="H445">
        <v>0</v>
      </c>
      <c r="I445">
        <v>407005.78</v>
      </c>
      <c r="J445">
        <v>1</v>
      </c>
      <c r="K445">
        <v>0</v>
      </c>
      <c r="L445">
        <v>14</v>
      </c>
      <c r="M445">
        <v>0</v>
      </c>
      <c r="N445">
        <v>0</v>
      </c>
      <c r="O445">
        <v>0</v>
      </c>
      <c r="P445">
        <v>5</v>
      </c>
      <c r="Q445">
        <v>4</v>
      </c>
      <c r="R445">
        <v>3.7</v>
      </c>
      <c r="S445" t="s">
        <v>2310</v>
      </c>
      <c r="V445">
        <f t="shared" si="18"/>
        <v>-407005.78</v>
      </c>
      <c r="W445">
        <f t="shared" si="19"/>
        <v>407005.78</v>
      </c>
      <c r="X445" t="str">
        <f t="shared" si="20"/>
        <v>BREAK</v>
      </c>
    </row>
    <row r="446" spans="1:24" x14ac:dyDescent="0.3">
      <c r="A446">
        <v>38</v>
      </c>
      <c r="B446" t="s">
        <v>15</v>
      </c>
      <c r="C446">
        <v>360688.3</v>
      </c>
      <c r="D446" t="s">
        <v>901</v>
      </c>
      <c r="E446">
        <v>360688.3</v>
      </c>
      <c r="F446">
        <v>0</v>
      </c>
      <c r="G446" t="s">
        <v>902</v>
      </c>
      <c r="H446">
        <v>0</v>
      </c>
      <c r="I446">
        <v>0</v>
      </c>
      <c r="J446">
        <v>1</v>
      </c>
      <c r="K446">
        <v>0</v>
      </c>
      <c r="L446">
        <v>14</v>
      </c>
      <c r="M446">
        <v>0</v>
      </c>
      <c r="N446">
        <v>1</v>
      </c>
      <c r="O446">
        <v>360688.3</v>
      </c>
      <c r="P446">
        <v>5</v>
      </c>
      <c r="Q446">
        <v>5</v>
      </c>
      <c r="R446">
        <v>4.0999999999999996</v>
      </c>
      <c r="S446" t="s">
        <v>2310</v>
      </c>
      <c r="V446">
        <f t="shared" si="18"/>
        <v>0</v>
      </c>
      <c r="W446">
        <f t="shared" si="19"/>
        <v>0</v>
      </c>
      <c r="X446" t="str">
        <f t="shared" si="20"/>
        <v>MATCH</v>
      </c>
    </row>
    <row r="447" spans="1:24" x14ac:dyDescent="0.3">
      <c r="A447">
        <v>38</v>
      </c>
      <c r="B447" t="s">
        <v>18</v>
      </c>
      <c r="C447">
        <v>360688.3</v>
      </c>
      <c r="D447" t="s">
        <v>903</v>
      </c>
      <c r="E447">
        <v>360688.3</v>
      </c>
      <c r="F447">
        <v>0</v>
      </c>
      <c r="G447" t="s">
        <v>904</v>
      </c>
      <c r="H447">
        <v>0</v>
      </c>
      <c r="I447">
        <v>360688.3</v>
      </c>
      <c r="J447">
        <v>1</v>
      </c>
      <c r="K447">
        <v>0</v>
      </c>
      <c r="L447">
        <v>14</v>
      </c>
      <c r="M447">
        <v>0</v>
      </c>
      <c r="N447">
        <v>1</v>
      </c>
      <c r="O447">
        <v>360688.3</v>
      </c>
      <c r="P447">
        <v>5</v>
      </c>
      <c r="Q447">
        <v>4</v>
      </c>
      <c r="R447">
        <v>3.8000000000000003</v>
      </c>
      <c r="S447" t="s">
        <v>2310</v>
      </c>
      <c r="V447">
        <f t="shared" si="18"/>
        <v>0</v>
      </c>
      <c r="W447">
        <f t="shared" si="19"/>
        <v>0</v>
      </c>
      <c r="X447" t="str">
        <f t="shared" si="20"/>
        <v>MATCH</v>
      </c>
    </row>
    <row r="448" spans="1:24" x14ac:dyDescent="0.3">
      <c r="A448">
        <v>39</v>
      </c>
      <c r="B448" t="s">
        <v>15</v>
      </c>
      <c r="C448">
        <v>2070814.27</v>
      </c>
      <c r="D448" t="s">
        <v>905</v>
      </c>
      <c r="E448">
        <v>2070814.27</v>
      </c>
      <c r="F448">
        <v>0</v>
      </c>
      <c r="G448" t="s">
        <v>906</v>
      </c>
      <c r="H448">
        <v>0</v>
      </c>
      <c r="I448">
        <v>0</v>
      </c>
      <c r="J448">
        <v>1</v>
      </c>
      <c r="K448">
        <v>0</v>
      </c>
      <c r="L448">
        <v>15</v>
      </c>
      <c r="M448">
        <v>0</v>
      </c>
      <c r="N448">
        <v>1</v>
      </c>
      <c r="O448">
        <v>2070814.27</v>
      </c>
      <c r="P448">
        <v>5</v>
      </c>
      <c r="Q448">
        <v>5</v>
      </c>
      <c r="R448">
        <v>4.0999999999999996</v>
      </c>
      <c r="S448" t="s">
        <v>2310</v>
      </c>
      <c r="V448">
        <f t="shared" si="18"/>
        <v>0</v>
      </c>
      <c r="W448">
        <f t="shared" si="19"/>
        <v>0</v>
      </c>
      <c r="X448" t="str">
        <f t="shared" si="20"/>
        <v>MATCH</v>
      </c>
    </row>
    <row r="449" spans="1:24" x14ac:dyDescent="0.3">
      <c r="A449">
        <v>39</v>
      </c>
      <c r="B449" t="s">
        <v>18</v>
      </c>
      <c r="C449">
        <v>2070814.27</v>
      </c>
      <c r="D449" t="s">
        <v>907</v>
      </c>
      <c r="E449">
        <v>2070814.27</v>
      </c>
      <c r="F449">
        <v>0</v>
      </c>
      <c r="G449" t="s">
        <v>908</v>
      </c>
      <c r="H449">
        <v>0</v>
      </c>
      <c r="I449">
        <v>2070814.27</v>
      </c>
      <c r="J449">
        <v>1</v>
      </c>
      <c r="K449">
        <v>0</v>
      </c>
      <c r="L449">
        <v>15</v>
      </c>
      <c r="M449">
        <v>0</v>
      </c>
      <c r="N449">
        <v>1</v>
      </c>
      <c r="O449">
        <v>2070814.27</v>
      </c>
      <c r="P449">
        <v>5</v>
      </c>
      <c r="Q449">
        <v>4</v>
      </c>
      <c r="R449">
        <v>3.8000000000000003</v>
      </c>
      <c r="S449" t="s">
        <v>2310</v>
      </c>
      <c r="V449">
        <f t="shared" si="18"/>
        <v>0</v>
      </c>
      <c r="W449">
        <f t="shared" si="19"/>
        <v>0</v>
      </c>
      <c r="X449" t="str">
        <f t="shared" si="20"/>
        <v>MATCH</v>
      </c>
    </row>
    <row r="450" spans="1:24" x14ac:dyDescent="0.3">
      <c r="A450">
        <v>39</v>
      </c>
      <c r="B450" t="s">
        <v>15</v>
      </c>
      <c r="C450">
        <v>238717.5</v>
      </c>
      <c r="D450" t="s">
        <v>909</v>
      </c>
      <c r="E450">
        <v>238717.5</v>
      </c>
      <c r="F450">
        <v>0</v>
      </c>
      <c r="G450" t="s">
        <v>910</v>
      </c>
      <c r="H450">
        <v>0</v>
      </c>
      <c r="I450">
        <v>0</v>
      </c>
      <c r="J450">
        <v>1</v>
      </c>
      <c r="K450">
        <v>0</v>
      </c>
      <c r="L450">
        <v>15</v>
      </c>
      <c r="M450">
        <v>0</v>
      </c>
      <c r="N450">
        <v>1</v>
      </c>
      <c r="O450">
        <v>238717.5</v>
      </c>
      <c r="P450">
        <v>5</v>
      </c>
      <c r="Q450">
        <v>5</v>
      </c>
      <c r="R450">
        <v>4.0999999999999996</v>
      </c>
      <c r="S450" t="s">
        <v>2310</v>
      </c>
      <c r="V450">
        <f t="shared" si="18"/>
        <v>0</v>
      </c>
      <c r="W450">
        <f t="shared" si="19"/>
        <v>0</v>
      </c>
      <c r="X450" t="str">
        <f t="shared" si="20"/>
        <v>MATCH</v>
      </c>
    </row>
    <row r="451" spans="1:24" x14ac:dyDescent="0.3">
      <c r="A451">
        <v>39</v>
      </c>
      <c r="B451" t="s">
        <v>18</v>
      </c>
      <c r="C451">
        <v>238717.5</v>
      </c>
      <c r="D451" t="s">
        <v>911</v>
      </c>
      <c r="E451">
        <v>238717.5</v>
      </c>
      <c r="F451">
        <v>0</v>
      </c>
      <c r="G451" t="s">
        <v>912</v>
      </c>
      <c r="H451">
        <v>601511.4</v>
      </c>
      <c r="I451">
        <v>671690.05</v>
      </c>
      <c r="J451">
        <v>1</v>
      </c>
      <c r="K451">
        <v>0</v>
      </c>
      <c r="L451">
        <v>15</v>
      </c>
      <c r="M451">
        <v>0</v>
      </c>
      <c r="N451">
        <v>1</v>
      </c>
      <c r="O451">
        <v>238717.5</v>
      </c>
      <c r="P451">
        <v>5</v>
      </c>
      <c r="Q451">
        <v>4</v>
      </c>
      <c r="R451">
        <v>3.8000000000000003</v>
      </c>
      <c r="S451" t="s">
        <v>2310</v>
      </c>
      <c r="V451">
        <f t="shared" ref="V451:V514" si="21">E451-C451</f>
        <v>0</v>
      </c>
      <c r="W451">
        <f t="shared" ref="W451:W514" si="22">ABS(F451-V451)</f>
        <v>0</v>
      </c>
      <c r="X451" t="str">
        <f t="shared" ref="X451:X514" si="23">IF(W451&lt;1,"MATCH","BREAK")</f>
        <v>MATCH</v>
      </c>
    </row>
    <row r="452" spans="1:24" x14ac:dyDescent="0.3">
      <c r="A452">
        <v>39</v>
      </c>
      <c r="B452" t="s">
        <v>15</v>
      </c>
      <c r="C452">
        <v>18887</v>
      </c>
      <c r="D452" t="s">
        <v>913</v>
      </c>
      <c r="E452">
        <v>18887</v>
      </c>
      <c r="F452">
        <v>0</v>
      </c>
      <c r="G452" t="s">
        <v>914</v>
      </c>
      <c r="H452">
        <v>0</v>
      </c>
      <c r="I452">
        <v>0</v>
      </c>
      <c r="J452">
        <v>1</v>
      </c>
      <c r="K452">
        <v>0</v>
      </c>
      <c r="L452">
        <v>15</v>
      </c>
      <c r="M452">
        <v>0</v>
      </c>
      <c r="N452">
        <v>1</v>
      </c>
      <c r="O452">
        <v>18887</v>
      </c>
      <c r="P452">
        <v>2</v>
      </c>
      <c r="Q452">
        <v>5</v>
      </c>
      <c r="R452">
        <v>2.6</v>
      </c>
      <c r="S452" t="s">
        <v>2312</v>
      </c>
      <c r="V452">
        <f t="shared" si="21"/>
        <v>0</v>
      </c>
      <c r="W452">
        <f t="shared" si="22"/>
        <v>0</v>
      </c>
      <c r="X452" t="str">
        <f t="shared" si="23"/>
        <v>MATCH</v>
      </c>
    </row>
    <row r="453" spans="1:24" x14ac:dyDescent="0.3">
      <c r="A453">
        <v>39</v>
      </c>
      <c r="B453" t="s">
        <v>18</v>
      </c>
      <c r="C453">
        <v>18887</v>
      </c>
      <c r="D453" t="s">
        <v>915</v>
      </c>
      <c r="E453">
        <v>18887</v>
      </c>
      <c r="F453">
        <v>0</v>
      </c>
      <c r="G453" t="s">
        <v>916</v>
      </c>
      <c r="H453">
        <v>131489.74</v>
      </c>
      <c r="I453">
        <v>150376.74</v>
      </c>
      <c r="J453">
        <v>1</v>
      </c>
      <c r="K453">
        <v>0</v>
      </c>
      <c r="L453">
        <v>15</v>
      </c>
      <c r="M453">
        <v>0</v>
      </c>
      <c r="N453">
        <v>1</v>
      </c>
      <c r="O453">
        <v>18887</v>
      </c>
      <c r="P453">
        <v>2</v>
      </c>
      <c r="Q453">
        <v>4</v>
      </c>
      <c r="R453">
        <v>2.3000000000000003</v>
      </c>
      <c r="S453" t="s">
        <v>2312</v>
      </c>
      <c r="V453">
        <f t="shared" si="21"/>
        <v>0</v>
      </c>
      <c r="W453">
        <f t="shared" si="22"/>
        <v>0</v>
      </c>
      <c r="X453" t="str">
        <f t="shared" si="23"/>
        <v>MATCH</v>
      </c>
    </row>
    <row r="454" spans="1:24" x14ac:dyDescent="0.3">
      <c r="A454">
        <v>39</v>
      </c>
      <c r="B454" t="s">
        <v>15</v>
      </c>
      <c r="C454">
        <v>7937954.2000000002</v>
      </c>
      <c r="D454" t="s">
        <v>917</v>
      </c>
      <c r="E454">
        <v>7937954.2000000002</v>
      </c>
      <c r="F454">
        <v>0</v>
      </c>
      <c r="G454" t="s">
        <v>918</v>
      </c>
      <c r="H454">
        <v>0</v>
      </c>
      <c r="I454">
        <v>0</v>
      </c>
      <c r="J454">
        <v>1</v>
      </c>
      <c r="K454">
        <v>0</v>
      </c>
      <c r="L454">
        <v>15</v>
      </c>
      <c r="M454">
        <v>0</v>
      </c>
      <c r="N454">
        <v>1</v>
      </c>
      <c r="O454">
        <v>7937954.2000000002</v>
      </c>
      <c r="P454">
        <v>5</v>
      </c>
      <c r="Q454">
        <v>5</v>
      </c>
      <c r="R454">
        <v>4.0999999999999996</v>
      </c>
      <c r="S454" t="s">
        <v>2310</v>
      </c>
      <c r="V454">
        <f t="shared" si="21"/>
        <v>0</v>
      </c>
      <c r="W454">
        <f t="shared" si="22"/>
        <v>0</v>
      </c>
      <c r="X454" t="str">
        <f t="shared" si="23"/>
        <v>MATCH</v>
      </c>
    </row>
    <row r="455" spans="1:24" x14ac:dyDescent="0.3">
      <c r="A455">
        <v>39</v>
      </c>
      <c r="B455" t="s">
        <v>18</v>
      </c>
      <c r="C455">
        <v>7937954.2000000002</v>
      </c>
      <c r="D455" t="s">
        <v>919</v>
      </c>
      <c r="E455">
        <v>7937954.2000000002</v>
      </c>
      <c r="F455">
        <v>0</v>
      </c>
      <c r="G455" t="s">
        <v>920</v>
      </c>
      <c r="H455">
        <v>2716480.56</v>
      </c>
      <c r="I455">
        <v>10700000</v>
      </c>
      <c r="J455">
        <v>1</v>
      </c>
      <c r="K455">
        <v>0</v>
      </c>
      <c r="L455">
        <v>15</v>
      </c>
      <c r="M455">
        <v>0</v>
      </c>
      <c r="N455">
        <v>1</v>
      </c>
      <c r="O455">
        <v>7937954.2000000002</v>
      </c>
      <c r="P455">
        <v>5</v>
      </c>
      <c r="Q455">
        <v>4</v>
      </c>
      <c r="R455">
        <v>3.8000000000000003</v>
      </c>
      <c r="S455" t="s">
        <v>2310</v>
      </c>
      <c r="V455">
        <f t="shared" si="21"/>
        <v>0</v>
      </c>
      <c r="W455">
        <f t="shared" si="22"/>
        <v>0</v>
      </c>
      <c r="X455" t="str">
        <f t="shared" si="23"/>
        <v>MATCH</v>
      </c>
    </row>
    <row r="456" spans="1:24" x14ac:dyDescent="0.3">
      <c r="A456">
        <v>39</v>
      </c>
      <c r="B456" t="s">
        <v>15</v>
      </c>
      <c r="C456">
        <v>39013.300000000003</v>
      </c>
      <c r="D456" t="s">
        <v>921</v>
      </c>
      <c r="E456">
        <v>39013.300000000003</v>
      </c>
      <c r="F456">
        <v>0</v>
      </c>
      <c r="G456" t="s">
        <v>922</v>
      </c>
      <c r="H456">
        <v>0</v>
      </c>
      <c r="I456">
        <v>0</v>
      </c>
      <c r="J456">
        <v>1</v>
      </c>
      <c r="K456">
        <v>0</v>
      </c>
      <c r="L456">
        <v>15</v>
      </c>
      <c r="M456">
        <v>0</v>
      </c>
      <c r="N456">
        <v>1</v>
      </c>
      <c r="O456">
        <v>39013.300000000003</v>
      </c>
      <c r="P456">
        <v>2</v>
      </c>
      <c r="Q456">
        <v>5</v>
      </c>
      <c r="R456">
        <v>2.6</v>
      </c>
      <c r="S456" t="s">
        <v>2312</v>
      </c>
      <c r="V456">
        <f t="shared" si="21"/>
        <v>0</v>
      </c>
      <c r="W456">
        <f t="shared" si="22"/>
        <v>0</v>
      </c>
      <c r="X456" t="str">
        <f t="shared" si="23"/>
        <v>MATCH</v>
      </c>
    </row>
    <row r="457" spans="1:24" x14ac:dyDescent="0.3">
      <c r="A457">
        <v>39</v>
      </c>
      <c r="B457" t="s">
        <v>18</v>
      </c>
      <c r="C457">
        <v>39013.300000000003</v>
      </c>
      <c r="D457" t="s">
        <v>923</v>
      </c>
      <c r="E457">
        <v>39013.300000000003</v>
      </c>
      <c r="F457">
        <v>0</v>
      </c>
      <c r="G457" t="s">
        <v>924</v>
      </c>
      <c r="H457">
        <v>924162.55</v>
      </c>
      <c r="I457">
        <v>1089489.1100000001</v>
      </c>
      <c r="J457">
        <v>1</v>
      </c>
      <c r="K457">
        <v>0</v>
      </c>
      <c r="L457">
        <v>15</v>
      </c>
      <c r="M457">
        <v>0</v>
      </c>
      <c r="N457">
        <v>1</v>
      </c>
      <c r="O457">
        <v>39013.300000000003</v>
      </c>
      <c r="P457">
        <v>2</v>
      </c>
      <c r="Q457">
        <v>4</v>
      </c>
      <c r="R457">
        <v>2.3000000000000003</v>
      </c>
      <c r="S457" t="s">
        <v>2312</v>
      </c>
      <c r="V457">
        <f t="shared" si="21"/>
        <v>0</v>
      </c>
      <c r="W457">
        <f t="shared" si="22"/>
        <v>0</v>
      </c>
      <c r="X457" t="str">
        <f t="shared" si="23"/>
        <v>MATCH</v>
      </c>
    </row>
    <row r="458" spans="1:24" x14ac:dyDescent="0.3">
      <c r="A458">
        <v>39</v>
      </c>
      <c r="B458" t="s">
        <v>15</v>
      </c>
      <c r="C458">
        <v>152042.16</v>
      </c>
      <c r="D458" t="s">
        <v>925</v>
      </c>
      <c r="E458">
        <v>152042.16</v>
      </c>
      <c r="F458">
        <v>0</v>
      </c>
      <c r="G458" t="s">
        <v>926</v>
      </c>
      <c r="H458">
        <v>0</v>
      </c>
      <c r="I458">
        <v>0</v>
      </c>
      <c r="J458">
        <v>1</v>
      </c>
      <c r="K458">
        <v>0</v>
      </c>
      <c r="L458">
        <v>15</v>
      </c>
      <c r="M458">
        <v>0</v>
      </c>
      <c r="N458">
        <v>1</v>
      </c>
      <c r="O458">
        <v>152042.16</v>
      </c>
      <c r="P458">
        <v>4</v>
      </c>
      <c r="Q458">
        <v>5</v>
      </c>
      <c r="R458">
        <v>3.6</v>
      </c>
      <c r="S458" t="s">
        <v>2310</v>
      </c>
      <c r="V458">
        <f t="shared" si="21"/>
        <v>0</v>
      </c>
      <c r="W458">
        <f t="shared" si="22"/>
        <v>0</v>
      </c>
      <c r="X458" t="str">
        <f t="shared" si="23"/>
        <v>MATCH</v>
      </c>
    </row>
    <row r="459" spans="1:24" x14ac:dyDescent="0.3">
      <c r="A459">
        <v>39</v>
      </c>
      <c r="B459" t="s">
        <v>18</v>
      </c>
      <c r="C459">
        <v>152042.16</v>
      </c>
      <c r="D459" t="s">
        <v>927</v>
      </c>
      <c r="E459">
        <v>152042.16</v>
      </c>
      <c r="F459">
        <v>0</v>
      </c>
      <c r="G459" t="s">
        <v>928</v>
      </c>
      <c r="H459">
        <v>710428.02</v>
      </c>
      <c r="I459">
        <v>862470.18</v>
      </c>
      <c r="J459">
        <v>1</v>
      </c>
      <c r="K459">
        <v>0</v>
      </c>
      <c r="L459">
        <v>15</v>
      </c>
      <c r="M459">
        <v>0</v>
      </c>
      <c r="N459">
        <v>1</v>
      </c>
      <c r="O459">
        <v>152042.16</v>
      </c>
      <c r="P459">
        <v>4</v>
      </c>
      <c r="Q459">
        <v>4</v>
      </c>
      <c r="R459">
        <v>3.3000000000000003</v>
      </c>
      <c r="S459" t="s">
        <v>2310</v>
      </c>
      <c r="V459">
        <f t="shared" si="21"/>
        <v>0</v>
      </c>
      <c r="W459">
        <f t="shared" si="22"/>
        <v>0</v>
      </c>
      <c r="X459" t="str">
        <f t="shared" si="23"/>
        <v>MATCH</v>
      </c>
    </row>
    <row r="460" spans="1:24" x14ac:dyDescent="0.3">
      <c r="A460">
        <v>40</v>
      </c>
      <c r="B460" t="s">
        <v>15</v>
      </c>
      <c r="C460">
        <v>26950.06</v>
      </c>
      <c r="D460" t="s">
        <v>929</v>
      </c>
      <c r="E460">
        <v>26950.06</v>
      </c>
      <c r="F460">
        <v>0</v>
      </c>
      <c r="G460" t="s">
        <v>930</v>
      </c>
      <c r="H460">
        <v>0</v>
      </c>
      <c r="I460">
        <v>0</v>
      </c>
      <c r="J460">
        <v>1</v>
      </c>
      <c r="K460">
        <v>0</v>
      </c>
      <c r="L460">
        <v>16</v>
      </c>
      <c r="M460">
        <v>0</v>
      </c>
      <c r="N460">
        <v>1</v>
      </c>
      <c r="O460">
        <v>26950.06</v>
      </c>
      <c r="P460">
        <v>2</v>
      </c>
      <c r="Q460">
        <v>5</v>
      </c>
      <c r="R460">
        <v>2.6</v>
      </c>
      <c r="S460" t="s">
        <v>2312</v>
      </c>
      <c r="V460">
        <f t="shared" si="21"/>
        <v>0</v>
      </c>
      <c r="W460">
        <f t="shared" si="22"/>
        <v>0</v>
      </c>
      <c r="X460" t="str">
        <f t="shared" si="23"/>
        <v>MATCH</v>
      </c>
    </row>
    <row r="461" spans="1:24" x14ac:dyDescent="0.3">
      <c r="A461">
        <v>40</v>
      </c>
      <c r="B461" t="s">
        <v>18</v>
      </c>
      <c r="C461">
        <v>26950.06</v>
      </c>
      <c r="D461" t="s">
        <v>931</v>
      </c>
      <c r="E461">
        <v>26950.06</v>
      </c>
      <c r="F461">
        <v>0</v>
      </c>
      <c r="G461" t="s">
        <v>932</v>
      </c>
      <c r="H461">
        <v>255430.21</v>
      </c>
      <c r="I461">
        <v>282380.27</v>
      </c>
      <c r="J461">
        <v>1</v>
      </c>
      <c r="K461">
        <v>0</v>
      </c>
      <c r="L461">
        <v>16</v>
      </c>
      <c r="M461">
        <v>0</v>
      </c>
      <c r="N461">
        <v>1</v>
      </c>
      <c r="O461">
        <v>26950.06</v>
      </c>
      <c r="P461">
        <v>2</v>
      </c>
      <c r="Q461">
        <v>4</v>
      </c>
      <c r="R461">
        <v>2.3000000000000003</v>
      </c>
      <c r="S461" t="s">
        <v>2312</v>
      </c>
      <c r="V461">
        <f t="shared" si="21"/>
        <v>0</v>
      </c>
      <c r="W461">
        <f t="shared" si="22"/>
        <v>0</v>
      </c>
      <c r="X461" t="str">
        <f t="shared" si="23"/>
        <v>MATCH</v>
      </c>
    </row>
    <row r="462" spans="1:24" x14ac:dyDescent="0.3">
      <c r="A462">
        <v>40</v>
      </c>
      <c r="B462" t="s">
        <v>15</v>
      </c>
      <c r="C462">
        <v>20314.97</v>
      </c>
      <c r="D462" t="s">
        <v>933</v>
      </c>
      <c r="E462">
        <v>20314.97</v>
      </c>
      <c r="F462">
        <v>0</v>
      </c>
      <c r="G462" t="s">
        <v>934</v>
      </c>
      <c r="H462">
        <v>0</v>
      </c>
      <c r="I462">
        <v>0</v>
      </c>
      <c r="J462">
        <v>1</v>
      </c>
      <c r="K462">
        <v>0</v>
      </c>
      <c r="L462">
        <v>16</v>
      </c>
      <c r="M462">
        <v>0</v>
      </c>
      <c r="N462">
        <v>1</v>
      </c>
      <c r="O462">
        <v>20314.97</v>
      </c>
      <c r="P462">
        <v>2</v>
      </c>
      <c r="Q462">
        <v>5</v>
      </c>
      <c r="R462">
        <v>2.6</v>
      </c>
      <c r="S462" t="s">
        <v>2312</v>
      </c>
      <c r="V462">
        <f t="shared" si="21"/>
        <v>0</v>
      </c>
      <c r="W462">
        <f t="shared" si="22"/>
        <v>0</v>
      </c>
      <c r="X462" t="str">
        <f t="shared" si="23"/>
        <v>MATCH</v>
      </c>
    </row>
    <row r="463" spans="1:24" x14ac:dyDescent="0.3">
      <c r="A463">
        <v>40</v>
      </c>
      <c r="B463" t="s">
        <v>18</v>
      </c>
      <c r="C463">
        <v>20314.97</v>
      </c>
      <c r="D463" t="s">
        <v>935</v>
      </c>
      <c r="E463">
        <v>20314.97</v>
      </c>
      <c r="F463">
        <v>0</v>
      </c>
      <c r="G463" t="s">
        <v>936</v>
      </c>
      <c r="H463">
        <v>1270005.54</v>
      </c>
      <c r="I463">
        <v>1290320.51</v>
      </c>
      <c r="J463">
        <v>1</v>
      </c>
      <c r="K463">
        <v>0</v>
      </c>
      <c r="L463">
        <v>16</v>
      </c>
      <c r="M463">
        <v>0</v>
      </c>
      <c r="N463">
        <v>1</v>
      </c>
      <c r="O463">
        <v>20314.97</v>
      </c>
      <c r="P463">
        <v>2</v>
      </c>
      <c r="Q463">
        <v>4</v>
      </c>
      <c r="R463">
        <v>2.3000000000000003</v>
      </c>
      <c r="S463" t="s">
        <v>2312</v>
      </c>
      <c r="V463">
        <f t="shared" si="21"/>
        <v>0</v>
      </c>
      <c r="W463">
        <f t="shared" si="22"/>
        <v>0</v>
      </c>
      <c r="X463" t="str">
        <f t="shared" si="23"/>
        <v>MATCH</v>
      </c>
    </row>
    <row r="464" spans="1:24" x14ac:dyDescent="0.3">
      <c r="A464">
        <v>40</v>
      </c>
      <c r="B464" t="s">
        <v>15</v>
      </c>
      <c r="C464">
        <v>6188772.4400000004</v>
      </c>
      <c r="D464" t="s">
        <v>937</v>
      </c>
      <c r="E464">
        <v>6188772.4400000004</v>
      </c>
      <c r="F464">
        <v>0</v>
      </c>
      <c r="G464" t="s">
        <v>938</v>
      </c>
      <c r="H464">
        <v>0</v>
      </c>
      <c r="I464">
        <v>0</v>
      </c>
      <c r="J464">
        <v>1</v>
      </c>
      <c r="K464">
        <v>0</v>
      </c>
      <c r="L464">
        <v>16</v>
      </c>
      <c r="M464">
        <v>0</v>
      </c>
      <c r="N464">
        <v>1</v>
      </c>
      <c r="O464">
        <v>6188772.4400000004</v>
      </c>
      <c r="P464">
        <v>5</v>
      </c>
      <c r="Q464">
        <v>5</v>
      </c>
      <c r="R464">
        <v>4.0999999999999996</v>
      </c>
      <c r="S464" t="s">
        <v>2310</v>
      </c>
      <c r="V464">
        <f t="shared" si="21"/>
        <v>0</v>
      </c>
      <c r="W464">
        <f t="shared" si="22"/>
        <v>0</v>
      </c>
      <c r="X464" t="str">
        <f t="shared" si="23"/>
        <v>MATCH</v>
      </c>
    </row>
    <row r="465" spans="1:24" x14ac:dyDescent="0.3">
      <c r="A465">
        <v>40</v>
      </c>
      <c r="B465" t="s">
        <v>18</v>
      </c>
      <c r="C465">
        <v>6188772.4400000004</v>
      </c>
      <c r="D465" t="s">
        <v>939</v>
      </c>
      <c r="E465">
        <v>6188772.4400000004</v>
      </c>
      <c r="F465">
        <v>0</v>
      </c>
      <c r="G465" t="s">
        <v>940</v>
      </c>
      <c r="H465">
        <v>6056796.7400000002</v>
      </c>
      <c r="I465">
        <v>12400000</v>
      </c>
      <c r="J465">
        <v>1</v>
      </c>
      <c r="K465">
        <v>0</v>
      </c>
      <c r="L465">
        <v>16</v>
      </c>
      <c r="M465">
        <v>0</v>
      </c>
      <c r="N465">
        <v>1</v>
      </c>
      <c r="O465">
        <v>6188772.4400000004</v>
      </c>
      <c r="P465">
        <v>5</v>
      </c>
      <c r="Q465">
        <v>4</v>
      </c>
      <c r="R465">
        <v>3.8000000000000003</v>
      </c>
      <c r="S465" t="s">
        <v>2310</v>
      </c>
      <c r="V465">
        <f t="shared" si="21"/>
        <v>0</v>
      </c>
      <c r="W465">
        <f t="shared" si="22"/>
        <v>0</v>
      </c>
      <c r="X465" t="str">
        <f t="shared" si="23"/>
        <v>MATCH</v>
      </c>
    </row>
    <row r="466" spans="1:24" x14ac:dyDescent="0.3">
      <c r="A466">
        <v>40</v>
      </c>
      <c r="B466" t="s">
        <v>15</v>
      </c>
      <c r="C466">
        <v>2757431.53</v>
      </c>
      <c r="D466" t="s">
        <v>941</v>
      </c>
      <c r="E466">
        <v>2757431.53</v>
      </c>
      <c r="F466">
        <v>0</v>
      </c>
      <c r="G466" t="s">
        <v>942</v>
      </c>
      <c r="H466">
        <v>0</v>
      </c>
      <c r="I466">
        <v>0</v>
      </c>
      <c r="J466">
        <v>1</v>
      </c>
      <c r="K466">
        <v>0</v>
      </c>
      <c r="L466">
        <v>16</v>
      </c>
      <c r="M466">
        <v>0</v>
      </c>
      <c r="N466">
        <v>1</v>
      </c>
      <c r="O466">
        <v>2757431.53</v>
      </c>
      <c r="P466">
        <v>5</v>
      </c>
      <c r="Q466">
        <v>5</v>
      </c>
      <c r="R466">
        <v>4.0999999999999996</v>
      </c>
      <c r="S466" t="s">
        <v>2310</v>
      </c>
      <c r="V466">
        <f t="shared" si="21"/>
        <v>0</v>
      </c>
      <c r="W466">
        <f t="shared" si="22"/>
        <v>0</v>
      </c>
      <c r="X466" t="str">
        <f t="shared" si="23"/>
        <v>MATCH</v>
      </c>
    </row>
    <row r="467" spans="1:24" x14ac:dyDescent="0.3">
      <c r="A467">
        <v>40</v>
      </c>
      <c r="B467" t="s">
        <v>18</v>
      </c>
      <c r="C467">
        <v>2757431.53</v>
      </c>
      <c r="D467" t="s">
        <v>943</v>
      </c>
      <c r="E467">
        <v>2757431.53</v>
      </c>
      <c r="F467">
        <v>0</v>
      </c>
      <c r="G467" t="s">
        <v>944</v>
      </c>
      <c r="H467">
        <v>0</v>
      </c>
      <c r="I467">
        <v>2757431.53</v>
      </c>
      <c r="J467">
        <v>1</v>
      </c>
      <c r="K467">
        <v>0</v>
      </c>
      <c r="L467">
        <v>16</v>
      </c>
      <c r="M467">
        <v>0</v>
      </c>
      <c r="N467">
        <v>1</v>
      </c>
      <c r="O467">
        <v>2757431.53</v>
      </c>
      <c r="P467">
        <v>5</v>
      </c>
      <c r="Q467">
        <v>4</v>
      </c>
      <c r="R467">
        <v>3.8000000000000003</v>
      </c>
      <c r="S467" t="s">
        <v>2310</v>
      </c>
      <c r="V467">
        <f t="shared" si="21"/>
        <v>0</v>
      </c>
      <c r="W467">
        <f t="shared" si="22"/>
        <v>0</v>
      </c>
      <c r="X467" t="str">
        <f t="shared" si="23"/>
        <v>MATCH</v>
      </c>
    </row>
    <row r="468" spans="1:24" x14ac:dyDescent="0.3">
      <c r="A468">
        <v>40</v>
      </c>
      <c r="B468" t="s">
        <v>15</v>
      </c>
      <c r="C468">
        <v>7887.75</v>
      </c>
      <c r="D468" t="s">
        <v>945</v>
      </c>
      <c r="E468">
        <v>7887.75</v>
      </c>
      <c r="F468">
        <v>0</v>
      </c>
      <c r="G468" t="s">
        <v>946</v>
      </c>
      <c r="H468">
        <v>0</v>
      </c>
      <c r="I468">
        <v>0</v>
      </c>
      <c r="J468">
        <v>1</v>
      </c>
      <c r="K468">
        <v>0</v>
      </c>
      <c r="L468">
        <v>16</v>
      </c>
      <c r="M468">
        <v>0</v>
      </c>
      <c r="N468">
        <v>1</v>
      </c>
      <c r="O468">
        <v>7887.75</v>
      </c>
      <c r="P468">
        <v>1</v>
      </c>
      <c r="Q468">
        <v>5</v>
      </c>
      <c r="R468">
        <v>2.1</v>
      </c>
      <c r="S468" t="s">
        <v>2312</v>
      </c>
      <c r="V468">
        <f t="shared" si="21"/>
        <v>0</v>
      </c>
      <c r="W468">
        <f t="shared" si="22"/>
        <v>0</v>
      </c>
      <c r="X468" t="str">
        <f t="shared" si="23"/>
        <v>MATCH</v>
      </c>
    </row>
    <row r="469" spans="1:24" x14ac:dyDescent="0.3">
      <c r="A469">
        <v>40</v>
      </c>
      <c r="B469" t="s">
        <v>18</v>
      </c>
      <c r="C469">
        <v>7887.75</v>
      </c>
      <c r="D469" t="s">
        <v>947</v>
      </c>
      <c r="E469">
        <v>7887.75</v>
      </c>
      <c r="F469">
        <v>0</v>
      </c>
      <c r="G469" t="s">
        <v>948</v>
      </c>
      <c r="H469">
        <v>0</v>
      </c>
      <c r="I469">
        <v>7887.75</v>
      </c>
      <c r="J469">
        <v>1</v>
      </c>
      <c r="K469">
        <v>0</v>
      </c>
      <c r="L469">
        <v>16</v>
      </c>
      <c r="M469">
        <v>0</v>
      </c>
      <c r="N469">
        <v>1</v>
      </c>
      <c r="O469">
        <v>7887.75</v>
      </c>
      <c r="P469">
        <v>1</v>
      </c>
      <c r="Q469">
        <v>4</v>
      </c>
      <c r="R469">
        <v>1.8</v>
      </c>
      <c r="S469" t="s">
        <v>2311</v>
      </c>
      <c r="V469">
        <f t="shared" si="21"/>
        <v>0</v>
      </c>
      <c r="W469">
        <f t="shared" si="22"/>
        <v>0</v>
      </c>
      <c r="X469" t="str">
        <f t="shared" si="23"/>
        <v>MATCH</v>
      </c>
    </row>
    <row r="470" spans="1:24" x14ac:dyDescent="0.3">
      <c r="A470">
        <v>40</v>
      </c>
      <c r="B470" t="s">
        <v>15</v>
      </c>
      <c r="C470">
        <v>31930.240000000002</v>
      </c>
      <c r="D470" t="s">
        <v>949</v>
      </c>
      <c r="E470">
        <v>31930.240000000002</v>
      </c>
      <c r="F470">
        <v>0</v>
      </c>
      <c r="G470" t="s">
        <v>950</v>
      </c>
      <c r="H470">
        <v>0</v>
      </c>
      <c r="I470">
        <v>0</v>
      </c>
      <c r="J470">
        <v>1</v>
      </c>
      <c r="K470">
        <v>0</v>
      </c>
      <c r="L470">
        <v>16</v>
      </c>
      <c r="M470">
        <v>0</v>
      </c>
      <c r="N470">
        <v>1</v>
      </c>
      <c r="O470">
        <v>31930.240000000002</v>
      </c>
      <c r="P470">
        <v>2</v>
      </c>
      <c r="Q470">
        <v>5</v>
      </c>
      <c r="R470">
        <v>2.6</v>
      </c>
      <c r="S470" t="s">
        <v>2312</v>
      </c>
      <c r="V470">
        <f t="shared" si="21"/>
        <v>0</v>
      </c>
      <c r="W470">
        <f t="shared" si="22"/>
        <v>0</v>
      </c>
      <c r="X470" t="str">
        <f t="shared" si="23"/>
        <v>MATCH</v>
      </c>
    </row>
    <row r="471" spans="1:24" x14ac:dyDescent="0.3">
      <c r="A471">
        <v>40</v>
      </c>
      <c r="B471" t="s">
        <v>18</v>
      </c>
      <c r="C471">
        <v>31930.240000000002</v>
      </c>
      <c r="D471" t="s">
        <v>951</v>
      </c>
      <c r="E471">
        <v>31930.240000000002</v>
      </c>
      <c r="F471">
        <v>0</v>
      </c>
      <c r="G471" t="s">
        <v>952</v>
      </c>
      <c r="H471">
        <v>113287.58</v>
      </c>
      <c r="I471">
        <v>145217.82</v>
      </c>
      <c r="J471">
        <v>1</v>
      </c>
      <c r="K471">
        <v>0</v>
      </c>
      <c r="L471">
        <v>16</v>
      </c>
      <c r="M471">
        <v>0</v>
      </c>
      <c r="N471">
        <v>1</v>
      </c>
      <c r="O471">
        <v>31930.240000000002</v>
      </c>
      <c r="P471">
        <v>2</v>
      </c>
      <c r="Q471">
        <v>4</v>
      </c>
      <c r="R471">
        <v>2.3000000000000003</v>
      </c>
      <c r="S471" t="s">
        <v>2312</v>
      </c>
      <c r="V471">
        <f t="shared" si="21"/>
        <v>0</v>
      </c>
      <c r="W471">
        <f t="shared" si="22"/>
        <v>0</v>
      </c>
      <c r="X471" t="str">
        <f t="shared" si="23"/>
        <v>MATCH</v>
      </c>
    </row>
    <row r="472" spans="1:24" x14ac:dyDescent="0.3">
      <c r="A472">
        <v>40</v>
      </c>
      <c r="B472" t="s">
        <v>15</v>
      </c>
      <c r="C472">
        <v>212613.29</v>
      </c>
      <c r="D472" t="s">
        <v>953</v>
      </c>
      <c r="E472">
        <v>212613.29</v>
      </c>
      <c r="F472">
        <v>0</v>
      </c>
      <c r="G472" t="s">
        <v>954</v>
      </c>
      <c r="H472">
        <v>0</v>
      </c>
      <c r="I472">
        <v>0</v>
      </c>
      <c r="J472">
        <v>1</v>
      </c>
      <c r="K472">
        <v>0</v>
      </c>
      <c r="L472">
        <v>16</v>
      </c>
      <c r="M472">
        <v>0</v>
      </c>
      <c r="N472">
        <v>1</v>
      </c>
      <c r="O472">
        <v>212613.29</v>
      </c>
      <c r="P472">
        <v>5</v>
      </c>
      <c r="Q472">
        <v>5</v>
      </c>
      <c r="R472">
        <v>4.0999999999999996</v>
      </c>
      <c r="S472" t="s">
        <v>2310</v>
      </c>
      <c r="V472">
        <f t="shared" si="21"/>
        <v>0</v>
      </c>
      <c r="W472">
        <f t="shared" si="22"/>
        <v>0</v>
      </c>
      <c r="X472" t="str">
        <f t="shared" si="23"/>
        <v>MATCH</v>
      </c>
    </row>
    <row r="473" spans="1:24" x14ac:dyDescent="0.3">
      <c r="A473">
        <v>40</v>
      </c>
      <c r="B473" t="s">
        <v>18</v>
      </c>
      <c r="C473">
        <v>212613.29</v>
      </c>
      <c r="D473" t="s">
        <v>955</v>
      </c>
      <c r="E473">
        <v>212613.29</v>
      </c>
      <c r="F473">
        <v>0</v>
      </c>
      <c r="G473" t="s">
        <v>956</v>
      </c>
      <c r="H473">
        <v>1370788.41</v>
      </c>
      <c r="I473">
        <v>1583401.69</v>
      </c>
      <c r="J473">
        <v>1</v>
      </c>
      <c r="K473">
        <v>0</v>
      </c>
      <c r="L473">
        <v>16</v>
      </c>
      <c r="M473">
        <v>0</v>
      </c>
      <c r="N473">
        <v>1</v>
      </c>
      <c r="O473">
        <v>212613.29</v>
      </c>
      <c r="P473">
        <v>5</v>
      </c>
      <c r="Q473">
        <v>4</v>
      </c>
      <c r="R473">
        <v>3.8000000000000003</v>
      </c>
      <c r="S473" t="s">
        <v>2310</v>
      </c>
      <c r="V473">
        <f t="shared" si="21"/>
        <v>0</v>
      </c>
      <c r="W473">
        <f t="shared" si="22"/>
        <v>0</v>
      </c>
      <c r="X473" t="str">
        <f t="shared" si="23"/>
        <v>MATCH</v>
      </c>
    </row>
    <row r="474" spans="1:24" x14ac:dyDescent="0.3">
      <c r="A474">
        <v>41</v>
      </c>
      <c r="B474" t="s">
        <v>15</v>
      </c>
      <c r="C474">
        <v>581889.93999999994</v>
      </c>
      <c r="D474" t="s">
        <v>957</v>
      </c>
      <c r="E474">
        <v>581889.93999999994</v>
      </c>
      <c r="F474">
        <v>0</v>
      </c>
      <c r="G474" t="s">
        <v>958</v>
      </c>
      <c r="H474">
        <v>0</v>
      </c>
      <c r="I474">
        <v>0</v>
      </c>
      <c r="J474">
        <v>1</v>
      </c>
      <c r="K474">
        <v>0</v>
      </c>
      <c r="L474">
        <v>17</v>
      </c>
      <c r="M474">
        <v>0</v>
      </c>
      <c r="N474">
        <v>1</v>
      </c>
      <c r="O474">
        <v>581889.93999999994</v>
      </c>
      <c r="P474">
        <v>5</v>
      </c>
      <c r="Q474">
        <v>5</v>
      </c>
      <c r="R474">
        <v>4.0999999999999996</v>
      </c>
      <c r="S474" t="s">
        <v>2310</v>
      </c>
      <c r="V474">
        <f t="shared" si="21"/>
        <v>0</v>
      </c>
      <c r="W474">
        <f t="shared" si="22"/>
        <v>0</v>
      </c>
      <c r="X474" t="str">
        <f t="shared" si="23"/>
        <v>MATCH</v>
      </c>
    </row>
    <row r="475" spans="1:24" x14ac:dyDescent="0.3">
      <c r="A475">
        <v>41</v>
      </c>
      <c r="B475" t="s">
        <v>18</v>
      </c>
      <c r="C475">
        <v>581889.93999999994</v>
      </c>
      <c r="D475" t="s">
        <v>959</v>
      </c>
      <c r="E475">
        <v>581889.93999999994</v>
      </c>
      <c r="F475">
        <v>0</v>
      </c>
      <c r="G475" t="s">
        <v>960</v>
      </c>
      <c r="H475">
        <v>359585.03</v>
      </c>
      <c r="I475">
        <v>941474.97</v>
      </c>
      <c r="J475">
        <v>1</v>
      </c>
      <c r="K475">
        <v>0</v>
      </c>
      <c r="L475">
        <v>17</v>
      </c>
      <c r="M475">
        <v>0</v>
      </c>
      <c r="N475">
        <v>1</v>
      </c>
      <c r="O475">
        <v>581889.93999999994</v>
      </c>
      <c r="P475">
        <v>5</v>
      </c>
      <c r="Q475">
        <v>4</v>
      </c>
      <c r="R475">
        <v>3.8000000000000003</v>
      </c>
      <c r="S475" t="s">
        <v>2310</v>
      </c>
      <c r="V475">
        <f t="shared" si="21"/>
        <v>0</v>
      </c>
      <c r="W475">
        <f t="shared" si="22"/>
        <v>0</v>
      </c>
      <c r="X475" t="str">
        <f t="shared" si="23"/>
        <v>MATCH</v>
      </c>
    </row>
    <row r="476" spans="1:24" x14ac:dyDescent="0.3">
      <c r="A476">
        <v>41</v>
      </c>
      <c r="B476" t="s">
        <v>15</v>
      </c>
      <c r="C476">
        <v>1783144.33</v>
      </c>
      <c r="D476" t="s">
        <v>961</v>
      </c>
      <c r="E476">
        <v>1783144.33</v>
      </c>
      <c r="F476">
        <v>0</v>
      </c>
      <c r="G476" t="s">
        <v>962</v>
      </c>
      <c r="H476">
        <v>0</v>
      </c>
      <c r="I476">
        <v>0</v>
      </c>
      <c r="J476">
        <v>1</v>
      </c>
      <c r="K476">
        <v>0</v>
      </c>
      <c r="L476">
        <v>17</v>
      </c>
      <c r="M476">
        <v>0</v>
      </c>
      <c r="N476">
        <v>1</v>
      </c>
      <c r="O476">
        <v>1783144.33</v>
      </c>
      <c r="P476">
        <v>5</v>
      </c>
      <c r="Q476">
        <v>5</v>
      </c>
      <c r="R476">
        <v>4.0999999999999996</v>
      </c>
      <c r="S476" t="s">
        <v>2310</v>
      </c>
      <c r="V476">
        <f t="shared" si="21"/>
        <v>0</v>
      </c>
      <c r="W476">
        <f t="shared" si="22"/>
        <v>0</v>
      </c>
      <c r="X476" t="str">
        <f t="shared" si="23"/>
        <v>MATCH</v>
      </c>
    </row>
    <row r="477" spans="1:24" x14ac:dyDescent="0.3">
      <c r="A477">
        <v>41</v>
      </c>
      <c r="B477" t="s">
        <v>18</v>
      </c>
      <c r="C477">
        <v>1783144.33</v>
      </c>
      <c r="D477" t="s">
        <v>963</v>
      </c>
      <c r="E477">
        <v>1783144.33</v>
      </c>
      <c r="F477">
        <v>0</v>
      </c>
      <c r="G477" t="s">
        <v>964</v>
      </c>
      <c r="H477">
        <v>1793786.8</v>
      </c>
      <c r="I477">
        <v>3576931.13</v>
      </c>
      <c r="J477">
        <v>1</v>
      </c>
      <c r="K477">
        <v>0</v>
      </c>
      <c r="L477">
        <v>17</v>
      </c>
      <c r="M477">
        <v>0</v>
      </c>
      <c r="N477">
        <v>1</v>
      </c>
      <c r="O477">
        <v>1783144.33</v>
      </c>
      <c r="P477">
        <v>5</v>
      </c>
      <c r="Q477">
        <v>4</v>
      </c>
      <c r="R477">
        <v>3.8000000000000003</v>
      </c>
      <c r="S477" t="s">
        <v>2310</v>
      </c>
      <c r="V477">
        <f t="shared" si="21"/>
        <v>0</v>
      </c>
      <c r="W477">
        <f t="shared" si="22"/>
        <v>0</v>
      </c>
      <c r="X477" t="str">
        <f t="shared" si="23"/>
        <v>MATCH</v>
      </c>
    </row>
    <row r="478" spans="1:24" x14ac:dyDescent="0.3">
      <c r="A478">
        <v>41</v>
      </c>
      <c r="B478" t="s">
        <v>15</v>
      </c>
      <c r="C478">
        <v>82806.2</v>
      </c>
      <c r="D478" t="s">
        <v>965</v>
      </c>
      <c r="E478">
        <v>82806.2</v>
      </c>
      <c r="F478">
        <v>0</v>
      </c>
      <c r="G478" t="s">
        <v>966</v>
      </c>
      <c r="H478">
        <v>0</v>
      </c>
      <c r="I478">
        <v>0</v>
      </c>
      <c r="J478">
        <v>1</v>
      </c>
      <c r="K478">
        <v>0</v>
      </c>
      <c r="L478">
        <v>17</v>
      </c>
      <c r="M478">
        <v>0</v>
      </c>
      <c r="N478">
        <v>1</v>
      </c>
      <c r="O478">
        <v>82806.2</v>
      </c>
      <c r="P478">
        <v>3</v>
      </c>
      <c r="Q478">
        <v>5</v>
      </c>
      <c r="R478">
        <v>3.1</v>
      </c>
      <c r="S478" t="s">
        <v>2310</v>
      </c>
      <c r="V478">
        <f t="shared" si="21"/>
        <v>0</v>
      </c>
      <c r="W478">
        <f t="shared" si="22"/>
        <v>0</v>
      </c>
      <c r="X478" t="str">
        <f t="shared" si="23"/>
        <v>MATCH</v>
      </c>
    </row>
    <row r="479" spans="1:24" x14ac:dyDescent="0.3">
      <c r="A479">
        <v>41</v>
      </c>
      <c r="B479" t="s">
        <v>18</v>
      </c>
      <c r="C479">
        <v>82806.2</v>
      </c>
      <c r="D479" t="s">
        <v>967</v>
      </c>
      <c r="E479">
        <v>82806.2</v>
      </c>
      <c r="F479">
        <v>0</v>
      </c>
      <c r="G479" t="s">
        <v>968</v>
      </c>
      <c r="H479">
        <v>0</v>
      </c>
      <c r="I479">
        <v>0</v>
      </c>
      <c r="J479">
        <v>1</v>
      </c>
      <c r="K479">
        <v>0</v>
      </c>
      <c r="L479">
        <v>17</v>
      </c>
      <c r="M479">
        <v>0</v>
      </c>
      <c r="N479">
        <v>1</v>
      </c>
      <c r="O479">
        <v>82806.2</v>
      </c>
      <c r="P479">
        <v>3</v>
      </c>
      <c r="Q479">
        <v>4</v>
      </c>
      <c r="R479">
        <v>2.8000000000000003</v>
      </c>
      <c r="S479" t="s">
        <v>2312</v>
      </c>
      <c r="V479">
        <f t="shared" si="21"/>
        <v>0</v>
      </c>
      <c r="W479">
        <f t="shared" si="22"/>
        <v>0</v>
      </c>
      <c r="X479" t="str">
        <f t="shared" si="23"/>
        <v>MATCH</v>
      </c>
    </row>
    <row r="480" spans="1:24" x14ac:dyDescent="0.3">
      <c r="A480">
        <v>41</v>
      </c>
      <c r="B480" t="s">
        <v>15</v>
      </c>
      <c r="C480">
        <v>32690.68</v>
      </c>
      <c r="D480" t="s">
        <v>969</v>
      </c>
      <c r="E480">
        <v>32690.68</v>
      </c>
      <c r="F480">
        <v>0</v>
      </c>
      <c r="G480" t="s">
        <v>970</v>
      </c>
      <c r="H480">
        <v>0</v>
      </c>
      <c r="I480">
        <v>0</v>
      </c>
      <c r="J480">
        <v>1</v>
      </c>
      <c r="K480">
        <v>0</v>
      </c>
      <c r="L480">
        <v>17</v>
      </c>
      <c r="M480">
        <v>0</v>
      </c>
      <c r="N480">
        <v>1</v>
      </c>
      <c r="O480">
        <v>32690.68</v>
      </c>
      <c r="P480">
        <v>2</v>
      </c>
      <c r="Q480">
        <v>5</v>
      </c>
      <c r="R480">
        <v>2.6</v>
      </c>
      <c r="S480" t="s">
        <v>2312</v>
      </c>
      <c r="V480">
        <f t="shared" si="21"/>
        <v>0</v>
      </c>
      <c r="W480">
        <f t="shared" si="22"/>
        <v>0</v>
      </c>
      <c r="X480" t="str">
        <f t="shared" si="23"/>
        <v>MATCH</v>
      </c>
    </row>
    <row r="481" spans="1:24" x14ac:dyDescent="0.3">
      <c r="A481">
        <v>41</v>
      </c>
      <c r="B481" t="s">
        <v>18</v>
      </c>
      <c r="C481">
        <v>32690.68</v>
      </c>
      <c r="D481" t="s">
        <v>971</v>
      </c>
      <c r="E481">
        <v>32690.68</v>
      </c>
      <c r="F481">
        <v>0</v>
      </c>
      <c r="G481" t="s">
        <v>972</v>
      </c>
      <c r="H481">
        <v>2361188.1</v>
      </c>
      <c r="I481">
        <v>2393878.7799999998</v>
      </c>
      <c r="J481">
        <v>1</v>
      </c>
      <c r="K481">
        <v>0</v>
      </c>
      <c r="L481">
        <v>17</v>
      </c>
      <c r="M481">
        <v>0</v>
      </c>
      <c r="N481">
        <v>1</v>
      </c>
      <c r="O481">
        <v>32690.68</v>
      </c>
      <c r="P481">
        <v>2</v>
      </c>
      <c r="Q481">
        <v>4</v>
      </c>
      <c r="R481">
        <v>2.3000000000000003</v>
      </c>
      <c r="S481" t="s">
        <v>2312</v>
      </c>
      <c r="V481">
        <f t="shared" si="21"/>
        <v>0</v>
      </c>
      <c r="W481">
        <f t="shared" si="22"/>
        <v>0</v>
      </c>
      <c r="X481" t="str">
        <f t="shared" si="23"/>
        <v>MATCH</v>
      </c>
    </row>
    <row r="482" spans="1:24" x14ac:dyDescent="0.3">
      <c r="A482">
        <v>41</v>
      </c>
      <c r="B482" t="s">
        <v>15</v>
      </c>
      <c r="C482">
        <v>1270564.3400000001</v>
      </c>
      <c r="D482" t="s">
        <v>973</v>
      </c>
      <c r="E482">
        <v>1270564.3400000001</v>
      </c>
      <c r="F482">
        <v>0</v>
      </c>
      <c r="G482" t="s">
        <v>974</v>
      </c>
      <c r="H482">
        <v>0</v>
      </c>
      <c r="I482">
        <v>0</v>
      </c>
      <c r="J482">
        <v>1</v>
      </c>
      <c r="K482">
        <v>0</v>
      </c>
      <c r="L482">
        <v>17</v>
      </c>
      <c r="M482">
        <v>0</v>
      </c>
      <c r="N482">
        <v>1</v>
      </c>
      <c r="O482">
        <v>1270564.3400000001</v>
      </c>
      <c r="P482">
        <v>5</v>
      </c>
      <c r="Q482">
        <v>5</v>
      </c>
      <c r="R482">
        <v>4.0999999999999996</v>
      </c>
      <c r="S482" t="s">
        <v>2310</v>
      </c>
      <c r="V482">
        <f t="shared" si="21"/>
        <v>0</v>
      </c>
      <c r="W482">
        <f t="shared" si="22"/>
        <v>0</v>
      </c>
      <c r="X482" t="str">
        <f t="shared" si="23"/>
        <v>MATCH</v>
      </c>
    </row>
    <row r="483" spans="1:24" x14ac:dyDescent="0.3">
      <c r="A483">
        <v>41</v>
      </c>
      <c r="B483" t="s">
        <v>18</v>
      </c>
      <c r="C483">
        <v>1270564.3400000001</v>
      </c>
      <c r="D483" t="s">
        <v>975</v>
      </c>
      <c r="E483">
        <v>1270564.3400000001</v>
      </c>
      <c r="F483">
        <v>0</v>
      </c>
      <c r="G483" t="s">
        <v>976</v>
      </c>
      <c r="H483">
        <v>0</v>
      </c>
      <c r="I483">
        <v>1270564.3400000001</v>
      </c>
      <c r="J483">
        <v>1</v>
      </c>
      <c r="K483">
        <v>0</v>
      </c>
      <c r="L483">
        <v>17</v>
      </c>
      <c r="M483">
        <v>0</v>
      </c>
      <c r="N483">
        <v>1</v>
      </c>
      <c r="O483">
        <v>1270564.3400000001</v>
      </c>
      <c r="P483">
        <v>5</v>
      </c>
      <c r="Q483">
        <v>4</v>
      </c>
      <c r="R483">
        <v>3.8000000000000003</v>
      </c>
      <c r="S483" t="s">
        <v>2310</v>
      </c>
      <c r="V483">
        <f t="shared" si="21"/>
        <v>0</v>
      </c>
      <c r="W483">
        <f t="shared" si="22"/>
        <v>0</v>
      </c>
      <c r="X483" t="str">
        <f t="shared" si="23"/>
        <v>MATCH</v>
      </c>
    </row>
    <row r="484" spans="1:24" x14ac:dyDescent="0.3">
      <c r="A484">
        <v>41</v>
      </c>
      <c r="B484" t="s">
        <v>15</v>
      </c>
      <c r="C484">
        <v>2885466.96</v>
      </c>
      <c r="D484" t="s">
        <v>977</v>
      </c>
      <c r="E484">
        <v>2885466.96</v>
      </c>
      <c r="F484">
        <v>0</v>
      </c>
      <c r="G484" t="s">
        <v>978</v>
      </c>
      <c r="H484">
        <v>0</v>
      </c>
      <c r="I484">
        <v>0</v>
      </c>
      <c r="J484">
        <v>1</v>
      </c>
      <c r="K484">
        <v>0</v>
      </c>
      <c r="L484">
        <v>17</v>
      </c>
      <c r="M484">
        <v>0</v>
      </c>
      <c r="N484">
        <v>1</v>
      </c>
      <c r="O484">
        <v>2885466.96</v>
      </c>
      <c r="P484">
        <v>5</v>
      </c>
      <c r="Q484">
        <v>5</v>
      </c>
      <c r="R484">
        <v>4.0999999999999996</v>
      </c>
      <c r="S484" t="s">
        <v>2310</v>
      </c>
      <c r="V484">
        <f t="shared" si="21"/>
        <v>0</v>
      </c>
      <c r="W484">
        <f t="shared" si="22"/>
        <v>0</v>
      </c>
      <c r="X484" t="str">
        <f t="shared" si="23"/>
        <v>MATCH</v>
      </c>
    </row>
    <row r="485" spans="1:24" x14ac:dyDescent="0.3">
      <c r="A485">
        <v>41</v>
      </c>
      <c r="B485" t="s">
        <v>18</v>
      </c>
      <c r="C485">
        <v>2885466.96</v>
      </c>
      <c r="D485" t="s">
        <v>979</v>
      </c>
      <c r="E485">
        <v>2885466.96</v>
      </c>
      <c r="F485">
        <v>0</v>
      </c>
      <c r="G485" t="s">
        <v>980</v>
      </c>
      <c r="H485">
        <v>28131.01</v>
      </c>
      <c r="I485">
        <v>3268477.05</v>
      </c>
      <c r="J485">
        <v>1</v>
      </c>
      <c r="K485">
        <v>0</v>
      </c>
      <c r="L485">
        <v>17</v>
      </c>
      <c r="M485">
        <v>0</v>
      </c>
      <c r="N485">
        <v>1</v>
      </c>
      <c r="O485">
        <v>2885466.96</v>
      </c>
      <c r="P485">
        <v>5</v>
      </c>
      <c r="Q485">
        <v>4</v>
      </c>
      <c r="R485">
        <v>3.8000000000000003</v>
      </c>
      <c r="S485" t="s">
        <v>2310</v>
      </c>
      <c r="V485">
        <f t="shared" si="21"/>
        <v>0</v>
      </c>
      <c r="W485">
        <f t="shared" si="22"/>
        <v>0</v>
      </c>
      <c r="X485" t="str">
        <f t="shared" si="23"/>
        <v>MATCH</v>
      </c>
    </row>
    <row r="486" spans="1:24" x14ac:dyDescent="0.3">
      <c r="A486">
        <v>42</v>
      </c>
      <c r="B486" t="s">
        <v>15</v>
      </c>
      <c r="C486">
        <v>334276.08</v>
      </c>
      <c r="D486" t="s">
        <v>981</v>
      </c>
      <c r="E486">
        <v>334276.08</v>
      </c>
      <c r="F486">
        <v>0</v>
      </c>
      <c r="G486" t="s">
        <v>982</v>
      </c>
      <c r="H486">
        <v>0</v>
      </c>
      <c r="I486">
        <v>0</v>
      </c>
      <c r="J486">
        <v>1</v>
      </c>
      <c r="K486">
        <v>0</v>
      </c>
      <c r="L486">
        <v>18</v>
      </c>
      <c r="M486">
        <v>0</v>
      </c>
      <c r="N486">
        <v>1</v>
      </c>
      <c r="O486">
        <v>334276.08</v>
      </c>
      <c r="P486">
        <v>5</v>
      </c>
      <c r="Q486">
        <v>5</v>
      </c>
      <c r="R486">
        <v>4.0999999999999996</v>
      </c>
      <c r="S486" t="s">
        <v>2310</v>
      </c>
      <c r="V486">
        <f t="shared" si="21"/>
        <v>0</v>
      </c>
      <c r="W486">
        <f t="shared" si="22"/>
        <v>0</v>
      </c>
      <c r="X486" t="str">
        <f t="shared" si="23"/>
        <v>MATCH</v>
      </c>
    </row>
    <row r="487" spans="1:24" x14ac:dyDescent="0.3">
      <c r="A487">
        <v>42</v>
      </c>
      <c r="B487" t="s">
        <v>18</v>
      </c>
      <c r="C487">
        <v>334276.08</v>
      </c>
      <c r="D487" t="s">
        <v>983</v>
      </c>
      <c r="E487">
        <v>334276.08</v>
      </c>
      <c r="F487">
        <v>0</v>
      </c>
      <c r="G487" t="s">
        <v>984</v>
      </c>
      <c r="H487">
        <v>318089.61</v>
      </c>
      <c r="I487">
        <v>652365.68000000005</v>
      </c>
      <c r="J487">
        <v>1</v>
      </c>
      <c r="K487">
        <v>0</v>
      </c>
      <c r="L487">
        <v>18</v>
      </c>
      <c r="M487">
        <v>0</v>
      </c>
      <c r="N487">
        <v>1</v>
      </c>
      <c r="O487">
        <v>334276.08</v>
      </c>
      <c r="P487">
        <v>5</v>
      </c>
      <c r="Q487">
        <v>4</v>
      </c>
      <c r="R487">
        <v>3.8000000000000003</v>
      </c>
      <c r="S487" t="s">
        <v>2310</v>
      </c>
      <c r="V487">
        <f t="shared" si="21"/>
        <v>0</v>
      </c>
      <c r="W487">
        <f t="shared" si="22"/>
        <v>0</v>
      </c>
      <c r="X487" t="str">
        <f t="shared" si="23"/>
        <v>MATCH</v>
      </c>
    </row>
    <row r="488" spans="1:24" x14ac:dyDescent="0.3">
      <c r="A488">
        <v>42</v>
      </c>
      <c r="B488" t="s">
        <v>15</v>
      </c>
      <c r="C488">
        <v>3569720.42</v>
      </c>
      <c r="D488" t="s">
        <v>985</v>
      </c>
      <c r="E488">
        <v>3569720.42</v>
      </c>
      <c r="F488">
        <v>0</v>
      </c>
      <c r="G488" t="s">
        <v>986</v>
      </c>
      <c r="H488">
        <v>0</v>
      </c>
      <c r="I488">
        <v>0</v>
      </c>
      <c r="J488">
        <v>1</v>
      </c>
      <c r="K488">
        <v>0</v>
      </c>
      <c r="L488">
        <v>18</v>
      </c>
      <c r="M488">
        <v>0</v>
      </c>
      <c r="N488">
        <v>1</v>
      </c>
      <c r="O488">
        <v>3569720.42</v>
      </c>
      <c r="P488">
        <v>5</v>
      </c>
      <c r="Q488">
        <v>5</v>
      </c>
      <c r="R488">
        <v>4.0999999999999996</v>
      </c>
      <c r="S488" t="s">
        <v>2310</v>
      </c>
      <c r="V488">
        <f t="shared" si="21"/>
        <v>0</v>
      </c>
      <c r="W488">
        <f t="shared" si="22"/>
        <v>0</v>
      </c>
      <c r="X488" t="str">
        <f t="shared" si="23"/>
        <v>MATCH</v>
      </c>
    </row>
    <row r="489" spans="1:24" x14ac:dyDescent="0.3">
      <c r="A489">
        <v>42</v>
      </c>
      <c r="B489" t="s">
        <v>18</v>
      </c>
      <c r="C489">
        <v>3569720.42</v>
      </c>
      <c r="D489" t="s">
        <v>987</v>
      </c>
      <c r="E489">
        <v>3569720.42</v>
      </c>
      <c r="F489">
        <v>0</v>
      </c>
      <c r="G489" t="s">
        <v>988</v>
      </c>
      <c r="H489">
        <v>0</v>
      </c>
      <c r="I489">
        <v>3569720.42</v>
      </c>
      <c r="J489">
        <v>1</v>
      </c>
      <c r="K489">
        <v>0</v>
      </c>
      <c r="L489">
        <v>18</v>
      </c>
      <c r="M489">
        <v>0</v>
      </c>
      <c r="N489">
        <v>1</v>
      </c>
      <c r="O489">
        <v>3569720.42</v>
      </c>
      <c r="P489">
        <v>5</v>
      </c>
      <c r="Q489">
        <v>4</v>
      </c>
      <c r="R489">
        <v>3.8000000000000003</v>
      </c>
      <c r="S489" t="s">
        <v>2310</v>
      </c>
      <c r="V489">
        <f t="shared" si="21"/>
        <v>0</v>
      </c>
      <c r="W489">
        <f t="shared" si="22"/>
        <v>0</v>
      </c>
      <c r="X489" t="str">
        <f t="shared" si="23"/>
        <v>MATCH</v>
      </c>
    </row>
    <row r="490" spans="1:24" x14ac:dyDescent="0.3">
      <c r="A490">
        <v>42</v>
      </c>
      <c r="B490" t="s">
        <v>15</v>
      </c>
      <c r="C490">
        <v>1566057.28</v>
      </c>
      <c r="D490" t="s">
        <v>989</v>
      </c>
      <c r="E490">
        <v>1566057.28</v>
      </c>
      <c r="F490">
        <v>0</v>
      </c>
      <c r="G490" t="s">
        <v>990</v>
      </c>
      <c r="H490">
        <v>0</v>
      </c>
      <c r="I490">
        <v>0</v>
      </c>
      <c r="J490">
        <v>1</v>
      </c>
      <c r="K490">
        <v>0</v>
      </c>
      <c r="L490">
        <v>18</v>
      </c>
      <c r="M490">
        <v>0</v>
      </c>
      <c r="N490">
        <v>1</v>
      </c>
      <c r="O490">
        <v>1566057.28</v>
      </c>
      <c r="P490">
        <v>5</v>
      </c>
      <c r="Q490">
        <v>5</v>
      </c>
      <c r="R490">
        <v>4.0999999999999996</v>
      </c>
      <c r="S490" t="s">
        <v>2310</v>
      </c>
      <c r="V490">
        <f t="shared" si="21"/>
        <v>0</v>
      </c>
      <c r="W490">
        <f t="shared" si="22"/>
        <v>0</v>
      </c>
      <c r="X490" t="str">
        <f t="shared" si="23"/>
        <v>MATCH</v>
      </c>
    </row>
    <row r="491" spans="1:24" x14ac:dyDescent="0.3">
      <c r="A491">
        <v>42</v>
      </c>
      <c r="B491" t="s">
        <v>18</v>
      </c>
      <c r="C491">
        <v>1566057.28</v>
      </c>
      <c r="D491" t="s">
        <v>991</v>
      </c>
      <c r="E491">
        <v>1566057.28</v>
      </c>
      <c r="F491">
        <v>0</v>
      </c>
      <c r="G491" t="s">
        <v>992</v>
      </c>
      <c r="H491">
        <v>0</v>
      </c>
      <c r="I491">
        <v>1566057.28</v>
      </c>
      <c r="J491">
        <v>1</v>
      </c>
      <c r="K491">
        <v>0</v>
      </c>
      <c r="L491">
        <v>18</v>
      </c>
      <c r="M491">
        <v>0</v>
      </c>
      <c r="N491">
        <v>1</v>
      </c>
      <c r="O491">
        <v>1566057.28</v>
      </c>
      <c r="P491">
        <v>5</v>
      </c>
      <c r="Q491">
        <v>4</v>
      </c>
      <c r="R491">
        <v>3.8000000000000003</v>
      </c>
      <c r="S491" t="s">
        <v>2310</v>
      </c>
      <c r="V491">
        <f t="shared" si="21"/>
        <v>0</v>
      </c>
      <c r="W491">
        <f t="shared" si="22"/>
        <v>0</v>
      </c>
      <c r="X491" t="str">
        <f t="shared" si="23"/>
        <v>MATCH</v>
      </c>
    </row>
    <row r="492" spans="1:24" x14ac:dyDescent="0.3">
      <c r="A492">
        <v>42</v>
      </c>
      <c r="B492" t="s">
        <v>15</v>
      </c>
      <c r="C492">
        <v>5032484.7300000004</v>
      </c>
      <c r="D492" t="s">
        <v>993</v>
      </c>
      <c r="E492">
        <v>5032484.7300000004</v>
      </c>
      <c r="F492">
        <v>0</v>
      </c>
      <c r="G492" t="s">
        <v>994</v>
      </c>
      <c r="H492">
        <v>0</v>
      </c>
      <c r="I492">
        <v>0</v>
      </c>
      <c r="J492">
        <v>1</v>
      </c>
      <c r="K492">
        <v>0</v>
      </c>
      <c r="L492">
        <v>18</v>
      </c>
      <c r="M492">
        <v>0</v>
      </c>
      <c r="N492">
        <v>1</v>
      </c>
      <c r="O492">
        <v>5032484.7300000004</v>
      </c>
      <c r="P492">
        <v>5</v>
      </c>
      <c r="Q492">
        <v>5</v>
      </c>
      <c r="R492">
        <v>4.0999999999999996</v>
      </c>
      <c r="S492" t="s">
        <v>2310</v>
      </c>
      <c r="V492">
        <f t="shared" si="21"/>
        <v>0</v>
      </c>
      <c r="W492">
        <f t="shared" si="22"/>
        <v>0</v>
      </c>
      <c r="X492" t="str">
        <f t="shared" si="23"/>
        <v>MATCH</v>
      </c>
    </row>
    <row r="493" spans="1:24" x14ac:dyDescent="0.3">
      <c r="A493">
        <v>42</v>
      </c>
      <c r="B493" t="s">
        <v>18</v>
      </c>
      <c r="C493">
        <v>5032484.7300000004</v>
      </c>
      <c r="D493" t="s">
        <v>995</v>
      </c>
      <c r="E493">
        <v>5032484.7300000004</v>
      </c>
      <c r="F493">
        <v>0</v>
      </c>
      <c r="G493" t="s">
        <v>996</v>
      </c>
      <c r="H493">
        <v>873589.17</v>
      </c>
      <c r="I493">
        <v>5906073.9000000004</v>
      </c>
      <c r="J493">
        <v>1</v>
      </c>
      <c r="K493">
        <v>0</v>
      </c>
      <c r="L493">
        <v>18</v>
      </c>
      <c r="M493">
        <v>0</v>
      </c>
      <c r="N493">
        <v>1</v>
      </c>
      <c r="O493">
        <v>5032484.7300000004</v>
      </c>
      <c r="P493">
        <v>5</v>
      </c>
      <c r="Q493">
        <v>4</v>
      </c>
      <c r="R493">
        <v>3.8000000000000003</v>
      </c>
      <c r="S493" t="s">
        <v>2310</v>
      </c>
      <c r="V493">
        <f t="shared" si="21"/>
        <v>0</v>
      </c>
      <c r="W493">
        <f t="shared" si="22"/>
        <v>0</v>
      </c>
      <c r="X493" t="str">
        <f t="shared" si="23"/>
        <v>MATCH</v>
      </c>
    </row>
    <row r="494" spans="1:24" x14ac:dyDescent="0.3">
      <c r="A494">
        <v>42</v>
      </c>
      <c r="B494" t="s">
        <v>15</v>
      </c>
      <c r="C494">
        <v>36359.57</v>
      </c>
      <c r="D494" t="s">
        <v>997</v>
      </c>
      <c r="E494">
        <v>36359.57</v>
      </c>
      <c r="F494">
        <v>0</v>
      </c>
      <c r="G494" t="s">
        <v>998</v>
      </c>
      <c r="H494">
        <v>0</v>
      </c>
      <c r="I494">
        <v>0</v>
      </c>
      <c r="J494">
        <v>1</v>
      </c>
      <c r="K494">
        <v>0</v>
      </c>
      <c r="L494">
        <v>18</v>
      </c>
      <c r="M494">
        <v>0</v>
      </c>
      <c r="N494">
        <v>1</v>
      </c>
      <c r="O494">
        <v>36359.57</v>
      </c>
      <c r="P494">
        <v>2</v>
      </c>
      <c r="Q494">
        <v>5</v>
      </c>
      <c r="R494">
        <v>2.6</v>
      </c>
      <c r="S494" t="s">
        <v>2312</v>
      </c>
      <c r="V494">
        <f t="shared" si="21"/>
        <v>0</v>
      </c>
      <c r="W494">
        <f t="shared" si="22"/>
        <v>0</v>
      </c>
      <c r="X494" t="str">
        <f t="shared" si="23"/>
        <v>MATCH</v>
      </c>
    </row>
    <row r="495" spans="1:24" x14ac:dyDescent="0.3">
      <c r="A495">
        <v>42</v>
      </c>
      <c r="B495" t="s">
        <v>18</v>
      </c>
      <c r="C495">
        <v>36359.57</v>
      </c>
      <c r="D495" t="s">
        <v>999</v>
      </c>
      <c r="E495">
        <v>36359.57</v>
      </c>
      <c r="F495">
        <v>0</v>
      </c>
      <c r="G495" t="s">
        <v>1000</v>
      </c>
      <c r="H495">
        <v>20206.650000000001</v>
      </c>
      <c r="I495">
        <v>56566.22</v>
      </c>
      <c r="J495">
        <v>1</v>
      </c>
      <c r="K495">
        <v>0</v>
      </c>
      <c r="L495">
        <v>18</v>
      </c>
      <c r="M495">
        <v>0</v>
      </c>
      <c r="N495">
        <v>1</v>
      </c>
      <c r="O495">
        <v>36359.57</v>
      </c>
      <c r="P495">
        <v>2</v>
      </c>
      <c r="Q495">
        <v>4</v>
      </c>
      <c r="R495">
        <v>2.3000000000000003</v>
      </c>
      <c r="S495" t="s">
        <v>2312</v>
      </c>
      <c r="V495">
        <f t="shared" si="21"/>
        <v>0</v>
      </c>
      <c r="W495">
        <f t="shared" si="22"/>
        <v>0</v>
      </c>
      <c r="X495" t="str">
        <f t="shared" si="23"/>
        <v>MATCH</v>
      </c>
    </row>
    <row r="496" spans="1:24" x14ac:dyDescent="0.3">
      <c r="A496">
        <v>42</v>
      </c>
      <c r="B496" t="s">
        <v>15</v>
      </c>
      <c r="C496">
        <v>506867.52</v>
      </c>
      <c r="D496" t="s">
        <v>1001</v>
      </c>
      <c r="E496">
        <v>506867.52</v>
      </c>
      <c r="F496">
        <v>0</v>
      </c>
      <c r="G496" t="s">
        <v>1002</v>
      </c>
      <c r="H496">
        <v>0</v>
      </c>
      <c r="I496">
        <v>0</v>
      </c>
      <c r="J496">
        <v>1</v>
      </c>
      <c r="K496">
        <v>0</v>
      </c>
      <c r="L496">
        <v>18</v>
      </c>
      <c r="M496">
        <v>0</v>
      </c>
      <c r="N496">
        <v>1</v>
      </c>
      <c r="O496">
        <v>506867.52</v>
      </c>
      <c r="P496">
        <v>5</v>
      </c>
      <c r="Q496">
        <v>5</v>
      </c>
      <c r="R496">
        <v>4.0999999999999996</v>
      </c>
      <c r="S496" t="s">
        <v>2310</v>
      </c>
      <c r="V496">
        <f t="shared" si="21"/>
        <v>0</v>
      </c>
      <c r="W496">
        <f t="shared" si="22"/>
        <v>0</v>
      </c>
      <c r="X496" t="str">
        <f t="shared" si="23"/>
        <v>MATCH</v>
      </c>
    </row>
    <row r="497" spans="1:24" x14ac:dyDescent="0.3">
      <c r="A497">
        <v>42</v>
      </c>
      <c r="B497" t="s">
        <v>18</v>
      </c>
      <c r="C497">
        <v>506867.52</v>
      </c>
      <c r="D497" t="s">
        <v>1003</v>
      </c>
      <c r="E497">
        <v>506867.52</v>
      </c>
      <c r="F497">
        <v>0</v>
      </c>
      <c r="G497" t="s">
        <v>1004</v>
      </c>
      <c r="H497">
        <v>0</v>
      </c>
      <c r="I497">
        <v>458682.99</v>
      </c>
      <c r="J497">
        <v>1</v>
      </c>
      <c r="K497">
        <v>0</v>
      </c>
      <c r="L497">
        <v>18</v>
      </c>
      <c r="M497">
        <v>0</v>
      </c>
      <c r="N497">
        <v>1</v>
      </c>
      <c r="O497">
        <v>506867.52</v>
      </c>
      <c r="P497">
        <v>5</v>
      </c>
      <c r="Q497">
        <v>4</v>
      </c>
      <c r="R497">
        <v>3.8000000000000003</v>
      </c>
      <c r="S497" t="s">
        <v>2310</v>
      </c>
      <c r="V497">
        <f t="shared" si="21"/>
        <v>0</v>
      </c>
      <c r="W497">
        <f t="shared" si="22"/>
        <v>0</v>
      </c>
      <c r="X497" t="str">
        <f t="shared" si="23"/>
        <v>MATCH</v>
      </c>
    </row>
    <row r="498" spans="1:24" x14ac:dyDescent="0.3">
      <c r="A498">
        <v>42</v>
      </c>
      <c r="B498" t="s">
        <v>15</v>
      </c>
      <c r="C498">
        <v>1917497.63</v>
      </c>
      <c r="D498" t="s">
        <v>1005</v>
      </c>
      <c r="E498">
        <v>1917497.63</v>
      </c>
      <c r="F498">
        <v>0</v>
      </c>
      <c r="G498" t="s">
        <v>1006</v>
      </c>
      <c r="H498">
        <v>0</v>
      </c>
      <c r="I498">
        <v>0</v>
      </c>
      <c r="J498">
        <v>1</v>
      </c>
      <c r="K498">
        <v>0</v>
      </c>
      <c r="L498">
        <v>18</v>
      </c>
      <c r="M498">
        <v>0</v>
      </c>
      <c r="N498">
        <v>1</v>
      </c>
      <c r="O498">
        <v>1917497.63</v>
      </c>
      <c r="P498">
        <v>5</v>
      </c>
      <c r="Q498">
        <v>5</v>
      </c>
      <c r="R498">
        <v>4.0999999999999996</v>
      </c>
      <c r="S498" t="s">
        <v>2310</v>
      </c>
      <c r="V498">
        <f t="shared" si="21"/>
        <v>0</v>
      </c>
      <c r="W498">
        <f t="shared" si="22"/>
        <v>0</v>
      </c>
      <c r="X498" t="str">
        <f t="shared" si="23"/>
        <v>MATCH</v>
      </c>
    </row>
    <row r="499" spans="1:24" x14ac:dyDescent="0.3">
      <c r="A499">
        <v>42</v>
      </c>
      <c r="B499" t="s">
        <v>18</v>
      </c>
      <c r="C499">
        <v>1917497.63</v>
      </c>
      <c r="D499" t="s">
        <v>1007</v>
      </c>
      <c r="E499">
        <v>1917497.63</v>
      </c>
      <c r="F499">
        <v>0</v>
      </c>
      <c r="G499" t="s">
        <v>1008</v>
      </c>
      <c r="H499">
        <v>173507.14</v>
      </c>
      <c r="I499">
        <v>2091004.76</v>
      </c>
      <c r="J499">
        <v>1</v>
      </c>
      <c r="K499">
        <v>0</v>
      </c>
      <c r="L499">
        <v>18</v>
      </c>
      <c r="M499">
        <v>0</v>
      </c>
      <c r="N499">
        <v>1</v>
      </c>
      <c r="O499">
        <v>1917497.63</v>
      </c>
      <c r="P499">
        <v>5</v>
      </c>
      <c r="Q499">
        <v>4</v>
      </c>
      <c r="R499">
        <v>3.8000000000000003</v>
      </c>
      <c r="S499" t="s">
        <v>2310</v>
      </c>
      <c r="V499">
        <f t="shared" si="21"/>
        <v>0</v>
      </c>
      <c r="W499">
        <f t="shared" si="22"/>
        <v>0</v>
      </c>
      <c r="X499" t="str">
        <f t="shared" si="23"/>
        <v>MATCH</v>
      </c>
    </row>
    <row r="500" spans="1:24" x14ac:dyDescent="0.3">
      <c r="A500">
        <v>43</v>
      </c>
      <c r="B500" t="s">
        <v>15</v>
      </c>
      <c r="C500">
        <v>29988</v>
      </c>
      <c r="D500" t="s">
        <v>1009</v>
      </c>
      <c r="E500">
        <v>29988</v>
      </c>
      <c r="F500">
        <v>0</v>
      </c>
      <c r="G500" t="s">
        <v>1010</v>
      </c>
      <c r="H500">
        <v>0</v>
      </c>
      <c r="I500">
        <v>0</v>
      </c>
      <c r="J500">
        <v>1</v>
      </c>
      <c r="K500">
        <v>0</v>
      </c>
      <c r="L500">
        <v>19</v>
      </c>
      <c r="M500">
        <v>0</v>
      </c>
      <c r="N500">
        <v>1</v>
      </c>
      <c r="O500">
        <v>29988</v>
      </c>
      <c r="P500">
        <v>2</v>
      </c>
      <c r="Q500">
        <v>5</v>
      </c>
      <c r="R500">
        <v>2.6</v>
      </c>
      <c r="S500" t="s">
        <v>2312</v>
      </c>
      <c r="V500">
        <f t="shared" si="21"/>
        <v>0</v>
      </c>
      <c r="W500">
        <f t="shared" si="22"/>
        <v>0</v>
      </c>
      <c r="X500" t="str">
        <f t="shared" si="23"/>
        <v>MATCH</v>
      </c>
    </row>
    <row r="501" spans="1:24" x14ac:dyDescent="0.3">
      <c r="A501">
        <v>43</v>
      </c>
      <c r="B501" t="s">
        <v>18</v>
      </c>
      <c r="C501">
        <v>29988</v>
      </c>
      <c r="D501" t="s">
        <v>1011</v>
      </c>
      <c r="E501">
        <v>29988</v>
      </c>
      <c r="F501">
        <v>0</v>
      </c>
      <c r="G501" t="s">
        <v>1012</v>
      </c>
      <c r="H501">
        <v>0</v>
      </c>
      <c r="I501">
        <v>29988</v>
      </c>
      <c r="J501">
        <v>1</v>
      </c>
      <c r="K501">
        <v>0</v>
      </c>
      <c r="L501">
        <v>19</v>
      </c>
      <c r="M501">
        <v>0</v>
      </c>
      <c r="N501">
        <v>1</v>
      </c>
      <c r="O501">
        <v>29988</v>
      </c>
      <c r="P501">
        <v>2</v>
      </c>
      <c r="Q501">
        <v>4</v>
      </c>
      <c r="R501">
        <v>2.3000000000000003</v>
      </c>
      <c r="S501" t="s">
        <v>2312</v>
      </c>
      <c r="V501">
        <f t="shared" si="21"/>
        <v>0</v>
      </c>
      <c r="W501">
        <f t="shared" si="22"/>
        <v>0</v>
      </c>
      <c r="X501" t="str">
        <f t="shared" si="23"/>
        <v>MATCH</v>
      </c>
    </row>
    <row r="502" spans="1:24" x14ac:dyDescent="0.3">
      <c r="A502">
        <v>43</v>
      </c>
      <c r="B502" t="s">
        <v>15</v>
      </c>
      <c r="C502">
        <v>350789.59</v>
      </c>
      <c r="D502" t="s">
        <v>1013</v>
      </c>
      <c r="E502">
        <v>350789.59</v>
      </c>
      <c r="F502">
        <v>0</v>
      </c>
      <c r="G502" t="s">
        <v>1014</v>
      </c>
      <c r="H502">
        <v>0</v>
      </c>
      <c r="I502">
        <v>276871.71000000002</v>
      </c>
      <c r="J502">
        <v>1</v>
      </c>
      <c r="K502">
        <v>0</v>
      </c>
      <c r="L502">
        <v>19</v>
      </c>
      <c r="M502">
        <v>0</v>
      </c>
      <c r="N502">
        <v>1</v>
      </c>
      <c r="O502">
        <v>350789.59</v>
      </c>
      <c r="P502">
        <v>5</v>
      </c>
      <c r="Q502">
        <v>5</v>
      </c>
      <c r="R502">
        <v>4.0999999999999996</v>
      </c>
      <c r="S502" t="s">
        <v>2310</v>
      </c>
      <c r="V502">
        <f t="shared" si="21"/>
        <v>0</v>
      </c>
      <c r="W502">
        <f t="shared" si="22"/>
        <v>0</v>
      </c>
      <c r="X502" t="str">
        <f t="shared" si="23"/>
        <v>MATCH</v>
      </c>
    </row>
    <row r="503" spans="1:24" x14ac:dyDescent="0.3">
      <c r="A503">
        <v>43</v>
      </c>
      <c r="B503" t="s">
        <v>18</v>
      </c>
      <c r="C503">
        <v>350789.59</v>
      </c>
      <c r="D503" t="s">
        <v>1015</v>
      </c>
      <c r="E503">
        <v>350789.59</v>
      </c>
      <c r="F503">
        <v>0</v>
      </c>
      <c r="G503" t="s">
        <v>1016</v>
      </c>
      <c r="H503">
        <v>8785008.75</v>
      </c>
      <c r="I503">
        <v>9135798.3399999999</v>
      </c>
      <c r="J503">
        <v>1</v>
      </c>
      <c r="K503">
        <v>0</v>
      </c>
      <c r="L503">
        <v>19</v>
      </c>
      <c r="M503">
        <v>0</v>
      </c>
      <c r="N503">
        <v>1</v>
      </c>
      <c r="O503">
        <v>350789.59</v>
      </c>
      <c r="P503">
        <v>5</v>
      </c>
      <c r="Q503">
        <v>4</v>
      </c>
      <c r="R503">
        <v>3.8000000000000003</v>
      </c>
      <c r="S503" t="s">
        <v>2310</v>
      </c>
      <c r="V503">
        <f t="shared" si="21"/>
        <v>0</v>
      </c>
      <c r="W503">
        <f t="shared" si="22"/>
        <v>0</v>
      </c>
      <c r="X503" t="str">
        <f t="shared" si="23"/>
        <v>MATCH</v>
      </c>
    </row>
    <row r="504" spans="1:24" x14ac:dyDescent="0.3">
      <c r="A504">
        <v>43</v>
      </c>
      <c r="B504" t="s">
        <v>15</v>
      </c>
      <c r="C504">
        <v>1395850.55</v>
      </c>
      <c r="D504" t="s">
        <v>1017</v>
      </c>
      <c r="E504">
        <v>0</v>
      </c>
      <c r="F504">
        <v>0</v>
      </c>
      <c r="G504" t="s">
        <v>1018</v>
      </c>
      <c r="H504">
        <v>260806.21</v>
      </c>
      <c r="I504">
        <v>1656656.77</v>
      </c>
      <c r="J504">
        <v>1</v>
      </c>
      <c r="K504">
        <v>0</v>
      </c>
      <c r="L504">
        <v>19</v>
      </c>
      <c r="M504">
        <v>0</v>
      </c>
      <c r="N504">
        <v>0</v>
      </c>
      <c r="O504">
        <v>0</v>
      </c>
      <c r="P504">
        <v>5</v>
      </c>
      <c r="Q504">
        <v>5</v>
      </c>
      <c r="R504">
        <v>4</v>
      </c>
      <c r="S504" t="s">
        <v>2310</v>
      </c>
      <c r="V504">
        <f t="shared" si="21"/>
        <v>-1395850.55</v>
      </c>
      <c r="W504">
        <f t="shared" si="22"/>
        <v>1395850.55</v>
      </c>
      <c r="X504" t="str">
        <f t="shared" si="23"/>
        <v>BREAK</v>
      </c>
    </row>
    <row r="505" spans="1:24" x14ac:dyDescent="0.3">
      <c r="A505">
        <v>43</v>
      </c>
      <c r="B505" t="s">
        <v>15</v>
      </c>
      <c r="C505">
        <v>93459.89</v>
      </c>
      <c r="D505" t="s">
        <v>1019</v>
      </c>
      <c r="E505">
        <v>93459.89</v>
      </c>
      <c r="F505">
        <v>0</v>
      </c>
      <c r="G505" t="s">
        <v>1020</v>
      </c>
      <c r="H505">
        <v>0</v>
      </c>
      <c r="I505">
        <v>0</v>
      </c>
      <c r="J505">
        <v>1</v>
      </c>
      <c r="K505">
        <v>0</v>
      </c>
      <c r="L505">
        <v>19</v>
      </c>
      <c r="M505">
        <v>0</v>
      </c>
      <c r="N505">
        <v>1</v>
      </c>
      <c r="O505">
        <v>93459.89</v>
      </c>
      <c r="P505">
        <v>3</v>
      </c>
      <c r="Q505">
        <v>5</v>
      </c>
      <c r="R505">
        <v>3.1</v>
      </c>
      <c r="S505" t="s">
        <v>2310</v>
      </c>
      <c r="V505">
        <f t="shared" si="21"/>
        <v>0</v>
      </c>
      <c r="W505">
        <f t="shared" si="22"/>
        <v>0</v>
      </c>
      <c r="X505" t="str">
        <f t="shared" si="23"/>
        <v>MATCH</v>
      </c>
    </row>
    <row r="506" spans="1:24" x14ac:dyDescent="0.3">
      <c r="A506">
        <v>43</v>
      </c>
      <c r="B506" t="s">
        <v>18</v>
      </c>
      <c r="C506">
        <v>93459.89</v>
      </c>
      <c r="D506" t="s">
        <v>1021</v>
      </c>
      <c r="E506">
        <v>93459.89</v>
      </c>
      <c r="F506">
        <v>0</v>
      </c>
      <c r="G506" t="s">
        <v>1022</v>
      </c>
      <c r="H506">
        <v>15825.7</v>
      </c>
      <c r="I506">
        <v>109285.59</v>
      </c>
      <c r="J506">
        <v>1</v>
      </c>
      <c r="K506">
        <v>0</v>
      </c>
      <c r="L506">
        <v>19</v>
      </c>
      <c r="M506">
        <v>0</v>
      </c>
      <c r="N506">
        <v>1</v>
      </c>
      <c r="O506">
        <v>93459.89</v>
      </c>
      <c r="P506">
        <v>3</v>
      </c>
      <c r="Q506">
        <v>4</v>
      </c>
      <c r="R506">
        <v>2.8000000000000003</v>
      </c>
      <c r="S506" t="s">
        <v>2312</v>
      </c>
      <c r="V506">
        <f t="shared" si="21"/>
        <v>0</v>
      </c>
      <c r="W506">
        <f t="shared" si="22"/>
        <v>0</v>
      </c>
      <c r="X506" t="str">
        <f t="shared" si="23"/>
        <v>MATCH</v>
      </c>
    </row>
    <row r="507" spans="1:24" x14ac:dyDescent="0.3">
      <c r="A507">
        <v>43</v>
      </c>
      <c r="B507" t="s">
        <v>15</v>
      </c>
      <c r="C507">
        <v>435166.65</v>
      </c>
      <c r="D507" t="s">
        <v>1023</v>
      </c>
      <c r="E507">
        <v>435166.65</v>
      </c>
      <c r="F507">
        <v>0</v>
      </c>
      <c r="G507" t="s">
        <v>1024</v>
      </c>
      <c r="H507">
        <v>0</v>
      </c>
      <c r="I507">
        <v>0</v>
      </c>
      <c r="J507">
        <v>1</v>
      </c>
      <c r="K507">
        <v>0</v>
      </c>
      <c r="L507">
        <v>19</v>
      </c>
      <c r="M507">
        <v>0</v>
      </c>
      <c r="N507">
        <v>1</v>
      </c>
      <c r="O507">
        <v>435166.65</v>
      </c>
      <c r="P507">
        <v>5</v>
      </c>
      <c r="Q507">
        <v>5</v>
      </c>
      <c r="R507">
        <v>4.0999999999999996</v>
      </c>
      <c r="S507" t="s">
        <v>2310</v>
      </c>
      <c r="V507">
        <f t="shared" si="21"/>
        <v>0</v>
      </c>
      <c r="W507">
        <f t="shared" si="22"/>
        <v>0</v>
      </c>
      <c r="X507" t="str">
        <f t="shared" si="23"/>
        <v>MATCH</v>
      </c>
    </row>
    <row r="508" spans="1:24" x14ac:dyDescent="0.3">
      <c r="A508">
        <v>43</v>
      </c>
      <c r="B508" t="s">
        <v>18</v>
      </c>
      <c r="C508">
        <v>435166.65</v>
      </c>
      <c r="D508" t="s">
        <v>1025</v>
      </c>
      <c r="E508">
        <v>435166.65</v>
      </c>
      <c r="F508">
        <v>0</v>
      </c>
      <c r="G508" t="s">
        <v>1026</v>
      </c>
      <c r="H508">
        <v>449215.85</v>
      </c>
      <c r="I508">
        <v>884382.5</v>
      </c>
      <c r="J508">
        <v>1</v>
      </c>
      <c r="K508">
        <v>0</v>
      </c>
      <c r="L508">
        <v>19</v>
      </c>
      <c r="M508">
        <v>0</v>
      </c>
      <c r="N508">
        <v>1</v>
      </c>
      <c r="O508">
        <v>435166.65</v>
      </c>
      <c r="P508">
        <v>5</v>
      </c>
      <c r="Q508">
        <v>4</v>
      </c>
      <c r="R508">
        <v>3.8000000000000003</v>
      </c>
      <c r="S508" t="s">
        <v>2310</v>
      </c>
      <c r="V508">
        <f t="shared" si="21"/>
        <v>0</v>
      </c>
      <c r="W508">
        <f t="shared" si="22"/>
        <v>0</v>
      </c>
      <c r="X508" t="str">
        <f t="shared" si="23"/>
        <v>MATCH</v>
      </c>
    </row>
    <row r="509" spans="1:24" x14ac:dyDescent="0.3">
      <c r="A509">
        <v>43</v>
      </c>
      <c r="B509" t="s">
        <v>15</v>
      </c>
      <c r="C509">
        <v>21987</v>
      </c>
      <c r="D509" t="s">
        <v>1027</v>
      </c>
      <c r="E509">
        <v>21987</v>
      </c>
      <c r="F509">
        <v>0</v>
      </c>
      <c r="G509" t="s">
        <v>1028</v>
      </c>
      <c r="H509">
        <v>0</v>
      </c>
      <c r="I509">
        <v>0</v>
      </c>
      <c r="J509">
        <v>1</v>
      </c>
      <c r="K509">
        <v>0</v>
      </c>
      <c r="L509">
        <v>19</v>
      </c>
      <c r="M509">
        <v>0</v>
      </c>
      <c r="N509">
        <v>1</v>
      </c>
      <c r="O509">
        <v>21987</v>
      </c>
      <c r="P509">
        <v>2</v>
      </c>
      <c r="Q509">
        <v>5</v>
      </c>
      <c r="R509">
        <v>2.6</v>
      </c>
      <c r="S509" t="s">
        <v>2312</v>
      </c>
      <c r="V509">
        <f t="shared" si="21"/>
        <v>0</v>
      </c>
      <c r="W509">
        <f t="shared" si="22"/>
        <v>0</v>
      </c>
      <c r="X509" t="str">
        <f t="shared" si="23"/>
        <v>MATCH</v>
      </c>
    </row>
    <row r="510" spans="1:24" x14ac:dyDescent="0.3">
      <c r="A510">
        <v>43</v>
      </c>
      <c r="B510" t="s">
        <v>18</v>
      </c>
      <c r="C510">
        <v>21987</v>
      </c>
      <c r="D510" t="s">
        <v>1029</v>
      </c>
      <c r="E510">
        <v>21987</v>
      </c>
      <c r="F510">
        <v>0</v>
      </c>
      <c r="G510" t="s">
        <v>1030</v>
      </c>
      <c r="H510">
        <v>123690.93</v>
      </c>
      <c r="I510">
        <v>145677.94</v>
      </c>
      <c r="J510">
        <v>1</v>
      </c>
      <c r="K510">
        <v>0</v>
      </c>
      <c r="L510">
        <v>19</v>
      </c>
      <c r="M510">
        <v>0</v>
      </c>
      <c r="N510">
        <v>1</v>
      </c>
      <c r="O510">
        <v>21987</v>
      </c>
      <c r="P510">
        <v>2</v>
      </c>
      <c r="Q510">
        <v>4</v>
      </c>
      <c r="R510">
        <v>2.3000000000000003</v>
      </c>
      <c r="S510" t="s">
        <v>2312</v>
      </c>
      <c r="V510">
        <f t="shared" si="21"/>
        <v>0</v>
      </c>
      <c r="W510">
        <f t="shared" si="22"/>
        <v>0</v>
      </c>
      <c r="X510" t="str">
        <f t="shared" si="23"/>
        <v>MATCH</v>
      </c>
    </row>
    <row r="511" spans="1:24" x14ac:dyDescent="0.3">
      <c r="A511">
        <v>43</v>
      </c>
      <c r="B511" t="s">
        <v>15</v>
      </c>
      <c r="C511">
        <v>362152.77</v>
      </c>
      <c r="D511" t="s">
        <v>1031</v>
      </c>
      <c r="E511">
        <v>362152.77</v>
      </c>
      <c r="F511">
        <v>0</v>
      </c>
      <c r="G511" t="s">
        <v>1032</v>
      </c>
      <c r="H511">
        <v>0</v>
      </c>
      <c r="I511">
        <v>0</v>
      </c>
      <c r="J511">
        <v>1</v>
      </c>
      <c r="K511">
        <v>0</v>
      </c>
      <c r="L511">
        <v>19</v>
      </c>
      <c r="M511">
        <v>0</v>
      </c>
      <c r="N511">
        <v>1</v>
      </c>
      <c r="O511">
        <v>362152.77</v>
      </c>
      <c r="P511">
        <v>5</v>
      </c>
      <c r="Q511">
        <v>5</v>
      </c>
      <c r="R511">
        <v>4.0999999999999996</v>
      </c>
      <c r="S511" t="s">
        <v>2310</v>
      </c>
      <c r="V511">
        <f t="shared" si="21"/>
        <v>0</v>
      </c>
      <c r="W511">
        <f t="shared" si="22"/>
        <v>0</v>
      </c>
      <c r="X511" t="str">
        <f t="shared" si="23"/>
        <v>MATCH</v>
      </c>
    </row>
    <row r="512" spans="1:24" x14ac:dyDescent="0.3">
      <c r="A512">
        <v>43</v>
      </c>
      <c r="B512" t="s">
        <v>18</v>
      </c>
      <c r="C512">
        <v>362152.77</v>
      </c>
      <c r="D512" t="s">
        <v>1033</v>
      </c>
      <c r="E512">
        <v>362152.77</v>
      </c>
      <c r="F512">
        <v>0</v>
      </c>
      <c r="G512" t="s">
        <v>1034</v>
      </c>
      <c r="H512">
        <v>282809.46999999997</v>
      </c>
      <c r="I512">
        <v>644962.23</v>
      </c>
      <c r="J512">
        <v>1</v>
      </c>
      <c r="K512">
        <v>0</v>
      </c>
      <c r="L512">
        <v>19</v>
      </c>
      <c r="M512">
        <v>0</v>
      </c>
      <c r="N512">
        <v>1</v>
      </c>
      <c r="O512">
        <v>362152.77</v>
      </c>
      <c r="P512">
        <v>5</v>
      </c>
      <c r="Q512">
        <v>4</v>
      </c>
      <c r="R512">
        <v>3.8000000000000003</v>
      </c>
      <c r="S512" t="s">
        <v>2310</v>
      </c>
      <c r="V512">
        <f t="shared" si="21"/>
        <v>0</v>
      </c>
      <c r="W512">
        <f t="shared" si="22"/>
        <v>0</v>
      </c>
      <c r="X512" t="str">
        <f t="shared" si="23"/>
        <v>MATCH</v>
      </c>
    </row>
    <row r="513" spans="1:24" x14ac:dyDescent="0.3">
      <c r="A513">
        <v>44</v>
      </c>
      <c r="B513" t="s">
        <v>15</v>
      </c>
      <c r="C513">
        <v>1649818.97</v>
      </c>
      <c r="D513" t="s">
        <v>1035</v>
      </c>
      <c r="E513">
        <v>1649818.97</v>
      </c>
      <c r="F513">
        <v>0</v>
      </c>
      <c r="G513" t="s">
        <v>1036</v>
      </c>
      <c r="H513">
        <v>0</v>
      </c>
      <c r="I513">
        <v>0</v>
      </c>
      <c r="J513">
        <v>1</v>
      </c>
      <c r="K513">
        <v>0</v>
      </c>
      <c r="L513">
        <v>20</v>
      </c>
      <c r="M513">
        <v>0</v>
      </c>
      <c r="N513">
        <v>1</v>
      </c>
      <c r="O513">
        <v>1649818.97</v>
      </c>
      <c r="P513">
        <v>5</v>
      </c>
      <c r="Q513">
        <v>5</v>
      </c>
      <c r="R513">
        <v>4.0999999999999996</v>
      </c>
      <c r="S513" t="s">
        <v>2310</v>
      </c>
      <c r="V513">
        <f t="shared" si="21"/>
        <v>0</v>
      </c>
      <c r="W513">
        <f t="shared" si="22"/>
        <v>0</v>
      </c>
      <c r="X513" t="str">
        <f t="shared" si="23"/>
        <v>MATCH</v>
      </c>
    </row>
    <row r="514" spans="1:24" x14ac:dyDescent="0.3">
      <c r="A514">
        <v>44</v>
      </c>
      <c r="B514" t="s">
        <v>18</v>
      </c>
      <c r="C514">
        <v>1649818.97</v>
      </c>
      <c r="D514" t="s">
        <v>1037</v>
      </c>
      <c r="E514">
        <v>1649818.97</v>
      </c>
      <c r="F514">
        <v>0</v>
      </c>
      <c r="G514" t="s">
        <v>1038</v>
      </c>
      <c r="H514">
        <v>560704.68000000005</v>
      </c>
      <c r="I514">
        <v>2210523.64</v>
      </c>
      <c r="J514">
        <v>1</v>
      </c>
      <c r="K514">
        <v>0</v>
      </c>
      <c r="L514">
        <v>20</v>
      </c>
      <c r="M514">
        <v>0</v>
      </c>
      <c r="N514">
        <v>1</v>
      </c>
      <c r="O514">
        <v>1649818.97</v>
      </c>
      <c r="P514">
        <v>5</v>
      </c>
      <c r="Q514">
        <v>4</v>
      </c>
      <c r="R514">
        <v>3.8000000000000003</v>
      </c>
      <c r="S514" t="s">
        <v>2310</v>
      </c>
      <c r="V514">
        <f t="shared" si="21"/>
        <v>0</v>
      </c>
      <c r="W514">
        <f t="shared" si="22"/>
        <v>0</v>
      </c>
      <c r="X514" t="str">
        <f t="shared" si="23"/>
        <v>MATCH</v>
      </c>
    </row>
    <row r="515" spans="1:24" x14ac:dyDescent="0.3">
      <c r="A515">
        <v>44</v>
      </c>
      <c r="B515" t="s">
        <v>15</v>
      </c>
      <c r="C515">
        <v>387952.42</v>
      </c>
      <c r="D515" t="s">
        <v>1039</v>
      </c>
      <c r="E515">
        <v>387952.42</v>
      </c>
      <c r="F515">
        <v>0</v>
      </c>
      <c r="G515" t="s">
        <v>1040</v>
      </c>
      <c r="H515">
        <v>0</v>
      </c>
      <c r="I515">
        <v>0</v>
      </c>
      <c r="J515">
        <v>1</v>
      </c>
      <c r="K515">
        <v>0</v>
      </c>
      <c r="L515">
        <v>20</v>
      </c>
      <c r="M515">
        <v>0</v>
      </c>
      <c r="N515">
        <v>1</v>
      </c>
      <c r="O515">
        <v>387952.42</v>
      </c>
      <c r="P515">
        <v>5</v>
      </c>
      <c r="Q515">
        <v>5</v>
      </c>
      <c r="R515">
        <v>4.0999999999999996</v>
      </c>
      <c r="S515" t="s">
        <v>2310</v>
      </c>
      <c r="V515">
        <f t="shared" ref="V515:V578" si="24">E515-C515</f>
        <v>0</v>
      </c>
      <c r="W515">
        <f t="shared" ref="W515:W578" si="25">ABS(F515-V515)</f>
        <v>0</v>
      </c>
      <c r="X515" t="str">
        <f t="shared" ref="X515:X578" si="26">IF(W515&lt;1,"MATCH","BREAK")</f>
        <v>MATCH</v>
      </c>
    </row>
    <row r="516" spans="1:24" x14ac:dyDescent="0.3">
      <c r="A516">
        <v>44</v>
      </c>
      <c r="B516" t="s">
        <v>18</v>
      </c>
      <c r="C516">
        <v>387952.42</v>
      </c>
      <c r="D516" t="s">
        <v>1041</v>
      </c>
      <c r="E516">
        <v>387952.42</v>
      </c>
      <c r="F516">
        <v>0</v>
      </c>
      <c r="G516" t="s">
        <v>1042</v>
      </c>
      <c r="H516">
        <v>2070655.98</v>
      </c>
      <c r="I516">
        <v>2222177.16</v>
      </c>
      <c r="J516">
        <v>1</v>
      </c>
      <c r="K516">
        <v>0</v>
      </c>
      <c r="L516">
        <v>20</v>
      </c>
      <c r="M516">
        <v>0</v>
      </c>
      <c r="N516">
        <v>1</v>
      </c>
      <c r="O516">
        <v>387952.42</v>
      </c>
      <c r="P516">
        <v>5</v>
      </c>
      <c r="Q516">
        <v>4</v>
      </c>
      <c r="R516">
        <v>3.8000000000000003</v>
      </c>
      <c r="S516" t="s">
        <v>2310</v>
      </c>
      <c r="V516">
        <f t="shared" si="24"/>
        <v>0</v>
      </c>
      <c r="W516">
        <f t="shared" si="25"/>
        <v>0</v>
      </c>
      <c r="X516" t="str">
        <f t="shared" si="26"/>
        <v>MATCH</v>
      </c>
    </row>
    <row r="517" spans="1:24" x14ac:dyDescent="0.3">
      <c r="A517">
        <v>44</v>
      </c>
      <c r="B517" t="s">
        <v>15</v>
      </c>
      <c r="C517">
        <v>44571.94</v>
      </c>
      <c r="D517" t="s">
        <v>1043</v>
      </c>
      <c r="E517">
        <v>44571.94</v>
      </c>
      <c r="F517">
        <v>0</v>
      </c>
      <c r="G517" t="s">
        <v>1044</v>
      </c>
      <c r="H517">
        <v>0</v>
      </c>
      <c r="I517">
        <v>0</v>
      </c>
      <c r="J517">
        <v>1</v>
      </c>
      <c r="K517">
        <v>0</v>
      </c>
      <c r="L517">
        <v>20</v>
      </c>
      <c r="M517">
        <v>0</v>
      </c>
      <c r="N517">
        <v>1</v>
      </c>
      <c r="O517">
        <v>44571.94</v>
      </c>
      <c r="P517">
        <v>2</v>
      </c>
      <c r="Q517">
        <v>5</v>
      </c>
      <c r="R517">
        <v>2.6</v>
      </c>
      <c r="S517" t="s">
        <v>2312</v>
      </c>
      <c r="V517">
        <f t="shared" si="24"/>
        <v>0</v>
      </c>
      <c r="W517">
        <f t="shared" si="25"/>
        <v>0</v>
      </c>
      <c r="X517" t="str">
        <f t="shared" si="26"/>
        <v>MATCH</v>
      </c>
    </row>
    <row r="518" spans="1:24" x14ac:dyDescent="0.3">
      <c r="A518">
        <v>44</v>
      </c>
      <c r="B518" t="s">
        <v>18</v>
      </c>
      <c r="C518">
        <v>44571.94</v>
      </c>
      <c r="D518" t="s">
        <v>1045</v>
      </c>
      <c r="E518">
        <v>44571.94</v>
      </c>
      <c r="F518">
        <v>0</v>
      </c>
      <c r="G518" t="s">
        <v>1046</v>
      </c>
      <c r="H518">
        <v>11984</v>
      </c>
      <c r="I518">
        <v>0</v>
      </c>
      <c r="J518">
        <v>1</v>
      </c>
      <c r="K518">
        <v>0</v>
      </c>
      <c r="L518">
        <v>20</v>
      </c>
      <c r="M518">
        <v>0</v>
      </c>
      <c r="N518">
        <v>1</v>
      </c>
      <c r="O518">
        <v>44571.94</v>
      </c>
      <c r="P518">
        <v>2</v>
      </c>
      <c r="Q518">
        <v>4</v>
      </c>
      <c r="R518">
        <v>2.3000000000000003</v>
      </c>
      <c r="S518" t="s">
        <v>2312</v>
      </c>
      <c r="V518">
        <f t="shared" si="24"/>
        <v>0</v>
      </c>
      <c r="W518">
        <f t="shared" si="25"/>
        <v>0</v>
      </c>
      <c r="X518" t="str">
        <f t="shared" si="26"/>
        <v>MATCH</v>
      </c>
    </row>
    <row r="519" spans="1:24" x14ac:dyDescent="0.3">
      <c r="A519">
        <v>44</v>
      </c>
      <c r="B519" t="s">
        <v>15</v>
      </c>
      <c r="C519">
        <v>534255.93999999994</v>
      </c>
      <c r="D519" t="s">
        <v>1047</v>
      </c>
      <c r="E519">
        <v>534255.93999999994</v>
      </c>
      <c r="F519">
        <v>0</v>
      </c>
      <c r="G519" t="s">
        <v>1048</v>
      </c>
      <c r="H519">
        <v>0</v>
      </c>
      <c r="I519">
        <v>0</v>
      </c>
      <c r="J519">
        <v>1</v>
      </c>
      <c r="K519">
        <v>0</v>
      </c>
      <c r="L519">
        <v>20</v>
      </c>
      <c r="M519">
        <v>0</v>
      </c>
      <c r="N519">
        <v>1</v>
      </c>
      <c r="O519">
        <v>534255.93999999994</v>
      </c>
      <c r="P519">
        <v>5</v>
      </c>
      <c r="Q519">
        <v>5</v>
      </c>
      <c r="R519">
        <v>4.0999999999999996</v>
      </c>
      <c r="S519" t="s">
        <v>2310</v>
      </c>
      <c r="V519">
        <f t="shared" si="24"/>
        <v>0</v>
      </c>
      <c r="W519">
        <f t="shared" si="25"/>
        <v>0</v>
      </c>
      <c r="X519" t="str">
        <f t="shared" si="26"/>
        <v>MATCH</v>
      </c>
    </row>
    <row r="520" spans="1:24" x14ac:dyDescent="0.3">
      <c r="A520">
        <v>44</v>
      </c>
      <c r="B520" t="s">
        <v>18</v>
      </c>
      <c r="C520">
        <v>534255.93999999994</v>
      </c>
      <c r="D520" t="s">
        <v>1049</v>
      </c>
      <c r="E520">
        <v>534255.93999999994</v>
      </c>
      <c r="F520">
        <v>0</v>
      </c>
      <c r="G520" t="s">
        <v>1050</v>
      </c>
      <c r="H520">
        <v>24559</v>
      </c>
      <c r="I520">
        <v>558814.93999999994</v>
      </c>
      <c r="J520">
        <v>1</v>
      </c>
      <c r="K520">
        <v>0</v>
      </c>
      <c r="L520">
        <v>20</v>
      </c>
      <c r="M520">
        <v>0</v>
      </c>
      <c r="N520">
        <v>1</v>
      </c>
      <c r="O520">
        <v>534255.93999999994</v>
      </c>
      <c r="P520">
        <v>5</v>
      </c>
      <c r="Q520">
        <v>4</v>
      </c>
      <c r="R520">
        <v>3.8000000000000003</v>
      </c>
      <c r="S520" t="s">
        <v>2310</v>
      </c>
      <c r="V520">
        <f t="shared" si="24"/>
        <v>0</v>
      </c>
      <c r="W520">
        <f t="shared" si="25"/>
        <v>0</v>
      </c>
      <c r="X520" t="str">
        <f t="shared" si="26"/>
        <v>MATCH</v>
      </c>
    </row>
    <row r="521" spans="1:24" x14ac:dyDescent="0.3">
      <c r="A521">
        <v>45</v>
      </c>
      <c r="B521" t="s">
        <v>15</v>
      </c>
      <c r="C521">
        <v>213983.59</v>
      </c>
      <c r="D521" t="s">
        <v>1051</v>
      </c>
      <c r="E521">
        <v>213983.59</v>
      </c>
      <c r="F521">
        <v>0</v>
      </c>
      <c r="G521" t="s">
        <v>1052</v>
      </c>
      <c r="H521">
        <v>0</v>
      </c>
      <c r="I521">
        <v>0</v>
      </c>
      <c r="J521">
        <v>1</v>
      </c>
      <c r="K521">
        <v>0</v>
      </c>
      <c r="L521">
        <v>21</v>
      </c>
      <c r="M521">
        <v>0</v>
      </c>
      <c r="N521">
        <v>1</v>
      </c>
      <c r="O521">
        <v>213983.59</v>
      </c>
      <c r="P521">
        <v>5</v>
      </c>
      <c r="Q521">
        <v>5</v>
      </c>
      <c r="R521">
        <v>4.0999999999999996</v>
      </c>
      <c r="S521" t="s">
        <v>2310</v>
      </c>
      <c r="V521">
        <f t="shared" si="24"/>
        <v>0</v>
      </c>
      <c r="W521">
        <f t="shared" si="25"/>
        <v>0</v>
      </c>
      <c r="X521" t="str">
        <f t="shared" si="26"/>
        <v>MATCH</v>
      </c>
    </row>
    <row r="522" spans="1:24" x14ac:dyDescent="0.3">
      <c r="A522">
        <v>45</v>
      </c>
      <c r="B522" t="s">
        <v>18</v>
      </c>
      <c r="C522">
        <v>213983.59</v>
      </c>
      <c r="D522" t="s">
        <v>1053</v>
      </c>
      <c r="E522">
        <v>213983.59</v>
      </c>
      <c r="F522">
        <v>0</v>
      </c>
      <c r="G522" t="s">
        <v>1054</v>
      </c>
      <c r="H522">
        <v>0</v>
      </c>
      <c r="I522">
        <v>213983.59</v>
      </c>
      <c r="J522">
        <v>1</v>
      </c>
      <c r="K522">
        <v>0</v>
      </c>
      <c r="L522">
        <v>21</v>
      </c>
      <c r="M522">
        <v>0</v>
      </c>
      <c r="N522">
        <v>1</v>
      </c>
      <c r="O522">
        <v>213983.59</v>
      </c>
      <c r="P522">
        <v>5</v>
      </c>
      <c r="Q522">
        <v>4</v>
      </c>
      <c r="R522">
        <v>3.8000000000000003</v>
      </c>
      <c r="S522" t="s">
        <v>2310</v>
      </c>
      <c r="V522">
        <f t="shared" si="24"/>
        <v>0</v>
      </c>
      <c r="W522">
        <f t="shared" si="25"/>
        <v>0</v>
      </c>
      <c r="X522" t="str">
        <f t="shared" si="26"/>
        <v>MATCH</v>
      </c>
    </row>
    <row r="523" spans="1:24" x14ac:dyDescent="0.3">
      <c r="A523">
        <v>45</v>
      </c>
      <c r="B523" t="s">
        <v>15</v>
      </c>
      <c r="C523">
        <v>217255.97</v>
      </c>
      <c r="D523" t="s">
        <v>1055</v>
      </c>
      <c r="E523">
        <v>217255.97</v>
      </c>
      <c r="F523">
        <v>0</v>
      </c>
      <c r="G523" t="s">
        <v>1056</v>
      </c>
      <c r="H523">
        <v>0</v>
      </c>
      <c r="I523">
        <v>0</v>
      </c>
      <c r="J523">
        <v>1</v>
      </c>
      <c r="K523">
        <v>0</v>
      </c>
      <c r="L523">
        <v>21</v>
      </c>
      <c r="M523">
        <v>0</v>
      </c>
      <c r="N523">
        <v>1</v>
      </c>
      <c r="O523">
        <v>217255.97</v>
      </c>
      <c r="P523">
        <v>5</v>
      </c>
      <c r="Q523">
        <v>5</v>
      </c>
      <c r="R523">
        <v>4.0999999999999996</v>
      </c>
      <c r="S523" t="s">
        <v>2310</v>
      </c>
      <c r="V523">
        <f t="shared" si="24"/>
        <v>0</v>
      </c>
      <c r="W523">
        <f t="shared" si="25"/>
        <v>0</v>
      </c>
      <c r="X523" t="str">
        <f t="shared" si="26"/>
        <v>MATCH</v>
      </c>
    </row>
    <row r="524" spans="1:24" x14ac:dyDescent="0.3">
      <c r="A524">
        <v>45</v>
      </c>
      <c r="B524" t="s">
        <v>18</v>
      </c>
      <c r="C524">
        <v>217255.97</v>
      </c>
      <c r="D524" t="s">
        <v>1057</v>
      </c>
      <c r="E524">
        <v>217255.97</v>
      </c>
      <c r="F524">
        <v>0</v>
      </c>
      <c r="G524" t="s">
        <v>1058</v>
      </c>
      <c r="H524">
        <v>2115234.86</v>
      </c>
      <c r="I524">
        <v>2332490.8199999998</v>
      </c>
      <c r="J524">
        <v>1</v>
      </c>
      <c r="K524">
        <v>0</v>
      </c>
      <c r="L524">
        <v>21</v>
      </c>
      <c r="M524">
        <v>0</v>
      </c>
      <c r="N524">
        <v>1</v>
      </c>
      <c r="O524">
        <v>217255.97</v>
      </c>
      <c r="P524">
        <v>5</v>
      </c>
      <c r="Q524">
        <v>4</v>
      </c>
      <c r="R524">
        <v>3.8000000000000003</v>
      </c>
      <c r="S524" t="s">
        <v>2310</v>
      </c>
      <c r="V524">
        <f t="shared" si="24"/>
        <v>0</v>
      </c>
      <c r="W524">
        <f t="shared" si="25"/>
        <v>0</v>
      </c>
      <c r="X524" t="str">
        <f t="shared" si="26"/>
        <v>MATCH</v>
      </c>
    </row>
    <row r="525" spans="1:24" x14ac:dyDescent="0.3">
      <c r="A525">
        <v>45</v>
      </c>
      <c r="B525" t="s">
        <v>15</v>
      </c>
      <c r="C525">
        <v>1069508.42</v>
      </c>
      <c r="D525" t="s">
        <v>1059</v>
      </c>
      <c r="E525">
        <v>1069508.42</v>
      </c>
      <c r="F525">
        <v>0</v>
      </c>
      <c r="G525" t="s">
        <v>1060</v>
      </c>
      <c r="H525">
        <v>0</v>
      </c>
      <c r="I525">
        <v>0</v>
      </c>
      <c r="J525">
        <v>1</v>
      </c>
      <c r="K525">
        <v>0</v>
      </c>
      <c r="L525">
        <v>21</v>
      </c>
      <c r="M525">
        <v>0</v>
      </c>
      <c r="N525">
        <v>1</v>
      </c>
      <c r="O525">
        <v>1069508.42</v>
      </c>
      <c r="P525">
        <v>5</v>
      </c>
      <c r="Q525">
        <v>5</v>
      </c>
      <c r="R525">
        <v>4.0999999999999996</v>
      </c>
      <c r="S525" t="s">
        <v>2310</v>
      </c>
      <c r="V525">
        <f t="shared" si="24"/>
        <v>0</v>
      </c>
      <c r="W525">
        <f t="shared" si="25"/>
        <v>0</v>
      </c>
      <c r="X525" t="str">
        <f t="shared" si="26"/>
        <v>MATCH</v>
      </c>
    </row>
    <row r="526" spans="1:24" x14ac:dyDescent="0.3">
      <c r="A526">
        <v>45</v>
      </c>
      <c r="B526" t="s">
        <v>18</v>
      </c>
      <c r="C526">
        <v>1069508.42</v>
      </c>
      <c r="D526" t="s">
        <v>1061</v>
      </c>
      <c r="E526">
        <v>1069508.42</v>
      </c>
      <c r="F526">
        <v>0</v>
      </c>
      <c r="G526" t="s">
        <v>1062</v>
      </c>
      <c r="H526">
        <v>172254</v>
      </c>
      <c r="I526">
        <v>1439496.96</v>
      </c>
      <c r="J526">
        <v>1</v>
      </c>
      <c r="K526">
        <v>0</v>
      </c>
      <c r="L526">
        <v>21</v>
      </c>
      <c r="M526">
        <v>0</v>
      </c>
      <c r="N526">
        <v>1</v>
      </c>
      <c r="O526">
        <v>1069508.42</v>
      </c>
      <c r="P526">
        <v>5</v>
      </c>
      <c r="Q526">
        <v>4</v>
      </c>
      <c r="R526">
        <v>3.8000000000000003</v>
      </c>
      <c r="S526" t="s">
        <v>2310</v>
      </c>
      <c r="V526">
        <f t="shared" si="24"/>
        <v>0</v>
      </c>
      <c r="W526">
        <f t="shared" si="25"/>
        <v>0</v>
      </c>
      <c r="X526" t="str">
        <f t="shared" si="26"/>
        <v>MATCH</v>
      </c>
    </row>
    <row r="527" spans="1:24" x14ac:dyDescent="0.3">
      <c r="A527">
        <v>45</v>
      </c>
      <c r="B527" t="s">
        <v>15</v>
      </c>
      <c r="C527">
        <v>5188875.3499999996</v>
      </c>
      <c r="D527" t="s">
        <v>1063</v>
      </c>
      <c r="E527">
        <v>5188875.3499999996</v>
      </c>
      <c r="F527">
        <v>0</v>
      </c>
      <c r="G527" t="s">
        <v>1064</v>
      </c>
      <c r="H527">
        <v>0</v>
      </c>
      <c r="I527">
        <v>0</v>
      </c>
      <c r="J527">
        <v>1</v>
      </c>
      <c r="K527">
        <v>0</v>
      </c>
      <c r="L527">
        <v>21</v>
      </c>
      <c r="M527">
        <v>0</v>
      </c>
      <c r="N527">
        <v>1</v>
      </c>
      <c r="O527">
        <v>5188875.3499999996</v>
      </c>
      <c r="P527">
        <v>5</v>
      </c>
      <c r="Q527">
        <v>5</v>
      </c>
      <c r="R527">
        <v>4.0999999999999996</v>
      </c>
      <c r="S527" t="s">
        <v>2310</v>
      </c>
      <c r="V527">
        <f t="shared" si="24"/>
        <v>0</v>
      </c>
      <c r="W527">
        <f t="shared" si="25"/>
        <v>0</v>
      </c>
      <c r="X527" t="str">
        <f t="shared" si="26"/>
        <v>MATCH</v>
      </c>
    </row>
    <row r="528" spans="1:24" x14ac:dyDescent="0.3">
      <c r="A528">
        <v>45</v>
      </c>
      <c r="B528" t="s">
        <v>18</v>
      </c>
      <c r="C528">
        <v>5188875.3499999996</v>
      </c>
      <c r="D528" t="s">
        <v>1065</v>
      </c>
      <c r="E528">
        <v>5188875.3499999996</v>
      </c>
      <c r="F528">
        <v>0</v>
      </c>
      <c r="G528" t="s">
        <v>1066</v>
      </c>
      <c r="H528">
        <v>11465</v>
      </c>
      <c r="I528">
        <v>5020573.28</v>
      </c>
      <c r="J528">
        <v>1</v>
      </c>
      <c r="K528">
        <v>0</v>
      </c>
      <c r="L528">
        <v>21</v>
      </c>
      <c r="M528">
        <v>0</v>
      </c>
      <c r="N528">
        <v>1</v>
      </c>
      <c r="O528">
        <v>5188875.3499999996</v>
      </c>
      <c r="P528">
        <v>5</v>
      </c>
      <c r="Q528">
        <v>4</v>
      </c>
      <c r="R528">
        <v>3.8000000000000003</v>
      </c>
      <c r="S528" t="s">
        <v>2310</v>
      </c>
      <c r="V528">
        <f t="shared" si="24"/>
        <v>0</v>
      </c>
      <c r="W528">
        <f t="shared" si="25"/>
        <v>0</v>
      </c>
      <c r="X528" t="str">
        <f t="shared" si="26"/>
        <v>MATCH</v>
      </c>
    </row>
    <row r="529" spans="1:24" x14ac:dyDescent="0.3">
      <c r="A529">
        <v>45</v>
      </c>
      <c r="B529" t="s">
        <v>15</v>
      </c>
      <c r="C529">
        <v>4919642.57</v>
      </c>
      <c r="D529" t="s">
        <v>1067</v>
      </c>
      <c r="E529">
        <v>4919642.57</v>
      </c>
      <c r="F529">
        <v>0</v>
      </c>
      <c r="G529" t="s">
        <v>1068</v>
      </c>
      <c r="H529">
        <v>0</v>
      </c>
      <c r="I529">
        <v>0</v>
      </c>
      <c r="J529">
        <v>1</v>
      </c>
      <c r="K529">
        <v>0</v>
      </c>
      <c r="L529">
        <v>21</v>
      </c>
      <c r="M529">
        <v>0</v>
      </c>
      <c r="N529">
        <v>1</v>
      </c>
      <c r="O529">
        <v>4919642.57</v>
      </c>
      <c r="P529">
        <v>5</v>
      </c>
      <c r="Q529">
        <v>5</v>
      </c>
      <c r="R529">
        <v>4.0999999999999996</v>
      </c>
      <c r="S529" t="s">
        <v>2310</v>
      </c>
      <c r="V529">
        <f t="shared" si="24"/>
        <v>0</v>
      </c>
      <c r="W529">
        <f t="shared" si="25"/>
        <v>0</v>
      </c>
      <c r="X529" t="str">
        <f t="shared" si="26"/>
        <v>MATCH</v>
      </c>
    </row>
    <row r="530" spans="1:24" x14ac:dyDescent="0.3">
      <c r="A530">
        <v>45</v>
      </c>
      <c r="B530" t="s">
        <v>18</v>
      </c>
      <c r="C530">
        <v>4919642.57</v>
      </c>
      <c r="D530" t="s">
        <v>1069</v>
      </c>
      <c r="E530">
        <v>4919642.57</v>
      </c>
      <c r="F530">
        <v>0</v>
      </c>
      <c r="G530" t="s">
        <v>1070</v>
      </c>
      <c r="H530">
        <v>1414095.92</v>
      </c>
      <c r="I530">
        <v>6333738.4900000002</v>
      </c>
      <c r="J530">
        <v>1</v>
      </c>
      <c r="K530">
        <v>0</v>
      </c>
      <c r="L530">
        <v>21</v>
      </c>
      <c r="M530">
        <v>0</v>
      </c>
      <c r="N530">
        <v>1</v>
      </c>
      <c r="O530">
        <v>4919642.57</v>
      </c>
      <c r="P530">
        <v>5</v>
      </c>
      <c r="Q530">
        <v>4</v>
      </c>
      <c r="R530">
        <v>3.8000000000000003</v>
      </c>
      <c r="S530" t="s">
        <v>2310</v>
      </c>
      <c r="V530">
        <f t="shared" si="24"/>
        <v>0</v>
      </c>
      <c r="W530">
        <f t="shared" si="25"/>
        <v>0</v>
      </c>
      <c r="X530" t="str">
        <f t="shared" si="26"/>
        <v>MATCH</v>
      </c>
    </row>
    <row r="531" spans="1:24" x14ac:dyDescent="0.3">
      <c r="A531">
        <v>45</v>
      </c>
      <c r="B531" t="s">
        <v>15</v>
      </c>
      <c r="C531">
        <v>357836.57</v>
      </c>
      <c r="D531" t="s">
        <v>1071</v>
      </c>
      <c r="E531">
        <v>357836.57</v>
      </c>
      <c r="F531">
        <v>0</v>
      </c>
      <c r="G531" t="s">
        <v>1072</v>
      </c>
      <c r="H531">
        <v>0</v>
      </c>
      <c r="I531">
        <v>0</v>
      </c>
      <c r="J531">
        <v>1</v>
      </c>
      <c r="K531">
        <v>0</v>
      </c>
      <c r="L531">
        <v>21</v>
      </c>
      <c r="M531">
        <v>0</v>
      </c>
      <c r="N531">
        <v>1</v>
      </c>
      <c r="O531">
        <v>357836.57</v>
      </c>
      <c r="P531">
        <v>5</v>
      </c>
      <c r="Q531">
        <v>5</v>
      </c>
      <c r="R531">
        <v>4.0999999999999996</v>
      </c>
      <c r="S531" t="s">
        <v>2310</v>
      </c>
      <c r="V531">
        <f t="shared" si="24"/>
        <v>0</v>
      </c>
      <c r="W531">
        <f t="shared" si="25"/>
        <v>0</v>
      </c>
      <c r="X531" t="str">
        <f t="shared" si="26"/>
        <v>MATCH</v>
      </c>
    </row>
    <row r="532" spans="1:24" x14ac:dyDescent="0.3">
      <c r="A532">
        <v>45</v>
      </c>
      <c r="B532" t="s">
        <v>18</v>
      </c>
      <c r="C532">
        <v>357836.57</v>
      </c>
      <c r="D532" t="s">
        <v>1073</v>
      </c>
      <c r="E532">
        <v>357836.57</v>
      </c>
      <c r="F532">
        <v>0</v>
      </c>
      <c r="G532" t="s">
        <v>1074</v>
      </c>
      <c r="H532">
        <v>51217.85</v>
      </c>
      <c r="I532">
        <v>409054.43</v>
      </c>
      <c r="J532">
        <v>1</v>
      </c>
      <c r="K532">
        <v>0</v>
      </c>
      <c r="L532">
        <v>21</v>
      </c>
      <c r="M532">
        <v>0</v>
      </c>
      <c r="N532">
        <v>1</v>
      </c>
      <c r="O532">
        <v>357836.57</v>
      </c>
      <c r="P532">
        <v>5</v>
      </c>
      <c r="Q532">
        <v>4</v>
      </c>
      <c r="R532">
        <v>3.8000000000000003</v>
      </c>
      <c r="S532" t="s">
        <v>2310</v>
      </c>
      <c r="V532">
        <f t="shared" si="24"/>
        <v>0</v>
      </c>
      <c r="W532">
        <f t="shared" si="25"/>
        <v>0</v>
      </c>
      <c r="X532" t="str">
        <f t="shared" si="26"/>
        <v>MATCH</v>
      </c>
    </row>
    <row r="533" spans="1:24" x14ac:dyDescent="0.3">
      <c r="A533">
        <v>45</v>
      </c>
      <c r="B533" t="s">
        <v>15</v>
      </c>
      <c r="C533">
        <v>155761.29</v>
      </c>
      <c r="D533" t="s">
        <v>1075</v>
      </c>
      <c r="E533">
        <v>155761.29</v>
      </c>
      <c r="F533">
        <v>0</v>
      </c>
      <c r="G533" t="s">
        <v>1076</v>
      </c>
      <c r="H533">
        <v>0</v>
      </c>
      <c r="I533">
        <v>0</v>
      </c>
      <c r="J533">
        <v>1</v>
      </c>
      <c r="K533">
        <v>0</v>
      </c>
      <c r="L533">
        <v>21</v>
      </c>
      <c r="M533">
        <v>0</v>
      </c>
      <c r="N533">
        <v>1</v>
      </c>
      <c r="O533">
        <v>155761.29</v>
      </c>
      <c r="P533">
        <v>4</v>
      </c>
      <c r="Q533">
        <v>5</v>
      </c>
      <c r="R533">
        <v>3.6</v>
      </c>
      <c r="S533" t="s">
        <v>2310</v>
      </c>
      <c r="V533">
        <f t="shared" si="24"/>
        <v>0</v>
      </c>
      <c r="W533">
        <f t="shared" si="25"/>
        <v>0</v>
      </c>
      <c r="X533" t="str">
        <f t="shared" si="26"/>
        <v>MATCH</v>
      </c>
    </row>
    <row r="534" spans="1:24" x14ac:dyDescent="0.3">
      <c r="A534">
        <v>45</v>
      </c>
      <c r="B534" t="s">
        <v>18</v>
      </c>
      <c r="C534">
        <v>155761.29</v>
      </c>
      <c r="D534" t="s">
        <v>1077</v>
      </c>
      <c r="E534">
        <v>155761.29</v>
      </c>
      <c r="F534">
        <v>0</v>
      </c>
      <c r="G534" t="s">
        <v>1078</v>
      </c>
      <c r="H534">
        <v>192775.45</v>
      </c>
      <c r="I534">
        <v>348536.74</v>
      </c>
      <c r="J534">
        <v>1</v>
      </c>
      <c r="K534">
        <v>0</v>
      </c>
      <c r="L534">
        <v>21</v>
      </c>
      <c r="M534">
        <v>0</v>
      </c>
      <c r="N534">
        <v>1</v>
      </c>
      <c r="O534">
        <v>155761.29</v>
      </c>
      <c r="P534">
        <v>4</v>
      </c>
      <c r="Q534">
        <v>4</v>
      </c>
      <c r="R534">
        <v>3.3000000000000003</v>
      </c>
      <c r="S534" t="s">
        <v>2310</v>
      </c>
      <c r="V534">
        <f t="shared" si="24"/>
        <v>0</v>
      </c>
      <c r="W534">
        <f t="shared" si="25"/>
        <v>0</v>
      </c>
      <c r="X534" t="str">
        <f t="shared" si="26"/>
        <v>MATCH</v>
      </c>
    </row>
    <row r="535" spans="1:24" x14ac:dyDescent="0.3">
      <c r="A535">
        <v>45</v>
      </c>
      <c r="B535" t="s">
        <v>15</v>
      </c>
      <c r="C535">
        <v>7335355.5700000003</v>
      </c>
      <c r="D535" t="s">
        <v>1079</v>
      </c>
      <c r="E535">
        <v>7335355.5700000003</v>
      </c>
      <c r="F535">
        <v>0</v>
      </c>
      <c r="G535" t="s">
        <v>1080</v>
      </c>
      <c r="H535">
        <v>0</v>
      </c>
      <c r="I535">
        <v>0</v>
      </c>
      <c r="J535">
        <v>1</v>
      </c>
      <c r="K535">
        <v>0</v>
      </c>
      <c r="L535">
        <v>21</v>
      </c>
      <c r="M535">
        <v>0</v>
      </c>
      <c r="N535">
        <v>1</v>
      </c>
      <c r="O535">
        <v>7335355.5700000003</v>
      </c>
      <c r="P535">
        <v>5</v>
      </c>
      <c r="Q535">
        <v>5</v>
      </c>
      <c r="R535">
        <v>4.0999999999999996</v>
      </c>
      <c r="S535" t="s">
        <v>2310</v>
      </c>
      <c r="V535">
        <f t="shared" si="24"/>
        <v>0</v>
      </c>
      <c r="W535">
        <f t="shared" si="25"/>
        <v>0</v>
      </c>
      <c r="X535" t="str">
        <f t="shared" si="26"/>
        <v>MATCH</v>
      </c>
    </row>
    <row r="536" spans="1:24" x14ac:dyDescent="0.3">
      <c r="A536">
        <v>45</v>
      </c>
      <c r="B536" t="s">
        <v>18</v>
      </c>
      <c r="C536">
        <v>7335355.5700000003</v>
      </c>
      <c r="D536" t="s">
        <v>1081</v>
      </c>
      <c r="E536">
        <v>7335355.5700000003</v>
      </c>
      <c r="F536">
        <v>0</v>
      </c>
      <c r="G536" t="s">
        <v>1082</v>
      </c>
      <c r="H536">
        <v>702100.11</v>
      </c>
      <c r="I536">
        <v>8037455.6799999997</v>
      </c>
      <c r="J536">
        <v>1</v>
      </c>
      <c r="K536">
        <v>0</v>
      </c>
      <c r="L536">
        <v>21</v>
      </c>
      <c r="M536">
        <v>0</v>
      </c>
      <c r="N536">
        <v>1</v>
      </c>
      <c r="O536">
        <v>7335355.5700000003</v>
      </c>
      <c r="P536">
        <v>5</v>
      </c>
      <c r="Q536">
        <v>4</v>
      </c>
      <c r="R536">
        <v>3.8000000000000003</v>
      </c>
      <c r="S536" t="s">
        <v>2310</v>
      </c>
      <c r="V536">
        <f t="shared" si="24"/>
        <v>0</v>
      </c>
      <c r="W536">
        <f t="shared" si="25"/>
        <v>0</v>
      </c>
      <c r="X536" t="str">
        <f t="shared" si="26"/>
        <v>MATCH</v>
      </c>
    </row>
    <row r="537" spans="1:24" x14ac:dyDescent="0.3">
      <c r="A537">
        <v>46</v>
      </c>
      <c r="B537" t="s">
        <v>15</v>
      </c>
      <c r="C537">
        <v>9977761.0500000007</v>
      </c>
      <c r="D537" t="s">
        <v>1083</v>
      </c>
      <c r="E537">
        <v>9977761.0500000007</v>
      </c>
      <c r="F537">
        <v>0</v>
      </c>
      <c r="G537" t="s">
        <v>1084</v>
      </c>
      <c r="H537">
        <v>0</v>
      </c>
      <c r="I537">
        <v>0</v>
      </c>
      <c r="J537">
        <v>1</v>
      </c>
      <c r="K537">
        <v>0</v>
      </c>
      <c r="L537">
        <v>22</v>
      </c>
      <c r="M537">
        <v>0</v>
      </c>
      <c r="N537">
        <v>1</v>
      </c>
      <c r="O537">
        <v>9977761.0500000007</v>
      </c>
      <c r="P537">
        <v>5</v>
      </c>
      <c r="Q537">
        <v>5</v>
      </c>
      <c r="R537">
        <v>4.0999999999999996</v>
      </c>
      <c r="S537" t="s">
        <v>2310</v>
      </c>
      <c r="V537">
        <f t="shared" si="24"/>
        <v>0</v>
      </c>
      <c r="W537">
        <f t="shared" si="25"/>
        <v>0</v>
      </c>
      <c r="X537" t="str">
        <f t="shared" si="26"/>
        <v>MATCH</v>
      </c>
    </row>
    <row r="538" spans="1:24" x14ac:dyDescent="0.3">
      <c r="A538">
        <v>46</v>
      </c>
      <c r="B538" t="s">
        <v>18</v>
      </c>
      <c r="C538">
        <v>9977761.0500000007</v>
      </c>
      <c r="D538" t="s">
        <v>1085</v>
      </c>
      <c r="E538">
        <v>9977761.0500000007</v>
      </c>
      <c r="F538">
        <v>0</v>
      </c>
      <c r="G538" t="s">
        <v>1086</v>
      </c>
      <c r="H538">
        <v>0</v>
      </c>
      <c r="I538">
        <v>9977761.0500000007</v>
      </c>
      <c r="J538">
        <v>1</v>
      </c>
      <c r="K538">
        <v>0</v>
      </c>
      <c r="L538">
        <v>22</v>
      </c>
      <c r="M538">
        <v>0</v>
      </c>
      <c r="N538">
        <v>1</v>
      </c>
      <c r="O538">
        <v>9977761.0500000007</v>
      </c>
      <c r="P538">
        <v>5</v>
      </c>
      <c r="Q538">
        <v>4</v>
      </c>
      <c r="R538">
        <v>3.8000000000000003</v>
      </c>
      <c r="S538" t="s">
        <v>2310</v>
      </c>
      <c r="V538">
        <f t="shared" si="24"/>
        <v>0</v>
      </c>
      <c r="W538">
        <f t="shared" si="25"/>
        <v>0</v>
      </c>
      <c r="X538" t="str">
        <f t="shared" si="26"/>
        <v>MATCH</v>
      </c>
    </row>
    <row r="539" spans="1:24" x14ac:dyDescent="0.3">
      <c r="A539">
        <v>46</v>
      </c>
      <c r="B539" t="s">
        <v>15</v>
      </c>
      <c r="C539">
        <v>35016.230000000003</v>
      </c>
      <c r="D539" t="s">
        <v>1087</v>
      </c>
      <c r="E539">
        <v>35016.230000000003</v>
      </c>
      <c r="F539">
        <v>0</v>
      </c>
      <c r="G539" t="s">
        <v>1088</v>
      </c>
      <c r="H539">
        <v>0</v>
      </c>
      <c r="I539">
        <v>0</v>
      </c>
      <c r="J539">
        <v>1</v>
      </c>
      <c r="K539">
        <v>0</v>
      </c>
      <c r="L539">
        <v>22</v>
      </c>
      <c r="M539">
        <v>0</v>
      </c>
      <c r="N539">
        <v>1</v>
      </c>
      <c r="O539">
        <v>35016.230000000003</v>
      </c>
      <c r="P539">
        <v>2</v>
      </c>
      <c r="Q539">
        <v>5</v>
      </c>
      <c r="R539">
        <v>2.6</v>
      </c>
      <c r="S539" t="s">
        <v>2312</v>
      </c>
      <c r="V539">
        <f t="shared" si="24"/>
        <v>0</v>
      </c>
      <c r="W539">
        <f t="shared" si="25"/>
        <v>0</v>
      </c>
      <c r="X539" t="str">
        <f t="shared" si="26"/>
        <v>MATCH</v>
      </c>
    </row>
    <row r="540" spans="1:24" x14ac:dyDescent="0.3">
      <c r="A540">
        <v>46</v>
      </c>
      <c r="B540" t="s">
        <v>18</v>
      </c>
      <c r="C540">
        <v>35016.230000000003</v>
      </c>
      <c r="D540" t="s">
        <v>1089</v>
      </c>
      <c r="E540">
        <v>35016.230000000003</v>
      </c>
      <c r="F540">
        <v>0</v>
      </c>
      <c r="G540" t="s">
        <v>1090</v>
      </c>
      <c r="H540">
        <v>65435.34</v>
      </c>
      <c r="I540">
        <v>100451.57</v>
      </c>
      <c r="J540">
        <v>1</v>
      </c>
      <c r="K540">
        <v>0</v>
      </c>
      <c r="L540">
        <v>22</v>
      </c>
      <c r="M540">
        <v>0</v>
      </c>
      <c r="N540">
        <v>1</v>
      </c>
      <c r="O540">
        <v>35016.230000000003</v>
      </c>
      <c r="P540">
        <v>2</v>
      </c>
      <c r="Q540">
        <v>4</v>
      </c>
      <c r="R540">
        <v>2.3000000000000003</v>
      </c>
      <c r="S540" t="s">
        <v>2312</v>
      </c>
      <c r="V540">
        <f t="shared" si="24"/>
        <v>0</v>
      </c>
      <c r="W540">
        <f t="shared" si="25"/>
        <v>0</v>
      </c>
      <c r="X540" t="str">
        <f t="shared" si="26"/>
        <v>MATCH</v>
      </c>
    </row>
    <row r="541" spans="1:24" x14ac:dyDescent="0.3">
      <c r="A541">
        <v>46</v>
      </c>
      <c r="B541" t="s">
        <v>15</v>
      </c>
      <c r="C541">
        <v>71372</v>
      </c>
      <c r="D541" t="s">
        <v>1091</v>
      </c>
      <c r="E541">
        <v>71372</v>
      </c>
      <c r="F541">
        <v>0</v>
      </c>
      <c r="G541" t="s">
        <v>1092</v>
      </c>
      <c r="H541">
        <v>0</v>
      </c>
      <c r="I541">
        <v>0</v>
      </c>
      <c r="J541">
        <v>1</v>
      </c>
      <c r="K541">
        <v>0</v>
      </c>
      <c r="L541">
        <v>22</v>
      </c>
      <c r="M541">
        <v>0</v>
      </c>
      <c r="N541">
        <v>1</v>
      </c>
      <c r="O541">
        <v>71372</v>
      </c>
      <c r="P541">
        <v>3</v>
      </c>
      <c r="Q541">
        <v>5</v>
      </c>
      <c r="R541">
        <v>3.1</v>
      </c>
      <c r="S541" t="s">
        <v>2310</v>
      </c>
      <c r="V541">
        <f t="shared" si="24"/>
        <v>0</v>
      </c>
      <c r="W541">
        <f t="shared" si="25"/>
        <v>0</v>
      </c>
      <c r="X541" t="str">
        <f t="shared" si="26"/>
        <v>MATCH</v>
      </c>
    </row>
    <row r="542" spans="1:24" x14ac:dyDescent="0.3">
      <c r="A542">
        <v>46</v>
      </c>
      <c r="B542" t="s">
        <v>18</v>
      </c>
      <c r="C542">
        <v>71372</v>
      </c>
      <c r="D542" t="s">
        <v>1093</v>
      </c>
      <c r="E542">
        <v>71372</v>
      </c>
      <c r="F542">
        <v>0</v>
      </c>
      <c r="G542" t="s">
        <v>781</v>
      </c>
      <c r="H542">
        <v>613464.04</v>
      </c>
      <c r="I542">
        <v>684836.04</v>
      </c>
      <c r="J542">
        <v>1</v>
      </c>
      <c r="K542">
        <v>0</v>
      </c>
      <c r="L542">
        <v>22</v>
      </c>
      <c r="M542">
        <v>0</v>
      </c>
      <c r="N542">
        <v>1</v>
      </c>
      <c r="O542">
        <v>71372</v>
      </c>
      <c r="P542">
        <v>3</v>
      </c>
      <c r="Q542">
        <v>4</v>
      </c>
      <c r="R542">
        <v>2.8000000000000003</v>
      </c>
      <c r="S542" t="s">
        <v>2312</v>
      </c>
      <c r="V542">
        <f t="shared" si="24"/>
        <v>0</v>
      </c>
      <c r="W542">
        <f t="shared" si="25"/>
        <v>0</v>
      </c>
      <c r="X542" t="str">
        <f t="shared" si="26"/>
        <v>MATCH</v>
      </c>
    </row>
    <row r="543" spans="1:24" x14ac:dyDescent="0.3">
      <c r="A543">
        <v>46</v>
      </c>
      <c r="B543" t="s">
        <v>15</v>
      </c>
      <c r="C543">
        <v>945131.85</v>
      </c>
      <c r="D543" t="s">
        <v>1094</v>
      </c>
      <c r="E543">
        <v>945131.85</v>
      </c>
      <c r="F543">
        <v>0</v>
      </c>
      <c r="G543" t="s">
        <v>1095</v>
      </c>
      <c r="H543">
        <v>0</v>
      </c>
      <c r="I543">
        <v>0</v>
      </c>
      <c r="J543">
        <v>1</v>
      </c>
      <c r="K543">
        <v>0</v>
      </c>
      <c r="L543">
        <v>22</v>
      </c>
      <c r="M543">
        <v>0</v>
      </c>
      <c r="N543">
        <v>1</v>
      </c>
      <c r="O543">
        <v>945131.85</v>
      </c>
      <c r="P543">
        <v>5</v>
      </c>
      <c r="Q543">
        <v>5</v>
      </c>
      <c r="R543">
        <v>4.0999999999999996</v>
      </c>
      <c r="S543" t="s">
        <v>2310</v>
      </c>
      <c r="V543">
        <f t="shared" si="24"/>
        <v>0</v>
      </c>
      <c r="W543">
        <f t="shared" si="25"/>
        <v>0</v>
      </c>
      <c r="X543" t="str">
        <f t="shared" si="26"/>
        <v>MATCH</v>
      </c>
    </row>
    <row r="544" spans="1:24" x14ac:dyDescent="0.3">
      <c r="A544">
        <v>46</v>
      </c>
      <c r="B544" t="s">
        <v>18</v>
      </c>
      <c r="C544">
        <v>945131.85</v>
      </c>
      <c r="D544" t="s">
        <v>1096</v>
      </c>
      <c r="E544">
        <v>945131.85</v>
      </c>
      <c r="F544">
        <v>0</v>
      </c>
      <c r="G544" t="s">
        <v>1097</v>
      </c>
      <c r="H544">
        <v>119561.47</v>
      </c>
      <c r="I544">
        <v>1064693.32</v>
      </c>
      <c r="J544">
        <v>1</v>
      </c>
      <c r="K544">
        <v>0</v>
      </c>
      <c r="L544">
        <v>22</v>
      </c>
      <c r="M544">
        <v>0</v>
      </c>
      <c r="N544">
        <v>1</v>
      </c>
      <c r="O544">
        <v>945131.85</v>
      </c>
      <c r="P544">
        <v>5</v>
      </c>
      <c r="Q544">
        <v>4</v>
      </c>
      <c r="R544">
        <v>3.8000000000000003</v>
      </c>
      <c r="S544" t="s">
        <v>2310</v>
      </c>
      <c r="V544">
        <f t="shared" si="24"/>
        <v>0</v>
      </c>
      <c r="W544">
        <f t="shared" si="25"/>
        <v>0</v>
      </c>
      <c r="X544" t="str">
        <f t="shared" si="26"/>
        <v>MATCH</v>
      </c>
    </row>
    <row r="545" spans="1:24" x14ac:dyDescent="0.3">
      <c r="A545">
        <v>46</v>
      </c>
      <c r="B545" t="s">
        <v>15</v>
      </c>
      <c r="C545">
        <v>736370.54</v>
      </c>
      <c r="D545" t="s">
        <v>1098</v>
      </c>
      <c r="E545">
        <v>736370.54</v>
      </c>
      <c r="F545">
        <v>0</v>
      </c>
      <c r="G545" t="s">
        <v>1099</v>
      </c>
      <c r="H545">
        <v>0</v>
      </c>
      <c r="I545">
        <v>0</v>
      </c>
      <c r="J545">
        <v>1</v>
      </c>
      <c r="K545">
        <v>0</v>
      </c>
      <c r="L545">
        <v>22</v>
      </c>
      <c r="M545">
        <v>0</v>
      </c>
      <c r="N545">
        <v>1</v>
      </c>
      <c r="O545">
        <v>736370.54</v>
      </c>
      <c r="P545">
        <v>5</v>
      </c>
      <c r="Q545">
        <v>5</v>
      </c>
      <c r="R545">
        <v>4.0999999999999996</v>
      </c>
      <c r="S545" t="s">
        <v>2310</v>
      </c>
      <c r="V545">
        <f t="shared" si="24"/>
        <v>0</v>
      </c>
      <c r="W545">
        <f t="shared" si="25"/>
        <v>0</v>
      </c>
      <c r="X545" t="str">
        <f t="shared" si="26"/>
        <v>MATCH</v>
      </c>
    </row>
    <row r="546" spans="1:24" x14ac:dyDescent="0.3">
      <c r="A546">
        <v>46</v>
      </c>
      <c r="B546" t="s">
        <v>18</v>
      </c>
      <c r="C546">
        <v>736370.54</v>
      </c>
      <c r="D546" t="s">
        <v>1100</v>
      </c>
      <c r="E546">
        <v>736370.54</v>
      </c>
      <c r="F546">
        <v>0</v>
      </c>
      <c r="G546" t="s">
        <v>1101</v>
      </c>
      <c r="H546">
        <v>556478.62</v>
      </c>
      <c r="I546">
        <v>1292849.1499999999</v>
      </c>
      <c r="J546">
        <v>1</v>
      </c>
      <c r="K546">
        <v>0</v>
      </c>
      <c r="L546">
        <v>22</v>
      </c>
      <c r="M546">
        <v>0</v>
      </c>
      <c r="N546">
        <v>1</v>
      </c>
      <c r="O546">
        <v>736370.54</v>
      </c>
      <c r="P546">
        <v>5</v>
      </c>
      <c r="Q546">
        <v>4</v>
      </c>
      <c r="R546">
        <v>3.8000000000000003</v>
      </c>
      <c r="S546" t="s">
        <v>2310</v>
      </c>
      <c r="V546">
        <f t="shared" si="24"/>
        <v>0</v>
      </c>
      <c r="W546">
        <f t="shared" si="25"/>
        <v>0</v>
      </c>
      <c r="X546" t="str">
        <f t="shared" si="26"/>
        <v>MATCH</v>
      </c>
    </row>
    <row r="547" spans="1:24" x14ac:dyDescent="0.3">
      <c r="A547">
        <v>46</v>
      </c>
      <c r="B547" t="s">
        <v>15</v>
      </c>
      <c r="C547">
        <v>82971.91</v>
      </c>
      <c r="D547" t="s">
        <v>1102</v>
      </c>
      <c r="E547">
        <v>82971.91</v>
      </c>
      <c r="F547">
        <v>0</v>
      </c>
      <c r="G547" t="s">
        <v>1103</v>
      </c>
      <c r="H547">
        <v>0</v>
      </c>
      <c r="I547">
        <v>0</v>
      </c>
      <c r="J547">
        <v>1</v>
      </c>
      <c r="K547">
        <v>0</v>
      </c>
      <c r="L547">
        <v>22</v>
      </c>
      <c r="M547">
        <v>0</v>
      </c>
      <c r="N547">
        <v>1</v>
      </c>
      <c r="O547">
        <v>82971.91</v>
      </c>
      <c r="P547">
        <v>3</v>
      </c>
      <c r="Q547">
        <v>5</v>
      </c>
      <c r="R547">
        <v>3.1</v>
      </c>
      <c r="S547" t="s">
        <v>2310</v>
      </c>
      <c r="V547">
        <f t="shared" si="24"/>
        <v>0</v>
      </c>
      <c r="W547">
        <f t="shared" si="25"/>
        <v>0</v>
      </c>
      <c r="X547" t="str">
        <f t="shared" si="26"/>
        <v>MATCH</v>
      </c>
    </row>
    <row r="548" spans="1:24" x14ac:dyDescent="0.3">
      <c r="A548">
        <v>46</v>
      </c>
      <c r="B548" t="s">
        <v>18</v>
      </c>
      <c r="C548">
        <v>82971.91</v>
      </c>
      <c r="D548" t="s">
        <v>1104</v>
      </c>
      <c r="E548">
        <v>82971.91</v>
      </c>
      <c r="F548">
        <v>0</v>
      </c>
      <c r="G548" t="s">
        <v>1105</v>
      </c>
      <c r="H548">
        <v>39316.959999999999</v>
      </c>
      <c r="I548">
        <v>122288.87</v>
      </c>
      <c r="J548">
        <v>1</v>
      </c>
      <c r="K548">
        <v>0</v>
      </c>
      <c r="L548">
        <v>22</v>
      </c>
      <c r="M548">
        <v>0</v>
      </c>
      <c r="N548">
        <v>1</v>
      </c>
      <c r="O548">
        <v>82971.91</v>
      </c>
      <c r="P548">
        <v>3</v>
      </c>
      <c r="Q548">
        <v>4</v>
      </c>
      <c r="R548">
        <v>2.8000000000000003</v>
      </c>
      <c r="S548" t="s">
        <v>2312</v>
      </c>
      <c r="V548">
        <f t="shared" si="24"/>
        <v>0</v>
      </c>
      <c r="W548">
        <f t="shared" si="25"/>
        <v>0</v>
      </c>
      <c r="X548" t="str">
        <f t="shared" si="26"/>
        <v>MATCH</v>
      </c>
    </row>
    <row r="549" spans="1:24" x14ac:dyDescent="0.3">
      <c r="A549">
        <v>46</v>
      </c>
      <c r="B549" t="s">
        <v>15</v>
      </c>
      <c r="C549">
        <v>585010.21</v>
      </c>
      <c r="D549" t="s">
        <v>1106</v>
      </c>
      <c r="E549">
        <v>585010.21</v>
      </c>
      <c r="F549">
        <v>0</v>
      </c>
      <c r="G549" t="s">
        <v>1107</v>
      </c>
      <c r="H549">
        <v>0</v>
      </c>
      <c r="I549">
        <v>0</v>
      </c>
      <c r="J549">
        <v>1</v>
      </c>
      <c r="K549">
        <v>0</v>
      </c>
      <c r="L549">
        <v>22</v>
      </c>
      <c r="M549">
        <v>0</v>
      </c>
      <c r="N549">
        <v>1</v>
      </c>
      <c r="O549">
        <v>585010.21</v>
      </c>
      <c r="P549">
        <v>5</v>
      </c>
      <c r="Q549">
        <v>5</v>
      </c>
      <c r="R549">
        <v>4.0999999999999996</v>
      </c>
      <c r="S549" t="s">
        <v>2310</v>
      </c>
      <c r="V549">
        <f t="shared" si="24"/>
        <v>0</v>
      </c>
      <c r="W549">
        <f t="shared" si="25"/>
        <v>0</v>
      </c>
      <c r="X549" t="str">
        <f t="shared" si="26"/>
        <v>MATCH</v>
      </c>
    </row>
    <row r="550" spans="1:24" x14ac:dyDescent="0.3">
      <c r="A550">
        <v>46</v>
      </c>
      <c r="B550" t="s">
        <v>18</v>
      </c>
      <c r="C550">
        <v>585010.21</v>
      </c>
      <c r="D550" t="s">
        <v>1108</v>
      </c>
      <c r="E550">
        <v>585010.21</v>
      </c>
      <c r="F550">
        <v>0</v>
      </c>
      <c r="G550" t="s">
        <v>1109</v>
      </c>
      <c r="H550">
        <v>15969.08</v>
      </c>
      <c r="I550">
        <v>600979.29</v>
      </c>
      <c r="J550">
        <v>1</v>
      </c>
      <c r="K550">
        <v>0</v>
      </c>
      <c r="L550">
        <v>22</v>
      </c>
      <c r="M550">
        <v>0</v>
      </c>
      <c r="N550">
        <v>1</v>
      </c>
      <c r="O550">
        <v>585010.21</v>
      </c>
      <c r="P550">
        <v>5</v>
      </c>
      <c r="Q550">
        <v>4</v>
      </c>
      <c r="R550">
        <v>3.8000000000000003</v>
      </c>
      <c r="S550" t="s">
        <v>2310</v>
      </c>
      <c r="V550">
        <f t="shared" si="24"/>
        <v>0</v>
      </c>
      <c r="W550">
        <f t="shared" si="25"/>
        <v>0</v>
      </c>
      <c r="X550" t="str">
        <f t="shared" si="26"/>
        <v>MATCH</v>
      </c>
    </row>
    <row r="551" spans="1:24" x14ac:dyDescent="0.3">
      <c r="A551">
        <v>47</v>
      </c>
      <c r="B551" t="s">
        <v>15</v>
      </c>
      <c r="C551">
        <v>225850.53</v>
      </c>
      <c r="D551" t="s">
        <v>1110</v>
      </c>
      <c r="E551">
        <v>225850.53</v>
      </c>
      <c r="F551">
        <v>0</v>
      </c>
      <c r="G551" t="s">
        <v>1111</v>
      </c>
      <c r="H551">
        <v>0</v>
      </c>
      <c r="I551">
        <v>0</v>
      </c>
      <c r="J551">
        <v>1</v>
      </c>
      <c r="K551">
        <v>0</v>
      </c>
      <c r="L551">
        <v>23</v>
      </c>
      <c r="M551">
        <v>0</v>
      </c>
      <c r="N551">
        <v>1</v>
      </c>
      <c r="O551">
        <v>225850.53</v>
      </c>
      <c r="P551">
        <v>5</v>
      </c>
      <c r="Q551">
        <v>5</v>
      </c>
      <c r="R551">
        <v>4.0999999999999996</v>
      </c>
      <c r="S551" t="s">
        <v>2310</v>
      </c>
      <c r="V551">
        <f t="shared" si="24"/>
        <v>0</v>
      </c>
      <c r="W551">
        <f t="shared" si="25"/>
        <v>0</v>
      </c>
      <c r="X551" t="str">
        <f t="shared" si="26"/>
        <v>MATCH</v>
      </c>
    </row>
    <row r="552" spans="1:24" x14ac:dyDescent="0.3">
      <c r="A552">
        <v>47</v>
      </c>
      <c r="B552" t="s">
        <v>18</v>
      </c>
      <c r="C552">
        <v>225850.53</v>
      </c>
      <c r="D552" t="s">
        <v>1112</v>
      </c>
      <c r="E552">
        <v>225850.53</v>
      </c>
      <c r="F552">
        <v>0</v>
      </c>
      <c r="G552" t="s">
        <v>1113</v>
      </c>
      <c r="H552">
        <v>5063600.9000000004</v>
      </c>
      <c r="I552">
        <v>5289451.43</v>
      </c>
      <c r="J552">
        <v>1</v>
      </c>
      <c r="K552">
        <v>0</v>
      </c>
      <c r="L552">
        <v>23</v>
      </c>
      <c r="M552">
        <v>0</v>
      </c>
      <c r="N552">
        <v>1</v>
      </c>
      <c r="O552">
        <v>225850.53</v>
      </c>
      <c r="P552">
        <v>5</v>
      </c>
      <c r="Q552">
        <v>4</v>
      </c>
      <c r="R552">
        <v>3.8000000000000003</v>
      </c>
      <c r="S552" t="s">
        <v>2310</v>
      </c>
      <c r="V552">
        <f t="shared" si="24"/>
        <v>0</v>
      </c>
      <c r="W552">
        <f t="shared" si="25"/>
        <v>0</v>
      </c>
      <c r="X552" t="str">
        <f t="shared" si="26"/>
        <v>MATCH</v>
      </c>
    </row>
    <row r="553" spans="1:24" x14ac:dyDescent="0.3">
      <c r="A553">
        <v>47</v>
      </c>
      <c r="B553" t="s">
        <v>15</v>
      </c>
      <c r="C553">
        <v>243028.65</v>
      </c>
      <c r="D553" t="s">
        <v>1114</v>
      </c>
      <c r="E553">
        <v>243028.65</v>
      </c>
      <c r="F553">
        <v>0</v>
      </c>
      <c r="G553" t="s">
        <v>1115</v>
      </c>
      <c r="H553">
        <v>0</v>
      </c>
      <c r="I553">
        <v>0</v>
      </c>
      <c r="J553">
        <v>1</v>
      </c>
      <c r="K553">
        <v>0</v>
      </c>
      <c r="L553">
        <v>23</v>
      </c>
      <c r="M553">
        <v>0</v>
      </c>
      <c r="N553">
        <v>1</v>
      </c>
      <c r="O553">
        <v>243028.65</v>
      </c>
      <c r="P553">
        <v>5</v>
      </c>
      <c r="Q553">
        <v>5</v>
      </c>
      <c r="R553">
        <v>4.0999999999999996</v>
      </c>
      <c r="S553" t="s">
        <v>2310</v>
      </c>
      <c r="V553">
        <f t="shared" si="24"/>
        <v>0</v>
      </c>
      <c r="W553">
        <f t="shared" si="25"/>
        <v>0</v>
      </c>
      <c r="X553" t="str">
        <f t="shared" si="26"/>
        <v>MATCH</v>
      </c>
    </row>
    <row r="554" spans="1:24" x14ac:dyDescent="0.3">
      <c r="A554">
        <v>47</v>
      </c>
      <c r="B554" t="s">
        <v>18</v>
      </c>
      <c r="C554">
        <v>243028.65</v>
      </c>
      <c r="D554" t="s">
        <v>1116</v>
      </c>
      <c r="E554">
        <v>243028.65</v>
      </c>
      <c r="F554">
        <v>0</v>
      </c>
      <c r="G554" t="s">
        <v>1117</v>
      </c>
      <c r="H554">
        <v>441285.14</v>
      </c>
      <c r="I554">
        <v>684313.79</v>
      </c>
      <c r="J554">
        <v>1</v>
      </c>
      <c r="K554">
        <v>0</v>
      </c>
      <c r="L554">
        <v>23</v>
      </c>
      <c r="M554">
        <v>0</v>
      </c>
      <c r="N554">
        <v>1</v>
      </c>
      <c r="O554">
        <v>243028.65</v>
      </c>
      <c r="P554">
        <v>5</v>
      </c>
      <c r="Q554">
        <v>4</v>
      </c>
      <c r="R554">
        <v>3.8000000000000003</v>
      </c>
      <c r="S554" t="s">
        <v>2310</v>
      </c>
      <c r="V554">
        <f t="shared" si="24"/>
        <v>0</v>
      </c>
      <c r="W554">
        <f t="shared" si="25"/>
        <v>0</v>
      </c>
      <c r="X554" t="str">
        <f t="shared" si="26"/>
        <v>MATCH</v>
      </c>
    </row>
    <row r="555" spans="1:24" x14ac:dyDescent="0.3">
      <c r="A555">
        <v>47</v>
      </c>
      <c r="B555" t="s">
        <v>15</v>
      </c>
      <c r="C555">
        <v>2249574.0099999998</v>
      </c>
      <c r="D555" t="s">
        <v>1118</v>
      </c>
      <c r="E555">
        <v>2249574.0099999998</v>
      </c>
      <c r="F555">
        <v>0</v>
      </c>
      <c r="G555" t="s">
        <v>1119</v>
      </c>
      <c r="H555">
        <v>0</v>
      </c>
      <c r="I555">
        <v>0</v>
      </c>
      <c r="J555">
        <v>1</v>
      </c>
      <c r="K555">
        <v>0</v>
      </c>
      <c r="L555">
        <v>23</v>
      </c>
      <c r="M555">
        <v>0</v>
      </c>
      <c r="N555">
        <v>1</v>
      </c>
      <c r="O555">
        <v>2249574.0099999998</v>
      </c>
      <c r="P555">
        <v>5</v>
      </c>
      <c r="Q555">
        <v>5</v>
      </c>
      <c r="R555">
        <v>4.0999999999999996</v>
      </c>
      <c r="S555" t="s">
        <v>2310</v>
      </c>
      <c r="V555">
        <f t="shared" si="24"/>
        <v>0</v>
      </c>
      <c r="W555">
        <f t="shared" si="25"/>
        <v>0</v>
      </c>
      <c r="X555" t="str">
        <f t="shared" si="26"/>
        <v>MATCH</v>
      </c>
    </row>
    <row r="556" spans="1:24" x14ac:dyDescent="0.3">
      <c r="A556">
        <v>47</v>
      </c>
      <c r="B556" t="s">
        <v>18</v>
      </c>
      <c r="C556">
        <v>2249574.0099999998</v>
      </c>
      <c r="D556" t="s">
        <v>1120</v>
      </c>
      <c r="E556">
        <v>2249574.0099999998</v>
      </c>
      <c r="F556">
        <v>0</v>
      </c>
      <c r="G556" t="s">
        <v>1121</v>
      </c>
      <c r="H556">
        <v>3785286.98</v>
      </c>
      <c r="I556">
        <v>6034861</v>
      </c>
      <c r="J556">
        <v>1</v>
      </c>
      <c r="K556">
        <v>0</v>
      </c>
      <c r="L556">
        <v>23</v>
      </c>
      <c r="M556">
        <v>0</v>
      </c>
      <c r="N556">
        <v>1</v>
      </c>
      <c r="O556">
        <v>2249574.0099999998</v>
      </c>
      <c r="P556">
        <v>5</v>
      </c>
      <c r="Q556">
        <v>4</v>
      </c>
      <c r="R556">
        <v>3.8000000000000003</v>
      </c>
      <c r="S556" t="s">
        <v>2310</v>
      </c>
      <c r="V556">
        <f t="shared" si="24"/>
        <v>0</v>
      </c>
      <c r="W556">
        <f t="shared" si="25"/>
        <v>0</v>
      </c>
      <c r="X556" t="str">
        <f t="shared" si="26"/>
        <v>MATCH</v>
      </c>
    </row>
    <row r="557" spans="1:24" x14ac:dyDescent="0.3">
      <c r="A557">
        <v>47</v>
      </c>
      <c r="B557" t="s">
        <v>15</v>
      </c>
      <c r="C557">
        <v>13172.17</v>
      </c>
      <c r="D557" t="s">
        <v>1122</v>
      </c>
      <c r="E557">
        <v>13172.17</v>
      </c>
      <c r="F557">
        <v>0</v>
      </c>
      <c r="G557" t="s">
        <v>1123</v>
      </c>
      <c r="H557">
        <v>0</v>
      </c>
      <c r="I557">
        <v>0</v>
      </c>
      <c r="J557">
        <v>1</v>
      </c>
      <c r="K557">
        <v>0</v>
      </c>
      <c r="L557">
        <v>23</v>
      </c>
      <c r="M557">
        <v>0</v>
      </c>
      <c r="N557">
        <v>1</v>
      </c>
      <c r="O557">
        <v>13172.17</v>
      </c>
      <c r="P557">
        <v>2</v>
      </c>
      <c r="Q557">
        <v>5</v>
      </c>
      <c r="R557">
        <v>2.6</v>
      </c>
      <c r="S557" t="s">
        <v>2312</v>
      </c>
      <c r="V557">
        <f t="shared" si="24"/>
        <v>0</v>
      </c>
      <c r="W557">
        <f t="shared" si="25"/>
        <v>0</v>
      </c>
      <c r="X557" t="str">
        <f t="shared" si="26"/>
        <v>MATCH</v>
      </c>
    </row>
    <row r="558" spans="1:24" x14ac:dyDescent="0.3">
      <c r="A558">
        <v>47</v>
      </c>
      <c r="B558" t="s">
        <v>18</v>
      </c>
      <c r="C558">
        <v>13172.17</v>
      </c>
      <c r="D558" t="s">
        <v>1124</v>
      </c>
      <c r="E558">
        <v>13172.17</v>
      </c>
      <c r="F558">
        <v>0</v>
      </c>
      <c r="G558" t="s">
        <v>1125</v>
      </c>
      <c r="H558">
        <v>0</v>
      </c>
      <c r="I558">
        <v>13172.17</v>
      </c>
      <c r="J558">
        <v>1</v>
      </c>
      <c r="K558">
        <v>0</v>
      </c>
      <c r="L558">
        <v>23</v>
      </c>
      <c r="M558">
        <v>0</v>
      </c>
      <c r="N558">
        <v>1</v>
      </c>
      <c r="O558">
        <v>13172.17</v>
      </c>
      <c r="P558">
        <v>2</v>
      </c>
      <c r="Q558">
        <v>4</v>
      </c>
      <c r="R558">
        <v>2.3000000000000003</v>
      </c>
      <c r="S558" t="s">
        <v>2312</v>
      </c>
      <c r="V558">
        <f t="shared" si="24"/>
        <v>0</v>
      </c>
      <c r="W558">
        <f t="shared" si="25"/>
        <v>0</v>
      </c>
      <c r="X558" t="str">
        <f t="shared" si="26"/>
        <v>MATCH</v>
      </c>
    </row>
    <row r="559" spans="1:24" x14ac:dyDescent="0.3">
      <c r="A559">
        <v>47</v>
      </c>
      <c r="B559" t="s">
        <v>15</v>
      </c>
      <c r="C559">
        <v>61487.67</v>
      </c>
      <c r="D559" t="s">
        <v>1126</v>
      </c>
      <c r="E559">
        <v>61487.67</v>
      </c>
      <c r="F559">
        <v>0</v>
      </c>
      <c r="G559" t="s">
        <v>1127</v>
      </c>
      <c r="H559">
        <v>0</v>
      </c>
      <c r="I559">
        <v>0</v>
      </c>
      <c r="J559">
        <v>1</v>
      </c>
      <c r="K559">
        <v>0</v>
      </c>
      <c r="L559">
        <v>23</v>
      </c>
      <c r="M559">
        <v>0</v>
      </c>
      <c r="N559">
        <v>1</v>
      </c>
      <c r="O559">
        <v>61487.67</v>
      </c>
      <c r="P559">
        <v>3</v>
      </c>
      <c r="Q559">
        <v>5</v>
      </c>
      <c r="R559">
        <v>3.1</v>
      </c>
      <c r="S559" t="s">
        <v>2310</v>
      </c>
      <c r="V559">
        <f t="shared" si="24"/>
        <v>0</v>
      </c>
      <c r="W559">
        <f t="shared" si="25"/>
        <v>0</v>
      </c>
      <c r="X559" t="str">
        <f t="shared" si="26"/>
        <v>MATCH</v>
      </c>
    </row>
    <row r="560" spans="1:24" x14ac:dyDescent="0.3">
      <c r="A560">
        <v>47</v>
      </c>
      <c r="B560" t="s">
        <v>18</v>
      </c>
      <c r="C560">
        <v>61487.67</v>
      </c>
      <c r="D560" t="s">
        <v>1128</v>
      </c>
      <c r="E560">
        <v>61487.67</v>
      </c>
      <c r="F560">
        <v>0</v>
      </c>
      <c r="G560" t="s">
        <v>1129</v>
      </c>
      <c r="H560">
        <v>0</v>
      </c>
      <c r="I560">
        <v>61487.67</v>
      </c>
      <c r="J560">
        <v>1</v>
      </c>
      <c r="K560">
        <v>0</v>
      </c>
      <c r="L560">
        <v>23</v>
      </c>
      <c r="M560">
        <v>0</v>
      </c>
      <c r="N560">
        <v>1</v>
      </c>
      <c r="O560">
        <v>61487.67</v>
      </c>
      <c r="P560">
        <v>3</v>
      </c>
      <c r="Q560">
        <v>4</v>
      </c>
      <c r="R560">
        <v>2.8000000000000003</v>
      </c>
      <c r="S560" t="s">
        <v>2312</v>
      </c>
      <c r="V560">
        <f t="shared" si="24"/>
        <v>0</v>
      </c>
      <c r="W560">
        <f t="shared" si="25"/>
        <v>0</v>
      </c>
      <c r="X560" t="str">
        <f t="shared" si="26"/>
        <v>MATCH</v>
      </c>
    </row>
    <row r="561" spans="1:24" x14ac:dyDescent="0.3">
      <c r="A561">
        <v>47</v>
      </c>
      <c r="B561" t="s">
        <v>15</v>
      </c>
      <c r="C561">
        <v>156011.24</v>
      </c>
      <c r="D561" t="s">
        <v>1130</v>
      </c>
      <c r="E561">
        <v>156011.24</v>
      </c>
      <c r="F561">
        <v>0</v>
      </c>
      <c r="G561" t="s">
        <v>1131</v>
      </c>
      <c r="H561">
        <v>0</v>
      </c>
      <c r="I561">
        <v>0</v>
      </c>
      <c r="J561">
        <v>1</v>
      </c>
      <c r="K561">
        <v>0</v>
      </c>
      <c r="L561">
        <v>23</v>
      </c>
      <c r="M561">
        <v>0</v>
      </c>
      <c r="N561">
        <v>1</v>
      </c>
      <c r="O561">
        <v>156011.24</v>
      </c>
      <c r="P561">
        <v>4</v>
      </c>
      <c r="Q561">
        <v>5</v>
      </c>
      <c r="R561">
        <v>3.6</v>
      </c>
      <c r="S561" t="s">
        <v>2310</v>
      </c>
      <c r="V561">
        <f t="shared" si="24"/>
        <v>0</v>
      </c>
      <c r="W561">
        <f t="shared" si="25"/>
        <v>0</v>
      </c>
      <c r="X561" t="str">
        <f t="shared" si="26"/>
        <v>MATCH</v>
      </c>
    </row>
    <row r="562" spans="1:24" x14ac:dyDescent="0.3">
      <c r="A562">
        <v>47</v>
      </c>
      <c r="B562" t="s">
        <v>18</v>
      </c>
      <c r="C562">
        <v>156011.24</v>
      </c>
      <c r="D562" t="s">
        <v>1132</v>
      </c>
      <c r="E562">
        <v>156011.24</v>
      </c>
      <c r="F562">
        <v>0</v>
      </c>
      <c r="G562" t="s">
        <v>1133</v>
      </c>
      <c r="H562">
        <v>152239.96</v>
      </c>
      <c r="I562">
        <v>308251.2</v>
      </c>
      <c r="J562">
        <v>1</v>
      </c>
      <c r="K562">
        <v>0</v>
      </c>
      <c r="L562">
        <v>23</v>
      </c>
      <c r="M562">
        <v>0</v>
      </c>
      <c r="N562">
        <v>1</v>
      </c>
      <c r="O562">
        <v>156011.24</v>
      </c>
      <c r="P562">
        <v>4</v>
      </c>
      <c r="Q562">
        <v>4</v>
      </c>
      <c r="R562">
        <v>3.3000000000000003</v>
      </c>
      <c r="S562" t="s">
        <v>2310</v>
      </c>
      <c r="V562">
        <f t="shared" si="24"/>
        <v>0</v>
      </c>
      <c r="W562">
        <f t="shared" si="25"/>
        <v>0</v>
      </c>
      <c r="X562" t="str">
        <f t="shared" si="26"/>
        <v>MATCH</v>
      </c>
    </row>
    <row r="563" spans="1:24" x14ac:dyDescent="0.3">
      <c r="A563">
        <v>47</v>
      </c>
      <c r="B563" t="s">
        <v>15</v>
      </c>
      <c r="C563">
        <v>36532.839999999997</v>
      </c>
      <c r="D563" t="s">
        <v>1134</v>
      </c>
      <c r="E563">
        <v>36532.839999999997</v>
      </c>
      <c r="F563">
        <v>0</v>
      </c>
      <c r="G563" t="s">
        <v>1135</v>
      </c>
      <c r="H563">
        <v>0</v>
      </c>
      <c r="I563">
        <v>0</v>
      </c>
      <c r="J563">
        <v>1</v>
      </c>
      <c r="K563">
        <v>0</v>
      </c>
      <c r="L563">
        <v>23</v>
      </c>
      <c r="M563">
        <v>0</v>
      </c>
      <c r="N563">
        <v>1</v>
      </c>
      <c r="O563">
        <v>36532.839999999997</v>
      </c>
      <c r="P563">
        <v>2</v>
      </c>
      <c r="Q563">
        <v>5</v>
      </c>
      <c r="R563">
        <v>2.6</v>
      </c>
      <c r="S563" t="s">
        <v>2312</v>
      </c>
      <c r="V563">
        <f t="shared" si="24"/>
        <v>0</v>
      </c>
      <c r="W563">
        <f t="shared" si="25"/>
        <v>0</v>
      </c>
      <c r="X563" t="str">
        <f t="shared" si="26"/>
        <v>MATCH</v>
      </c>
    </row>
    <row r="564" spans="1:24" x14ac:dyDescent="0.3">
      <c r="A564">
        <v>47</v>
      </c>
      <c r="B564" t="s">
        <v>18</v>
      </c>
      <c r="C564">
        <v>36532.839999999997</v>
      </c>
      <c r="D564" t="s">
        <v>1136</v>
      </c>
      <c r="E564">
        <v>36532.839999999997</v>
      </c>
      <c r="F564">
        <v>0</v>
      </c>
      <c r="G564" t="s">
        <v>1137</v>
      </c>
      <c r="H564">
        <v>0</v>
      </c>
      <c r="I564">
        <v>36532.839999999997</v>
      </c>
      <c r="J564">
        <v>1</v>
      </c>
      <c r="K564">
        <v>0</v>
      </c>
      <c r="L564">
        <v>23</v>
      </c>
      <c r="M564">
        <v>0</v>
      </c>
      <c r="N564">
        <v>1</v>
      </c>
      <c r="O564">
        <v>36532.839999999997</v>
      </c>
      <c r="P564">
        <v>2</v>
      </c>
      <c r="Q564">
        <v>4</v>
      </c>
      <c r="R564">
        <v>2.3000000000000003</v>
      </c>
      <c r="S564" t="s">
        <v>2312</v>
      </c>
      <c r="V564">
        <f t="shared" si="24"/>
        <v>0</v>
      </c>
      <c r="W564">
        <f t="shared" si="25"/>
        <v>0</v>
      </c>
      <c r="X564" t="str">
        <f t="shared" si="26"/>
        <v>MATCH</v>
      </c>
    </row>
    <row r="565" spans="1:24" x14ac:dyDescent="0.3">
      <c r="A565">
        <v>47</v>
      </c>
      <c r="B565" t="s">
        <v>15</v>
      </c>
      <c r="C565">
        <v>827921.27</v>
      </c>
      <c r="D565" t="s">
        <v>1138</v>
      </c>
      <c r="E565">
        <v>827921.27</v>
      </c>
      <c r="F565">
        <v>0</v>
      </c>
      <c r="G565" t="s">
        <v>1139</v>
      </c>
      <c r="H565">
        <v>0</v>
      </c>
      <c r="I565">
        <v>0</v>
      </c>
      <c r="J565">
        <v>1</v>
      </c>
      <c r="K565">
        <v>0</v>
      </c>
      <c r="L565">
        <v>23</v>
      </c>
      <c r="M565">
        <v>0</v>
      </c>
      <c r="N565">
        <v>1</v>
      </c>
      <c r="O565">
        <v>827921.27</v>
      </c>
      <c r="P565">
        <v>5</v>
      </c>
      <c r="Q565">
        <v>5</v>
      </c>
      <c r="R565">
        <v>4.0999999999999996</v>
      </c>
      <c r="S565" t="s">
        <v>2310</v>
      </c>
      <c r="V565">
        <f t="shared" si="24"/>
        <v>0</v>
      </c>
      <c r="W565">
        <f t="shared" si="25"/>
        <v>0</v>
      </c>
      <c r="X565" t="str">
        <f t="shared" si="26"/>
        <v>MATCH</v>
      </c>
    </row>
    <row r="566" spans="1:24" x14ac:dyDescent="0.3">
      <c r="A566">
        <v>47</v>
      </c>
      <c r="B566" t="s">
        <v>18</v>
      </c>
      <c r="C566">
        <v>827921.27</v>
      </c>
      <c r="D566" t="s">
        <v>1140</v>
      </c>
      <c r="E566">
        <v>827921.27</v>
      </c>
      <c r="F566">
        <v>0</v>
      </c>
      <c r="G566" t="s">
        <v>1141</v>
      </c>
      <c r="H566">
        <v>1025081.63</v>
      </c>
      <c r="I566">
        <v>1853002.91</v>
      </c>
      <c r="J566">
        <v>1</v>
      </c>
      <c r="K566">
        <v>0</v>
      </c>
      <c r="L566">
        <v>23</v>
      </c>
      <c r="M566">
        <v>0</v>
      </c>
      <c r="N566">
        <v>1</v>
      </c>
      <c r="O566">
        <v>827921.27</v>
      </c>
      <c r="P566">
        <v>5</v>
      </c>
      <c r="Q566">
        <v>4</v>
      </c>
      <c r="R566">
        <v>3.8000000000000003</v>
      </c>
      <c r="S566" t="s">
        <v>2310</v>
      </c>
      <c r="V566">
        <f t="shared" si="24"/>
        <v>0</v>
      </c>
      <c r="W566">
        <f t="shared" si="25"/>
        <v>0</v>
      </c>
      <c r="X566" t="str">
        <f t="shared" si="26"/>
        <v>MATCH</v>
      </c>
    </row>
    <row r="567" spans="1:24" x14ac:dyDescent="0.3">
      <c r="A567">
        <v>47</v>
      </c>
      <c r="B567" t="s">
        <v>15</v>
      </c>
      <c r="C567">
        <v>667043.9</v>
      </c>
      <c r="D567" t="s">
        <v>1142</v>
      </c>
      <c r="E567">
        <v>667043.9</v>
      </c>
      <c r="F567">
        <v>0</v>
      </c>
      <c r="G567" t="s">
        <v>1143</v>
      </c>
      <c r="H567">
        <v>0</v>
      </c>
      <c r="I567">
        <v>0</v>
      </c>
      <c r="J567">
        <v>1</v>
      </c>
      <c r="K567">
        <v>0</v>
      </c>
      <c r="L567">
        <v>23</v>
      </c>
      <c r="M567">
        <v>0</v>
      </c>
      <c r="N567">
        <v>1</v>
      </c>
      <c r="O567">
        <v>667043.9</v>
      </c>
      <c r="P567">
        <v>5</v>
      </c>
      <c r="Q567">
        <v>5</v>
      </c>
      <c r="R567">
        <v>4.0999999999999996</v>
      </c>
      <c r="S567" t="s">
        <v>2310</v>
      </c>
      <c r="V567">
        <f t="shared" si="24"/>
        <v>0</v>
      </c>
      <c r="W567">
        <f t="shared" si="25"/>
        <v>0</v>
      </c>
      <c r="X567" t="str">
        <f t="shared" si="26"/>
        <v>MATCH</v>
      </c>
    </row>
    <row r="568" spans="1:24" x14ac:dyDescent="0.3">
      <c r="A568">
        <v>47</v>
      </c>
      <c r="B568" t="s">
        <v>18</v>
      </c>
      <c r="C568">
        <v>667043.9</v>
      </c>
      <c r="D568" t="s">
        <v>1144</v>
      </c>
      <c r="E568">
        <v>667043.9</v>
      </c>
      <c r="F568">
        <v>0</v>
      </c>
      <c r="G568" t="s">
        <v>1145</v>
      </c>
      <c r="H568">
        <v>104132.27</v>
      </c>
      <c r="I568">
        <v>771176.17</v>
      </c>
      <c r="J568">
        <v>1</v>
      </c>
      <c r="K568">
        <v>0</v>
      </c>
      <c r="L568">
        <v>23</v>
      </c>
      <c r="M568">
        <v>0</v>
      </c>
      <c r="N568">
        <v>1</v>
      </c>
      <c r="O568">
        <v>667043.9</v>
      </c>
      <c r="P568">
        <v>5</v>
      </c>
      <c r="Q568">
        <v>4</v>
      </c>
      <c r="R568">
        <v>3.8000000000000003</v>
      </c>
      <c r="S568" t="s">
        <v>2310</v>
      </c>
      <c r="V568">
        <f t="shared" si="24"/>
        <v>0</v>
      </c>
      <c r="W568">
        <f t="shared" si="25"/>
        <v>0</v>
      </c>
      <c r="X568" t="str">
        <f t="shared" si="26"/>
        <v>MATCH</v>
      </c>
    </row>
    <row r="569" spans="1:24" x14ac:dyDescent="0.3">
      <c r="A569">
        <v>47</v>
      </c>
      <c r="B569" t="s">
        <v>15</v>
      </c>
      <c r="C569">
        <v>202978.65</v>
      </c>
      <c r="D569" t="s">
        <v>1146</v>
      </c>
      <c r="E569">
        <v>0</v>
      </c>
      <c r="F569">
        <v>0</v>
      </c>
      <c r="G569" t="s">
        <v>1147</v>
      </c>
      <c r="H569">
        <v>2122336.5499999998</v>
      </c>
      <c r="I569">
        <v>2325315.19</v>
      </c>
      <c r="J569">
        <v>1</v>
      </c>
      <c r="K569">
        <v>0</v>
      </c>
      <c r="L569">
        <v>23</v>
      </c>
      <c r="M569">
        <v>0</v>
      </c>
      <c r="N569">
        <v>0</v>
      </c>
      <c r="O569">
        <v>0</v>
      </c>
      <c r="P569">
        <v>5</v>
      </c>
      <c r="Q569">
        <v>5</v>
      </c>
      <c r="R569">
        <v>4</v>
      </c>
      <c r="S569" t="s">
        <v>2310</v>
      </c>
      <c r="V569">
        <f t="shared" si="24"/>
        <v>-202978.65</v>
      </c>
      <c r="W569">
        <f t="shared" si="25"/>
        <v>202978.65</v>
      </c>
      <c r="X569" t="str">
        <f t="shared" si="26"/>
        <v>BREAK</v>
      </c>
    </row>
    <row r="570" spans="1:24" x14ac:dyDescent="0.3">
      <c r="A570">
        <v>47</v>
      </c>
      <c r="B570" t="s">
        <v>15</v>
      </c>
      <c r="C570">
        <v>1388951.5</v>
      </c>
      <c r="D570" t="s">
        <v>1148</v>
      </c>
      <c r="E570">
        <v>1388951.5</v>
      </c>
      <c r="F570">
        <v>0</v>
      </c>
      <c r="G570" t="s">
        <v>1149</v>
      </c>
      <c r="H570">
        <v>0</v>
      </c>
      <c r="I570">
        <v>0</v>
      </c>
      <c r="J570">
        <v>1</v>
      </c>
      <c r="K570">
        <v>0</v>
      </c>
      <c r="L570">
        <v>23</v>
      </c>
      <c r="M570">
        <v>0</v>
      </c>
      <c r="N570">
        <v>1</v>
      </c>
      <c r="O570">
        <v>1388951.5</v>
      </c>
      <c r="P570">
        <v>5</v>
      </c>
      <c r="Q570">
        <v>5</v>
      </c>
      <c r="R570">
        <v>4.0999999999999996</v>
      </c>
      <c r="S570" t="s">
        <v>2310</v>
      </c>
      <c r="V570">
        <f t="shared" si="24"/>
        <v>0</v>
      </c>
      <c r="W570">
        <f t="shared" si="25"/>
        <v>0</v>
      </c>
      <c r="X570" t="str">
        <f t="shared" si="26"/>
        <v>MATCH</v>
      </c>
    </row>
    <row r="571" spans="1:24" x14ac:dyDescent="0.3">
      <c r="A571">
        <v>47</v>
      </c>
      <c r="B571" t="s">
        <v>18</v>
      </c>
      <c r="C571">
        <v>1388951.5</v>
      </c>
      <c r="D571" t="s">
        <v>1150</v>
      </c>
      <c r="E571">
        <v>1388951.5</v>
      </c>
      <c r="F571">
        <v>0</v>
      </c>
      <c r="G571" t="s">
        <v>1151</v>
      </c>
      <c r="H571">
        <v>459273.45</v>
      </c>
      <c r="I571">
        <v>1848224.95</v>
      </c>
      <c r="J571">
        <v>1</v>
      </c>
      <c r="K571">
        <v>0</v>
      </c>
      <c r="L571">
        <v>23</v>
      </c>
      <c r="M571">
        <v>0</v>
      </c>
      <c r="N571">
        <v>1</v>
      </c>
      <c r="O571">
        <v>1388951.5</v>
      </c>
      <c r="P571">
        <v>5</v>
      </c>
      <c r="Q571">
        <v>4</v>
      </c>
      <c r="R571">
        <v>3.8000000000000003</v>
      </c>
      <c r="S571" t="s">
        <v>2310</v>
      </c>
      <c r="V571">
        <f t="shared" si="24"/>
        <v>0</v>
      </c>
      <c r="W571">
        <f t="shared" si="25"/>
        <v>0</v>
      </c>
      <c r="X571" t="str">
        <f t="shared" si="26"/>
        <v>MATCH</v>
      </c>
    </row>
    <row r="572" spans="1:24" x14ac:dyDescent="0.3">
      <c r="A572">
        <v>48</v>
      </c>
      <c r="B572" t="s">
        <v>15</v>
      </c>
      <c r="C572">
        <v>1215297.01</v>
      </c>
      <c r="D572" t="s">
        <v>1152</v>
      </c>
      <c r="E572">
        <v>1215297.01</v>
      </c>
      <c r="F572">
        <v>0</v>
      </c>
      <c r="G572" t="s">
        <v>1153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1</v>
      </c>
      <c r="O572">
        <v>1215297.01</v>
      </c>
      <c r="P572">
        <v>5</v>
      </c>
      <c r="Q572">
        <v>5</v>
      </c>
      <c r="R572">
        <v>4.0999999999999996</v>
      </c>
      <c r="S572" t="s">
        <v>2310</v>
      </c>
      <c r="V572">
        <f t="shared" si="24"/>
        <v>0</v>
      </c>
      <c r="W572">
        <f t="shared" si="25"/>
        <v>0</v>
      </c>
      <c r="X572" t="str">
        <f t="shared" si="26"/>
        <v>MATCH</v>
      </c>
    </row>
    <row r="573" spans="1:24" x14ac:dyDescent="0.3">
      <c r="A573">
        <v>48</v>
      </c>
      <c r="B573" t="s">
        <v>18</v>
      </c>
      <c r="C573">
        <v>1215297.01</v>
      </c>
      <c r="D573" t="s">
        <v>1154</v>
      </c>
      <c r="E573">
        <v>1215297.01</v>
      </c>
      <c r="F573">
        <v>0</v>
      </c>
      <c r="G573" t="s">
        <v>1155</v>
      </c>
      <c r="H573">
        <v>2497294.92</v>
      </c>
      <c r="I573">
        <v>3712591.93</v>
      </c>
      <c r="J573">
        <v>1</v>
      </c>
      <c r="K573">
        <v>0</v>
      </c>
      <c r="L573">
        <v>0</v>
      </c>
      <c r="M573">
        <v>0</v>
      </c>
      <c r="N573">
        <v>1</v>
      </c>
      <c r="O573">
        <v>1215297.01</v>
      </c>
      <c r="P573">
        <v>5</v>
      </c>
      <c r="Q573">
        <v>4</v>
      </c>
      <c r="R573">
        <v>3.8000000000000003</v>
      </c>
      <c r="S573" t="s">
        <v>2310</v>
      </c>
      <c r="V573">
        <f t="shared" si="24"/>
        <v>0</v>
      </c>
      <c r="W573">
        <f t="shared" si="25"/>
        <v>0</v>
      </c>
      <c r="X573" t="str">
        <f t="shared" si="26"/>
        <v>MATCH</v>
      </c>
    </row>
    <row r="574" spans="1:24" x14ac:dyDescent="0.3">
      <c r="A574">
        <v>48</v>
      </c>
      <c r="B574" t="s">
        <v>15</v>
      </c>
      <c r="C574">
        <v>337974.21</v>
      </c>
      <c r="D574" t="s">
        <v>1156</v>
      </c>
      <c r="E574">
        <v>337974.21</v>
      </c>
      <c r="F574">
        <v>0</v>
      </c>
      <c r="G574" t="s">
        <v>1157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1</v>
      </c>
      <c r="O574">
        <v>337974.21</v>
      </c>
      <c r="P574">
        <v>5</v>
      </c>
      <c r="Q574">
        <v>5</v>
      </c>
      <c r="R574">
        <v>4.0999999999999996</v>
      </c>
      <c r="S574" t="s">
        <v>2310</v>
      </c>
      <c r="V574">
        <f t="shared" si="24"/>
        <v>0</v>
      </c>
      <c r="W574">
        <f t="shared" si="25"/>
        <v>0</v>
      </c>
      <c r="X574" t="str">
        <f t="shared" si="26"/>
        <v>MATCH</v>
      </c>
    </row>
    <row r="575" spans="1:24" x14ac:dyDescent="0.3">
      <c r="A575">
        <v>48</v>
      </c>
      <c r="B575" t="s">
        <v>18</v>
      </c>
      <c r="C575">
        <v>337974.21</v>
      </c>
      <c r="D575" t="s">
        <v>1158</v>
      </c>
      <c r="E575">
        <v>337974.21</v>
      </c>
      <c r="F575">
        <v>0</v>
      </c>
      <c r="G575" t="s">
        <v>1159</v>
      </c>
      <c r="H575">
        <v>0</v>
      </c>
      <c r="I575">
        <v>337974.21</v>
      </c>
      <c r="J575">
        <v>1</v>
      </c>
      <c r="K575">
        <v>0</v>
      </c>
      <c r="L575">
        <v>0</v>
      </c>
      <c r="M575">
        <v>0</v>
      </c>
      <c r="N575">
        <v>1</v>
      </c>
      <c r="O575">
        <v>337974.21</v>
      </c>
      <c r="P575">
        <v>5</v>
      </c>
      <c r="Q575">
        <v>4</v>
      </c>
      <c r="R575">
        <v>3.8000000000000003</v>
      </c>
      <c r="S575" t="s">
        <v>2310</v>
      </c>
      <c r="V575">
        <f t="shared" si="24"/>
        <v>0</v>
      </c>
      <c r="W575">
        <f t="shared" si="25"/>
        <v>0</v>
      </c>
      <c r="X575" t="str">
        <f t="shared" si="26"/>
        <v>MATCH</v>
      </c>
    </row>
    <row r="576" spans="1:24" x14ac:dyDescent="0.3">
      <c r="A576">
        <v>48</v>
      </c>
      <c r="B576" t="s">
        <v>15</v>
      </c>
      <c r="C576">
        <v>147267.01</v>
      </c>
      <c r="D576" t="s">
        <v>1160</v>
      </c>
      <c r="E576">
        <v>147267.01</v>
      </c>
      <c r="F576">
        <v>0</v>
      </c>
      <c r="G576" t="s">
        <v>1161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1</v>
      </c>
      <c r="O576">
        <v>147267.01</v>
      </c>
      <c r="P576">
        <v>4</v>
      </c>
      <c r="Q576">
        <v>5</v>
      </c>
      <c r="R576">
        <v>3.6</v>
      </c>
      <c r="S576" t="s">
        <v>2310</v>
      </c>
      <c r="V576">
        <f t="shared" si="24"/>
        <v>0</v>
      </c>
      <c r="W576">
        <f t="shared" si="25"/>
        <v>0</v>
      </c>
      <c r="X576" t="str">
        <f t="shared" si="26"/>
        <v>MATCH</v>
      </c>
    </row>
    <row r="577" spans="1:24" x14ac:dyDescent="0.3">
      <c r="A577">
        <v>48</v>
      </c>
      <c r="B577" t="s">
        <v>18</v>
      </c>
      <c r="C577">
        <v>147267.01</v>
      </c>
      <c r="D577" t="s">
        <v>1162</v>
      </c>
      <c r="E577">
        <v>147267.01</v>
      </c>
      <c r="F577">
        <v>0</v>
      </c>
      <c r="G577" t="s">
        <v>1163</v>
      </c>
      <c r="H577">
        <v>107418</v>
      </c>
      <c r="I577">
        <v>64210.559999999998</v>
      </c>
      <c r="J577">
        <v>1</v>
      </c>
      <c r="K577">
        <v>0</v>
      </c>
      <c r="L577">
        <v>0</v>
      </c>
      <c r="M577">
        <v>0</v>
      </c>
      <c r="N577">
        <v>1</v>
      </c>
      <c r="O577">
        <v>147267.01</v>
      </c>
      <c r="P577">
        <v>4</v>
      </c>
      <c r="Q577">
        <v>4</v>
      </c>
      <c r="R577">
        <v>3.3000000000000003</v>
      </c>
      <c r="S577" t="s">
        <v>2310</v>
      </c>
      <c r="V577">
        <f t="shared" si="24"/>
        <v>0</v>
      </c>
      <c r="W577">
        <f t="shared" si="25"/>
        <v>0</v>
      </c>
      <c r="X577" t="str">
        <f t="shared" si="26"/>
        <v>MATCH</v>
      </c>
    </row>
    <row r="578" spans="1:24" x14ac:dyDescent="0.3">
      <c r="A578">
        <v>48</v>
      </c>
      <c r="B578" t="s">
        <v>15</v>
      </c>
      <c r="C578">
        <v>561374.78</v>
      </c>
      <c r="D578" t="s">
        <v>1164</v>
      </c>
      <c r="E578">
        <v>561374.78</v>
      </c>
      <c r="F578">
        <v>0</v>
      </c>
      <c r="G578" t="s">
        <v>1165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1</v>
      </c>
      <c r="O578">
        <v>561374.78</v>
      </c>
      <c r="P578">
        <v>5</v>
      </c>
      <c r="Q578">
        <v>5</v>
      </c>
      <c r="R578">
        <v>4.0999999999999996</v>
      </c>
      <c r="S578" t="s">
        <v>2310</v>
      </c>
      <c r="V578">
        <f t="shared" si="24"/>
        <v>0</v>
      </c>
      <c r="W578">
        <f t="shared" si="25"/>
        <v>0</v>
      </c>
      <c r="X578" t="str">
        <f t="shared" si="26"/>
        <v>MATCH</v>
      </c>
    </row>
    <row r="579" spans="1:24" x14ac:dyDescent="0.3">
      <c r="A579">
        <v>48</v>
      </c>
      <c r="B579" t="s">
        <v>18</v>
      </c>
      <c r="C579">
        <v>561374.78</v>
      </c>
      <c r="D579" t="s">
        <v>1166</v>
      </c>
      <c r="E579">
        <v>561374.78</v>
      </c>
      <c r="F579">
        <v>0</v>
      </c>
      <c r="G579" t="s">
        <v>1167</v>
      </c>
      <c r="H579">
        <v>5726683.5300000003</v>
      </c>
      <c r="I579">
        <v>6288058.3099999996</v>
      </c>
      <c r="J579">
        <v>1</v>
      </c>
      <c r="K579">
        <v>0</v>
      </c>
      <c r="L579">
        <v>0</v>
      </c>
      <c r="M579">
        <v>0</v>
      </c>
      <c r="N579">
        <v>1</v>
      </c>
      <c r="O579">
        <v>561374.78</v>
      </c>
      <c r="P579">
        <v>5</v>
      </c>
      <c r="Q579">
        <v>4</v>
      </c>
      <c r="R579">
        <v>3.8000000000000003</v>
      </c>
      <c r="S579" t="s">
        <v>2310</v>
      </c>
      <c r="V579">
        <f t="shared" ref="V579:V642" si="27">E579-C579</f>
        <v>0</v>
      </c>
      <c r="W579">
        <f t="shared" ref="W579:W642" si="28">ABS(F579-V579)</f>
        <v>0</v>
      </c>
      <c r="X579" t="str">
        <f t="shared" ref="X579:X642" si="29">IF(W579&lt;1,"MATCH","BREAK")</f>
        <v>MATCH</v>
      </c>
    </row>
    <row r="580" spans="1:24" x14ac:dyDescent="0.3">
      <c r="A580">
        <v>48</v>
      </c>
      <c r="B580" t="s">
        <v>15</v>
      </c>
      <c r="C580">
        <v>5489302.04</v>
      </c>
      <c r="D580" t="s">
        <v>1168</v>
      </c>
      <c r="E580">
        <v>5489302.04</v>
      </c>
      <c r="F580">
        <v>0</v>
      </c>
      <c r="G580" t="s">
        <v>1169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1</v>
      </c>
      <c r="O580">
        <v>5489302.04</v>
      </c>
      <c r="P580">
        <v>5</v>
      </c>
      <c r="Q580">
        <v>5</v>
      </c>
      <c r="R580">
        <v>4.0999999999999996</v>
      </c>
      <c r="S580" t="s">
        <v>2310</v>
      </c>
      <c r="V580">
        <f t="shared" si="27"/>
        <v>0</v>
      </c>
      <c r="W580">
        <f t="shared" si="28"/>
        <v>0</v>
      </c>
      <c r="X580" t="str">
        <f t="shared" si="29"/>
        <v>MATCH</v>
      </c>
    </row>
    <row r="581" spans="1:24" x14ac:dyDescent="0.3">
      <c r="A581">
        <v>48</v>
      </c>
      <c r="B581" t="s">
        <v>18</v>
      </c>
      <c r="C581">
        <v>5489302.04</v>
      </c>
      <c r="D581" t="s">
        <v>1170</v>
      </c>
      <c r="E581">
        <v>5489302.04</v>
      </c>
      <c r="F581">
        <v>0</v>
      </c>
      <c r="G581" t="s">
        <v>1171</v>
      </c>
      <c r="H581">
        <v>1356390.81</v>
      </c>
      <c r="I581">
        <v>6845692.8499999996</v>
      </c>
      <c r="J581">
        <v>1</v>
      </c>
      <c r="K581">
        <v>0</v>
      </c>
      <c r="L581">
        <v>0</v>
      </c>
      <c r="M581">
        <v>0</v>
      </c>
      <c r="N581">
        <v>1</v>
      </c>
      <c r="O581">
        <v>5489302.04</v>
      </c>
      <c r="P581">
        <v>5</v>
      </c>
      <c r="Q581">
        <v>4</v>
      </c>
      <c r="R581">
        <v>3.8000000000000003</v>
      </c>
      <c r="S581" t="s">
        <v>2310</v>
      </c>
      <c r="V581">
        <f t="shared" si="27"/>
        <v>0</v>
      </c>
      <c r="W581">
        <f t="shared" si="28"/>
        <v>0</v>
      </c>
      <c r="X581" t="str">
        <f t="shared" si="29"/>
        <v>MATCH</v>
      </c>
    </row>
    <row r="582" spans="1:24" x14ac:dyDescent="0.3">
      <c r="A582">
        <v>49</v>
      </c>
      <c r="B582" t="s">
        <v>15</v>
      </c>
      <c r="C582">
        <v>1021129.67</v>
      </c>
      <c r="D582" t="s">
        <v>1172</v>
      </c>
      <c r="E582">
        <v>1021129.67</v>
      </c>
      <c r="F582">
        <v>0</v>
      </c>
      <c r="G582" t="s">
        <v>1173</v>
      </c>
      <c r="H582">
        <v>0</v>
      </c>
      <c r="I582">
        <v>0</v>
      </c>
      <c r="J582">
        <v>1</v>
      </c>
      <c r="K582">
        <v>0</v>
      </c>
      <c r="L582">
        <v>1</v>
      </c>
      <c r="M582">
        <v>0</v>
      </c>
      <c r="N582">
        <v>1</v>
      </c>
      <c r="O582">
        <v>1021129.67</v>
      </c>
      <c r="P582">
        <v>5</v>
      </c>
      <c r="Q582">
        <v>5</v>
      </c>
      <c r="R582">
        <v>4.0999999999999996</v>
      </c>
      <c r="S582" t="s">
        <v>2310</v>
      </c>
      <c r="V582">
        <f t="shared" si="27"/>
        <v>0</v>
      </c>
      <c r="W582">
        <f t="shared" si="28"/>
        <v>0</v>
      </c>
      <c r="X582" t="str">
        <f t="shared" si="29"/>
        <v>MATCH</v>
      </c>
    </row>
    <row r="583" spans="1:24" x14ac:dyDescent="0.3">
      <c r="A583">
        <v>49</v>
      </c>
      <c r="B583" t="s">
        <v>18</v>
      </c>
      <c r="C583">
        <v>1021129.67</v>
      </c>
      <c r="D583" t="s">
        <v>1174</v>
      </c>
      <c r="E583">
        <v>1021129.67</v>
      </c>
      <c r="F583">
        <v>0</v>
      </c>
      <c r="G583" t="s">
        <v>1175</v>
      </c>
      <c r="H583">
        <v>86245.92</v>
      </c>
      <c r="I583">
        <v>1107375.5900000001</v>
      </c>
      <c r="J583">
        <v>1</v>
      </c>
      <c r="K583">
        <v>0</v>
      </c>
      <c r="L583">
        <v>1</v>
      </c>
      <c r="M583">
        <v>0</v>
      </c>
      <c r="N583">
        <v>1</v>
      </c>
      <c r="O583">
        <v>1021129.67</v>
      </c>
      <c r="P583">
        <v>5</v>
      </c>
      <c r="Q583">
        <v>4</v>
      </c>
      <c r="R583">
        <v>3.8000000000000003</v>
      </c>
      <c r="S583" t="s">
        <v>2310</v>
      </c>
      <c r="V583">
        <f t="shared" si="27"/>
        <v>0</v>
      </c>
      <c r="W583">
        <f t="shared" si="28"/>
        <v>0</v>
      </c>
      <c r="X583" t="str">
        <f t="shared" si="29"/>
        <v>MATCH</v>
      </c>
    </row>
    <row r="584" spans="1:24" x14ac:dyDescent="0.3">
      <c r="A584">
        <v>49</v>
      </c>
      <c r="B584" t="s">
        <v>15</v>
      </c>
      <c r="C584">
        <v>114017.19</v>
      </c>
      <c r="D584" t="s">
        <v>1176</v>
      </c>
      <c r="E584">
        <v>114017.19</v>
      </c>
      <c r="F584">
        <v>0</v>
      </c>
      <c r="G584" t="s">
        <v>1177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114017.19</v>
      </c>
      <c r="P584">
        <v>4</v>
      </c>
      <c r="Q584">
        <v>5</v>
      </c>
      <c r="R584">
        <v>3.6</v>
      </c>
      <c r="S584" t="s">
        <v>2310</v>
      </c>
      <c r="V584">
        <f t="shared" si="27"/>
        <v>0</v>
      </c>
      <c r="W584">
        <f t="shared" si="28"/>
        <v>0</v>
      </c>
      <c r="X584" t="str">
        <f t="shared" si="29"/>
        <v>MATCH</v>
      </c>
    </row>
    <row r="585" spans="1:24" x14ac:dyDescent="0.3">
      <c r="A585">
        <v>49</v>
      </c>
      <c r="B585" t="s">
        <v>18</v>
      </c>
      <c r="C585">
        <v>114017.19</v>
      </c>
      <c r="D585" t="s">
        <v>1178</v>
      </c>
      <c r="E585">
        <v>114017.19</v>
      </c>
      <c r="F585">
        <v>0</v>
      </c>
      <c r="G585" t="s">
        <v>1179</v>
      </c>
      <c r="H585">
        <v>2822872.88</v>
      </c>
      <c r="I585">
        <v>2936890.07</v>
      </c>
      <c r="J585">
        <v>1</v>
      </c>
      <c r="K585">
        <v>0</v>
      </c>
      <c r="L585">
        <v>1</v>
      </c>
      <c r="M585">
        <v>0</v>
      </c>
      <c r="N585">
        <v>1</v>
      </c>
      <c r="O585">
        <v>114017.19</v>
      </c>
      <c r="P585">
        <v>4</v>
      </c>
      <c r="Q585">
        <v>4</v>
      </c>
      <c r="R585">
        <v>3.3000000000000003</v>
      </c>
      <c r="S585" t="s">
        <v>2310</v>
      </c>
      <c r="V585">
        <f t="shared" si="27"/>
        <v>0</v>
      </c>
      <c r="W585">
        <f t="shared" si="28"/>
        <v>0</v>
      </c>
      <c r="X585" t="str">
        <f t="shared" si="29"/>
        <v>MATCH</v>
      </c>
    </row>
    <row r="586" spans="1:24" x14ac:dyDescent="0.3">
      <c r="A586">
        <v>50</v>
      </c>
      <c r="B586" t="s">
        <v>15</v>
      </c>
      <c r="C586">
        <v>112668.54</v>
      </c>
      <c r="D586" t="s">
        <v>1180</v>
      </c>
      <c r="E586">
        <v>112668.54</v>
      </c>
      <c r="F586">
        <v>0</v>
      </c>
      <c r="G586" t="s">
        <v>1181</v>
      </c>
      <c r="H586">
        <v>0</v>
      </c>
      <c r="I586">
        <v>0</v>
      </c>
      <c r="J586">
        <v>1</v>
      </c>
      <c r="K586">
        <v>0</v>
      </c>
      <c r="L586">
        <v>2</v>
      </c>
      <c r="M586">
        <v>0</v>
      </c>
      <c r="N586">
        <v>1</v>
      </c>
      <c r="O586">
        <v>112668.54</v>
      </c>
      <c r="P586">
        <v>4</v>
      </c>
      <c r="Q586">
        <v>5</v>
      </c>
      <c r="R586">
        <v>3.6</v>
      </c>
      <c r="S586" t="s">
        <v>2310</v>
      </c>
      <c r="V586">
        <f t="shared" si="27"/>
        <v>0</v>
      </c>
      <c r="W586">
        <f t="shared" si="28"/>
        <v>0</v>
      </c>
      <c r="X586" t="str">
        <f t="shared" si="29"/>
        <v>MATCH</v>
      </c>
    </row>
    <row r="587" spans="1:24" x14ac:dyDescent="0.3">
      <c r="A587">
        <v>50</v>
      </c>
      <c r="B587" t="s">
        <v>18</v>
      </c>
      <c r="C587">
        <v>112668.54</v>
      </c>
      <c r="D587" t="s">
        <v>1182</v>
      </c>
      <c r="E587">
        <v>112668.54</v>
      </c>
      <c r="F587">
        <v>0</v>
      </c>
      <c r="G587" t="s">
        <v>1183</v>
      </c>
      <c r="H587">
        <v>0</v>
      </c>
      <c r="I587">
        <v>112668.54</v>
      </c>
      <c r="J587">
        <v>1</v>
      </c>
      <c r="K587">
        <v>0</v>
      </c>
      <c r="L587">
        <v>2</v>
      </c>
      <c r="M587">
        <v>0</v>
      </c>
      <c r="N587">
        <v>1</v>
      </c>
      <c r="O587">
        <v>112668.54</v>
      </c>
      <c r="P587">
        <v>4</v>
      </c>
      <c r="Q587">
        <v>4</v>
      </c>
      <c r="R587">
        <v>3.3000000000000003</v>
      </c>
      <c r="S587" t="s">
        <v>2310</v>
      </c>
      <c r="V587">
        <f t="shared" si="27"/>
        <v>0</v>
      </c>
      <c r="W587">
        <f t="shared" si="28"/>
        <v>0</v>
      </c>
      <c r="X587" t="str">
        <f t="shared" si="29"/>
        <v>MATCH</v>
      </c>
    </row>
    <row r="588" spans="1:24" x14ac:dyDescent="0.3">
      <c r="A588">
        <v>50</v>
      </c>
      <c r="B588" t="s">
        <v>15</v>
      </c>
      <c r="C588">
        <v>967153.5</v>
      </c>
      <c r="D588" t="s">
        <v>1184</v>
      </c>
      <c r="E588">
        <v>967153.5</v>
      </c>
      <c r="F588">
        <v>0</v>
      </c>
      <c r="G588" t="s">
        <v>1185</v>
      </c>
      <c r="H588">
        <v>0</v>
      </c>
      <c r="I588">
        <v>0</v>
      </c>
      <c r="J588">
        <v>1</v>
      </c>
      <c r="K588">
        <v>0</v>
      </c>
      <c r="L588">
        <v>2</v>
      </c>
      <c r="M588">
        <v>0</v>
      </c>
      <c r="N588">
        <v>1</v>
      </c>
      <c r="O588">
        <v>967153.5</v>
      </c>
      <c r="P588">
        <v>5</v>
      </c>
      <c r="Q588">
        <v>5</v>
      </c>
      <c r="R588">
        <v>4.0999999999999996</v>
      </c>
      <c r="S588" t="s">
        <v>2310</v>
      </c>
      <c r="V588">
        <f t="shared" si="27"/>
        <v>0</v>
      </c>
      <c r="W588">
        <f t="shared" si="28"/>
        <v>0</v>
      </c>
      <c r="X588" t="str">
        <f t="shared" si="29"/>
        <v>MATCH</v>
      </c>
    </row>
    <row r="589" spans="1:24" x14ac:dyDescent="0.3">
      <c r="A589">
        <v>50</v>
      </c>
      <c r="B589" t="s">
        <v>18</v>
      </c>
      <c r="C589">
        <v>967153.5</v>
      </c>
      <c r="D589" t="s">
        <v>1186</v>
      </c>
      <c r="E589">
        <v>967153.5</v>
      </c>
      <c r="F589">
        <v>0</v>
      </c>
      <c r="G589" t="s">
        <v>1187</v>
      </c>
      <c r="H589">
        <v>183670.2</v>
      </c>
      <c r="I589">
        <v>1150823.7</v>
      </c>
      <c r="J589">
        <v>1</v>
      </c>
      <c r="K589">
        <v>0</v>
      </c>
      <c r="L589">
        <v>2</v>
      </c>
      <c r="M589">
        <v>0</v>
      </c>
      <c r="N589">
        <v>1</v>
      </c>
      <c r="O589">
        <v>967153.5</v>
      </c>
      <c r="P589">
        <v>5</v>
      </c>
      <c r="Q589">
        <v>4</v>
      </c>
      <c r="R589">
        <v>3.8000000000000003</v>
      </c>
      <c r="S589" t="s">
        <v>2310</v>
      </c>
      <c r="V589">
        <f t="shared" si="27"/>
        <v>0</v>
      </c>
      <c r="W589">
        <f t="shared" si="28"/>
        <v>0</v>
      </c>
      <c r="X589" t="str">
        <f t="shared" si="29"/>
        <v>MATCH</v>
      </c>
    </row>
    <row r="590" spans="1:24" x14ac:dyDescent="0.3">
      <c r="A590">
        <v>50</v>
      </c>
      <c r="B590" t="s">
        <v>15</v>
      </c>
      <c r="C590">
        <v>592737.43000000005</v>
      </c>
      <c r="D590" t="s">
        <v>1188</v>
      </c>
      <c r="E590">
        <v>592737.43000000005</v>
      </c>
      <c r="F590">
        <v>0</v>
      </c>
      <c r="G590" t="s">
        <v>1189</v>
      </c>
      <c r="H590">
        <v>0</v>
      </c>
      <c r="I590">
        <v>0</v>
      </c>
      <c r="J590">
        <v>1</v>
      </c>
      <c r="K590">
        <v>0</v>
      </c>
      <c r="L590">
        <v>2</v>
      </c>
      <c r="M590">
        <v>0</v>
      </c>
      <c r="N590">
        <v>1</v>
      </c>
      <c r="O590">
        <v>592737.43000000005</v>
      </c>
      <c r="P590">
        <v>5</v>
      </c>
      <c r="Q590">
        <v>5</v>
      </c>
      <c r="R590">
        <v>4.0999999999999996</v>
      </c>
      <c r="S590" t="s">
        <v>2310</v>
      </c>
      <c r="V590">
        <f t="shared" si="27"/>
        <v>0</v>
      </c>
      <c r="W590">
        <f t="shared" si="28"/>
        <v>0</v>
      </c>
      <c r="X590" t="str">
        <f t="shared" si="29"/>
        <v>MATCH</v>
      </c>
    </row>
    <row r="591" spans="1:24" x14ac:dyDescent="0.3">
      <c r="A591">
        <v>50</v>
      </c>
      <c r="B591" t="s">
        <v>18</v>
      </c>
      <c r="C591">
        <v>592737.43000000005</v>
      </c>
      <c r="D591" t="s">
        <v>1190</v>
      </c>
      <c r="E591">
        <v>592737.43000000005</v>
      </c>
      <c r="F591">
        <v>0</v>
      </c>
      <c r="G591" t="s">
        <v>1191</v>
      </c>
      <c r="H591">
        <v>163646.39000000001</v>
      </c>
      <c r="I591">
        <v>756383.82</v>
      </c>
      <c r="J591">
        <v>1</v>
      </c>
      <c r="K591">
        <v>0</v>
      </c>
      <c r="L591">
        <v>2</v>
      </c>
      <c r="M591">
        <v>0</v>
      </c>
      <c r="N591">
        <v>1</v>
      </c>
      <c r="O591">
        <v>592737.43000000005</v>
      </c>
      <c r="P591">
        <v>5</v>
      </c>
      <c r="Q591">
        <v>4</v>
      </c>
      <c r="R591">
        <v>3.8000000000000003</v>
      </c>
      <c r="S591" t="s">
        <v>2310</v>
      </c>
      <c r="V591">
        <f t="shared" si="27"/>
        <v>0</v>
      </c>
      <c r="W591">
        <f t="shared" si="28"/>
        <v>0</v>
      </c>
      <c r="X591" t="str">
        <f t="shared" si="29"/>
        <v>MATCH</v>
      </c>
    </row>
    <row r="592" spans="1:24" x14ac:dyDescent="0.3">
      <c r="A592">
        <v>51</v>
      </c>
      <c r="B592" t="s">
        <v>15</v>
      </c>
      <c r="C592">
        <v>202887.77</v>
      </c>
      <c r="D592" t="s">
        <v>1192</v>
      </c>
      <c r="E592">
        <v>202887.77</v>
      </c>
      <c r="F592">
        <v>0</v>
      </c>
      <c r="G592" t="s">
        <v>1193</v>
      </c>
      <c r="H592">
        <v>0</v>
      </c>
      <c r="I592">
        <v>0</v>
      </c>
      <c r="J592">
        <v>1</v>
      </c>
      <c r="K592">
        <v>0</v>
      </c>
      <c r="L592">
        <v>3</v>
      </c>
      <c r="M592">
        <v>0</v>
      </c>
      <c r="N592">
        <v>1</v>
      </c>
      <c r="O592">
        <v>202887.77</v>
      </c>
      <c r="P592">
        <v>5</v>
      </c>
      <c r="Q592">
        <v>5</v>
      </c>
      <c r="R592">
        <v>4.0999999999999996</v>
      </c>
      <c r="S592" t="s">
        <v>2310</v>
      </c>
      <c r="V592">
        <f t="shared" si="27"/>
        <v>0</v>
      </c>
      <c r="W592">
        <f t="shared" si="28"/>
        <v>0</v>
      </c>
      <c r="X592" t="str">
        <f t="shared" si="29"/>
        <v>MATCH</v>
      </c>
    </row>
    <row r="593" spans="1:24" x14ac:dyDescent="0.3">
      <c r="A593">
        <v>51</v>
      </c>
      <c r="B593" t="s">
        <v>18</v>
      </c>
      <c r="C593">
        <v>202887.77</v>
      </c>
      <c r="D593" t="s">
        <v>1194</v>
      </c>
      <c r="E593">
        <v>202887.77</v>
      </c>
      <c r="F593">
        <v>0</v>
      </c>
      <c r="G593" t="s">
        <v>1195</v>
      </c>
      <c r="H593">
        <v>0</v>
      </c>
      <c r="I593">
        <v>202887.77</v>
      </c>
      <c r="J593">
        <v>1</v>
      </c>
      <c r="K593">
        <v>0</v>
      </c>
      <c r="L593">
        <v>3</v>
      </c>
      <c r="M593">
        <v>0</v>
      </c>
      <c r="N593">
        <v>1</v>
      </c>
      <c r="O593">
        <v>202887.77</v>
      </c>
      <c r="P593">
        <v>5</v>
      </c>
      <c r="Q593">
        <v>4</v>
      </c>
      <c r="R593">
        <v>3.8000000000000003</v>
      </c>
      <c r="S593" t="s">
        <v>2310</v>
      </c>
      <c r="V593">
        <f t="shared" si="27"/>
        <v>0</v>
      </c>
      <c r="W593">
        <f t="shared" si="28"/>
        <v>0</v>
      </c>
      <c r="X593" t="str">
        <f t="shared" si="29"/>
        <v>MATCH</v>
      </c>
    </row>
    <row r="594" spans="1:24" x14ac:dyDescent="0.3">
      <c r="A594">
        <v>51</v>
      </c>
      <c r="B594" t="s">
        <v>15</v>
      </c>
      <c r="C594">
        <v>339275.64</v>
      </c>
      <c r="D594" t="s">
        <v>1196</v>
      </c>
      <c r="E594">
        <v>339275.64</v>
      </c>
      <c r="F594">
        <v>0</v>
      </c>
      <c r="G594" t="s">
        <v>1197</v>
      </c>
      <c r="H594">
        <v>0</v>
      </c>
      <c r="I594">
        <v>0</v>
      </c>
      <c r="J594">
        <v>1</v>
      </c>
      <c r="K594">
        <v>0</v>
      </c>
      <c r="L594">
        <v>3</v>
      </c>
      <c r="M594">
        <v>0</v>
      </c>
      <c r="N594">
        <v>1</v>
      </c>
      <c r="O594">
        <v>339275.64</v>
      </c>
      <c r="P594">
        <v>5</v>
      </c>
      <c r="Q594">
        <v>5</v>
      </c>
      <c r="R594">
        <v>4.0999999999999996</v>
      </c>
      <c r="S594" t="s">
        <v>2310</v>
      </c>
      <c r="V594">
        <f t="shared" si="27"/>
        <v>0</v>
      </c>
      <c r="W594">
        <f t="shared" si="28"/>
        <v>0</v>
      </c>
      <c r="X594" t="str">
        <f t="shared" si="29"/>
        <v>MATCH</v>
      </c>
    </row>
    <row r="595" spans="1:24" x14ac:dyDescent="0.3">
      <c r="A595">
        <v>51</v>
      </c>
      <c r="B595" t="s">
        <v>18</v>
      </c>
      <c r="C595">
        <v>339275.64</v>
      </c>
      <c r="D595" t="s">
        <v>1198</v>
      </c>
      <c r="E595">
        <v>339275.64</v>
      </c>
      <c r="F595">
        <v>0</v>
      </c>
      <c r="G595" t="s">
        <v>1199</v>
      </c>
      <c r="H595">
        <v>1481576.03</v>
      </c>
      <c r="I595">
        <v>1820851.68</v>
      </c>
      <c r="J595">
        <v>1</v>
      </c>
      <c r="K595">
        <v>0</v>
      </c>
      <c r="L595">
        <v>3</v>
      </c>
      <c r="M595">
        <v>0</v>
      </c>
      <c r="N595">
        <v>1</v>
      </c>
      <c r="O595">
        <v>339275.64</v>
      </c>
      <c r="P595">
        <v>5</v>
      </c>
      <c r="Q595">
        <v>4</v>
      </c>
      <c r="R595">
        <v>3.8000000000000003</v>
      </c>
      <c r="S595" t="s">
        <v>2310</v>
      </c>
      <c r="V595">
        <f t="shared" si="27"/>
        <v>0</v>
      </c>
      <c r="W595">
        <f t="shared" si="28"/>
        <v>0</v>
      </c>
      <c r="X595" t="str">
        <f t="shared" si="29"/>
        <v>MATCH</v>
      </c>
    </row>
    <row r="596" spans="1:24" x14ac:dyDescent="0.3">
      <c r="A596">
        <v>51</v>
      </c>
      <c r="B596" t="s">
        <v>15</v>
      </c>
      <c r="C596">
        <v>115881.21</v>
      </c>
      <c r="D596" t="s">
        <v>1200</v>
      </c>
      <c r="E596">
        <v>115881.21</v>
      </c>
      <c r="F596">
        <v>0</v>
      </c>
      <c r="G596" t="s">
        <v>1201</v>
      </c>
      <c r="H596">
        <v>0</v>
      </c>
      <c r="I596">
        <v>0</v>
      </c>
      <c r="J596">
        <v>1</v>
      </c>
      <c r="K596">
        <v>0</v>
      </c>
      <c r="L596">
        <v>3</v>
      </c>
      <c r="M596">
        <v>0</v>
      </c>
      <c r="N596">
        <v>1</v>
      </c>
      <c r="O596">
        <v>115881.21</v>
      </c>
      <c r="P596">
        <v>4</v>
      </c>
      <c r="Q596">
        <v>5</v>
      </c>
      <c r="R596">
        <v>3.6</v>
      </c>
      <c r="S596" t="s">
        <v>2310</v>
      </c>
      <c r="V596">
        <f t="shared" si="27"/>
        <v>0</v>
      </c>
      <c r="W596">
        <f t="shared" si="28"/>
        <v>0</v>
      </c>
      <c r="X596" t="str">
        <f t="shared" si="29"/>
        <v>MATCH</v>
      </c>
    </row>
    <row r="597" spans="1:24" x14ac:dyDescent="0.3">
      <c r="A597">
        <v>51</v>
      </c>
      <c r="B597" t="s">
        <v>18</v>
      </c>
      <c r="C597">
        <v>115881.21</v>
      </c>
      <c r="D597" t="s">
        <v>1202</v>
      </c>
      <c r="E597">
        <v>115881.21</v>
      </c>
      <c r="F597">
        <v>0</v>
      </c>
      <c r="G597" t="s">
        <v>1203</v>
      </c>
      <c r="H597">
        <v>4774288.04</v>
      </c>
      <c r="I597">
        <v>4890169.26</v>
      </c>
      <c r="J597">
        <v>1</v>
      </c>
      <c r="K597">
        <v>0</v>
      </c>
      <c r="L597">
        <v>3</v>
      </c>
      <c r="M597">
        <v>0</v>
      </c>
      <c r="N597">
        <v>1</v>
      </c>
      <c r="O597">
        <v>115881.21</v>
      </c>
      <c r="P597">
        <v>4</v>
      </c>
      <c r="Q597">
        <v>4</v>
      </c>
      <c r="R597">
        <v>3.3000000000000003</v>
      </c>
      <c r="S597" t="s">
        <v>2310</v>
      </c>
      <c r="V597">
        <f t="shared" si="27"/>
        <v>0</v>
      </c>
      <c r="W597">
        <f t="shared" si="28"/>
        <v>0</v>
      </c>
      <c r="X597" t="str">
        <f t="shared" si="29"/>
        <v>MATCH</v>
      </c>
    </row>
    <row r="598" spans="1:24" x14ac:dyDescent="0.3">
      <c r="A598">
        <v>51</v>
      </c>
      <c r="B598" t="s">
        <v>15</v>
      </c>
      <c r="C598">
        <v>1398946.33</v>
      </c>
      <c r="D598" t="s">
        <v>1204</v>
      </c>
      <c r="E598">
        <v>1398946.33</v>
      </c>
      <c r="F598">
        <v>0</v>
      </c>
      <c r="G598" t="s">
        <v>1205</v>
      </c>
      <c r="H598">
        <v>0</v>
      </c>
      <c r="I598">
        <v>0</v>
      </c>
      <c r="J598">
        <v>1</v>
      </c>
      <c r="K598">
        <v>0</v>
      </c>
      <c r="L598">
        <v>3</v>
      </c>
      <c r="M598">
        <v>0</v>
      </c>
      <c r="N598">
        <v>1</v>
      </c>
      <c r="O598">
        <v>1398946.33</v>
      </c>
      <c r="P598">
        <v>5</v>
      </c>
      <c r="Q598">
        <v>5</v>
      </c>
      <c r="R598">
        <v>4.0999999999999996</v>
      </c>
      <c r="S598" t="s">
        <v>2310</v>
      </c>
      <c r="V598">
        <f t="shared" si="27"/>
        <v>0</v>
      </c>
      <c r="W598">
        <f t="shared" si="28"/>
        <v>0</v>
      </c>
      <c r="X598" t="str">
        <f t="shared" si="29"/>
        <v>MATCH</v>
      </c>
    </row>
    <row r="599" spans="1:24" x14ac:dyDescent="0.3">
      <c r="A599">
        <v>51</v>
      </c>
      <c r="B599" t="s">
        <v>18</v>
      </c>
      <c r="C599">
        <v>1398946.33</v>
      </c>
      <c r="D599" t="s">
        <v>1206</v>
      </c>
      <c r="E599">
        <v>1398946.33</v>
      </c>
      <c r="F599">
        <v>0</v>
      </c>
      <c r="G599" t="s">
        <v>1207</v>
      </c>
      <c r="H599">
        <v>0</v>
      </c>
      <c r="I599">
        <v>1398946.33</v>
      </c>
      <c r="J599">
        <v>1</v>
      </c>
      <c r="K599">
        <v>0</v>
      </c>
      <c r="L599">
        <v>3</v>
      </c>
      <c r="M599">
        <v>0</v>
      </c>
      <c r="N599">
        <v>1</v>
      </c>
      <c r="O599">
        <v>1398946.33</v>
      </c>
      <c r="P599">
        <v>5</v>
      </c>
      <c r="Q599">
        <v>4</v>
      </c>
      <c r="R599">
        <v>3.8000000000000003</v>
      </c>
      <c r="S599" t="s">
        <v>2310</v>
      </c>
      <c r="V599">
        <f t="shared" si="27"/>
        <v>0</v>
      </c>
      <c r="W599">
        <f t="shared" si="28"/>
        <v>0</v>
      </c>
      <c r="X599" t="str">
        <f t="shared" si="29"/>
        <v>MATCH</v>
      </c>
    </row>
    <row r="600" spans="1:24" x14ac:dyDescent="0.3">
      <c r="A600">
        <v>51</v>
      </c>
      <c r="B600" t="s">
        <v>15</v>
      </c>
      <c r="C600">
        <v>1170282.92</v>
      </c>
      <c r="D600" t="s">
        <v>1208</v>
      </c>
      <c r="E600">
        <v>1170282.92</v>
      </c>
      <c r="F600">
        <v>0</v>
      </c>
      <c r="G600" t="s">
        <v>1209</v>
      </c>
      <c r="H600">
        <v>0</v>
      </c>
      <c r="I600">
        <v>0</v>
      </c>
      <c r="J600">
        <v>1</v>
      </c>
      <c r="K600">
        <v>0</v>
      </c>
      <c r="L600">
        <v>3</v>
      </c>
      <c r="M600">
        <v>0</v>
      </c>
      <c r="N600">
        <v>1</v>
      </c>
      <c r="O600">
        <v>1170282.92</v>
      </c>
      <c r="P600">
        <v>5</v>
      </c>
      <c r="Q600">
        <v>5</v>
      </c>
      <c r="R600">
        <v>4.0999999999999996</v>
      </c>
      <c r="S600" t="s">
        <v>2310</v>
      </c>
      <c r="V600">
        <f t="shared" si="27"/>
        <v>0</v>
      </c>
      <c r="W600">
        <f t="shared" si="28"/>
        <v>0</v>
      </c>
      <c r="X600" t="str">
        <f t="shared" si="29"/>
        <v>MATCH</v>
      </c>
    </row>
    <row r="601" spans="1:24" x14ac:dyDescent="0.3">
      <c r="A601">
        <v>51</v>
      </c>
      <c r="B601" t="s">
        <v>18</v>
      </c>
      <c r="C601">
        <v>1170282.92</v>
      </c>
      <c r="D601" t="s">
        <v>1210</v>
      </c>
      <c r="E601">
        <v>1170282.92</v>
      </c>
      <c r="F601">
        <v>0</v>
      </c>
      <c r="G601" t="s">
        <v>1211</v>
      </c>
      <c r="H601">
        <v>173264.14</v>
      </c>
      <c r="I601">
        <v>1343547.06</v>
      </c>
      <c r="J601">
        <v>1</v>
      </c>
      <c r="K601">
        <v>0</v>
      </c>
      <c r="L601">
        <v>3</v>
      </c>
      <c r="M601">
        <v>0</v>
      </c>
      <c r="N601">
        <v>1</v>
      </c>
      <c r="O601">
        <v>1170282.92</v>
      </c>
      <c r="P601">
        <v>5</v>
      </c>
      <c r="Q601">
        <v>4</v>
      </c>
      <c r="R601">
        <v>3.8000000000000003</v>
      </c>
      <c r="S601" t="s">
        <v>2310</v>
      </c>
      <c r="V601">
        <f t="shared" si="27"/>
        <v>0</v>
      </c>
      <c r="W601">
        <f t="shared" si="28"/>
        <v>0</v>
      </c>
      <c r="X601" t="str">
        <f t="shared" si="29"/>
        <v>MATCH</v>
      </c>
    </row>
    <row r="602" spans="1:24" x14ac:dyDescent="0.3">
      <c r="A602">
        <v>51</v>
      </c>
      <c r="B602" t="s">
        <v>15</v>
      </c>
      <c r="C602">
        <v>567932.31000000006</v>
      </c>
      <c r="D602" t="s">
        <v>1212</v>
      </c>
      <c r="E602">
        <v>567932.31000000006</v>
      </c>
      <c r="F602">
        <v>0</v>
      </c>
      <c r="G602" t="s">
        <v>1213</v>
      </c>
      <c r="H602">
        <v>0</v>
      </c>
      <c r="I602">
        <v>0</v>
      </c>
      <c r="J602">
        <v>1</v>
      </c>
      <c r="K602">
        <v>0</v>
      </c>
      <c r="L602">
        <v>3</v>
      </c>
      <c r="M602">
        <v>0</v>
      </c>
      <c r="N602">
        <v>1</v>
      </c>
      <c r="O602">
        <v>567932.31000000006</v>
      </c>
      <c r="P602">
        <v>5</v>
      </c>
      <c r="Q602">
        <v>5</v>
      </c>
      <c r="R602">
        <v>4.0999999999999996</v>
      </c>
      <c r="S602" t="s">
        <v>2310</v>
      </c>
      <c r="V602">
        <f t="shared" si="27"/>
        <v>0</v>
      </c>
      <c r="W602">
        <f t="shared" si="28"/>
        <v>0</v>
      </c>
      <c r="X602" t="str">
        <f t="shared" si="29"/>
        <v>MATCH</v>
      </c>
    </row>
    <row r="603" spans="1:24" x14ac:dyDescent="0.3">
      <c r="A603">
        <v>51</v>
      </c>
      <c r="B603" t="s">
        <v>18</v>
      </c>
      <c r="C603">
        <v>567932.31000000006</v>
      </c>
      <c r="D603" t="s">
        <v>1214</v>
      </c>
      <c r="E603">
        <v>567932.31000000006</v>
      </c>
      <c r="F603">
        <v>0</v>
      </c>
      <c r="G603" t="s">
        <v>1215</v>
      </c>
      <c r="H603">
        <v>0</v>
      </c>
      <c r="I603">
        <v>567932.31000000006</v>
      </c>
      <c r="J603">
        <v>1</v>
      </c>
      <c r="K603">
        <v>0</v>
      </c>
      <c r="L603">
        <v>3</v>
      </c>
      <c r="M603">
        <v>0</v>
      </c>
      <c r="N603">
        <v>1</v>
      </c>
      <c r="O603">
        <v>567932.31000000006</v>
      </c>
      <c r="P603">
        <v>5</v>
      </c>
      <c r="Q603">
        <v>4</v>
      </c>
      <c r="R603">
        <v>3.8000000000000003</v>
      </c>
      <c r="S603" t="s">
        <v>2310</v>
      </c>
      <c r="V603">
        <f t="shared" si="27"/>
        <v>0</v>
      </c>
      <c r="W603">
        <f t="shared" si="28"/>
        <v>0</v>
      </c>
      <c r="X603" t="str">
        <f t="shared" si="29"/>
        <v>MATCH</v>
      </c>
    </row>
    <row r="604" spans="1:24" x14ac:dyDescent="0.3">
      <c r="A604">
        <v>51</v>
      </c>
      <c r="B604" t="s">
        <v>15</v>
      </c>
      <c r="C604">
        <v>361460.79</v>
      </c>
      <c r="D604" t="s">
        <v>1216</v>
      </c>
      <c r="E604">
        <v>361460.79</v>
      </c>
      <c r="F604">
        <v>0</v>
      </c>
      <c r="G604" t="s">
        <v>1217</v>
      </c>
      <c r="H604">
        <v>0</v>
      </c>
      <c r="I604">
        <v>0</v>
      </c>
      <c r="J604">
        <v>1</v>
      </c>
      <c r="K604">
        <v>0</v>
      </c>
      <c r="L604">
        <v>3</v>
      </c>
      <c r="M604">
        <v>0</v>
      </c>
      <c r="N604">
        <v>1</v>
      </c>
      <c r="O604">
        <v>361460.79</v>
      </c>
      <c r="P604">
        <v>5</v>
      </c>
      <c r="Q604">
        <v>5</v>
      </c>
      <c r="R604">
        <v>4.0999999999999996</v>
      </c>
      <c r="S604" t="s">
        <v>2310</v>
      </c>
      <c r="V604">
        <f t="shared" si="27"/>
        <v>0</v>
      </c>
      <c r="W604">
        <f t="shared" si="28"/>
        <v>0</v>
      </c>
      <c r="X604" t="str">
        <f t="shared" si="29"/>
        <v>MATCH</v>
      </c>
    </row>
    <row r="605" spans="1:24" x14ac:dyDescent="0.3">
      <c r="A605">
        <v>51</v>
      </c>
      <c r="B605" t="s">
        <v>18</v>
      </c>
      <c r="C605">
        <v>361460.79</v>
      </c>
      <c r="D605" t="s">
        <v>1218</v>
      </c>
      <c r="E605">
        <v>361460.79</v>
      </c>
      <c r="F605">
        <v>0</v>
      </c>
      <c r="G605" t="s">
        <v>1219</v>
      </c>
      <c r="H605">
        <v>991487.78</v>
      </c>
      <c r="I605">
        <v>1352948.57</v>
      </c>
      <c r="J605">
        <v>1</v>
      </c>
      <c r="K605">
        <v>0</v>
      </c>
      <c r="L605">
        <v>3</v>
      </c>
      <c r="M605">
        <v>0</v>
      </c>
      <c r="N605">
        <v>1</v>
      </c>
      <c r="O605">
        <v>361460.79</v>
      </c>
      <c r="P605">
        <v>5</v>
      </c>
      <c r="Q605">
        <v>4</v>
      </c>
      <c r="R605">
        <v>3.8000000000000003</v>
      </c>
      <c r="S605" t="s">
        <v>2310</v>
      </c>
      <c r="V605">
        <f t="shared" si="27"/>
        <v>0</v>
      </c>
      <c r="W605">
        <f t="shared" si="28"/>
        <v>0</v>
      </c>
      <c r="X605" t="str">
        <f t="shared" si="29"/>
        <v>MATCH</v>
      </c>
    </row>
    <row r="606" spans="1:24" x14ac:dyDescent="0.3">
      <c r="A606">
        <v>52</v>
      </c>
      <c r="B606" t="s">
        <v>15</v>
      </c>
      <c r="C606">
        <v>7484125.1200000001</v>
      </c>
      <c r="D606" t="s">
        <v>1220</v>
      </c>
      <c r="E606">
        <v>7484125.1200000001</v>
      </c>
      <c r="F606">
        <v>0</v>
      </c>
      <c r="G606" t="s">
        <v>1221</v>
      </c>
      <c r="H606">
        <v>0</v>
      </c>
      <c r="I606">
        <v>0</v>
      </c>
      <c r="J606">
        <v>1</v>
      </c>
      <c r="K606">
        <v>0</v>
      </c>
      <c r="L606">
        <v>4</v>
      </c>
      <c r="M606">
        <v>0</v>
      </c>
      <c r="N606">
        <v>1</v>
      </c>
      <c r="O606">
        <v>7484125.1200000001</v>
      </c>
      <c r="P606">
        <v>5</v>
      </c>
      <c r="Q606">
        <v>5</v>
      </c>
      <c r="R606">
        <v>4.0999999999999996</v>
      </c>
      <c r="S606" t="s">
        <v>2310</v>
      </c>
      <c r="V606">
        <f t="shared" si="27"/>
        <v>0</v>
      </c>
      <c r="W606">
        <f t="shared" si="28"/>
        <v>0</v>
      </c>
      <c r="X606" t="str">
        <f t="shared" si="29"/>
        <v>MATCH</v>
      </c>
    </row>
    <row r="607" spans="1:24" x14ac:dyDescent="0.3">
      <c r="A607">
        <v>52</v>
      </c>
      <c r="B607" t="s">
        <v>18</v>
      </c>
      <c r="C607">
        <v>7484125.1200000001</v>
      </c>
      <c r="D607" t="s">
        <v>1222</v>
      </c>
      <c r="E607">
        <v>7484125.1200000001</v>
      </c>
      <c r="F607">
        <v>0</v>
      </c>
      <c r="G607" t="s">
        <v>1223</v>
      </c>
      <c r="H607">
        <v>62896.23</v>
      </c>
      <c r="I607">
        <v>7547021.3600000003</v>
      </c>
      <c r="J607">
        <v>1</v>
      </c>
      <c r="K607">
        <v>0</v>
      </c>
      <c r="L607">
        <v>4</v>
      </c>
      <c r="M607">
        <v>0</v>
      </c>
      <c r="N607">
        <v>1</v>
      </c>
      <c r="O607">
        <v>7484125.1200000001</v>
      </c>
      <c r="P607">
        <v>5</v>
      </c>
      <c r="Q607">
        <v>4</v>
      </c>
      <c r="R607">
        <v>3.8000000000000003</v>
      </c>
      <c r="S607" t="s">
        <v>2310</v>
      </c>
      <c r="V607">
        <f t="shared" si="27"/>
        <v>0</v>
      </c>
      <c r="W607">
        <f t="shared" si="28"/>
        <v>0</v>
      </c>
      <c r="X607" t="str">
        <f t="shared" si="29"/>
        <v>MATCH</v>
      </c>
    </row>
    <row r="608" spans="1:24" x14ac:dyDescent="0.3">
      <c r="A608">
        <v>52</v>
      </c>
      <c r="B608" t="s">
        <v>15</v>
      </c>
      <c r="C608">
        <v>1093155.19</v>
      </c>
      <c r="D608" t="s">
        <v>1224</v>
      </c>
      <c r="E608">
        <v>1093155.19</v>
      </c>
      <c r="F608">
        <v>0</v>
      </c>
      <c r="G608" t="s">
        <v>1225</v>
      </c>
      <c r="H608">
        <v>0</v>
      </c>
      <c r="I608">
        <v>0</v>
      </c>
      <c r="J608">
        <v>1</v>
      </c>
      <c r="K608">
        <v>0</v>
      </c>
      <c r="L608">
        <v>4</v>
      </c>
      <c r="M608">
        <v>0</v>
      </c>
      <c r="N608">
        <v>1</v>
      </c>
      <c r="O608">
        <v>1093155.19</v>
      </c>
      <c r="P608">
        <v>5</v>
      </c>
      <c r="Q608">
        <v>5</v>
      </c>
      <c r="R608">
        <v>4.0999999999999996</v>
      </c>
      <c r="S608" t="s">
        <v>2310</v>
      </c>
      <c r="V608">
        <f t="shared" si="27"/>
        <v>0</v>
      </c>
      <c r="W608">
        <f t="shared" si="28"/>
        <v>0</v>
      </c>
      <c r="X608" t="str">
        <f t="shared" si="29"/>
        <v>MATCH</v>
      </c>
    </row>
    <row r="609" spans="1:24" x14ac:dyDescent="0.3">
      <c r="A609">
        <v>52</v>
      </c>
      <c r="B609" t="s">
        <v>18</v>
      </c>
      <c r="C609">
        <v>1093155.19</v>
      </c>
      <c r="D609" t="s">
        <v>1226</v>
      </c>
      <c r="E609">
        <v>1093155.19</v>
      </c>
      <c r="F609">
        <v>0</v>
      </c>
      <c r="G609" t="s">
        <v>1227</v>
      </c>
      <c r="H609">
        <v>1966451.64</v>
      </c>
      <c r="I609">
        <v>3059606.83</v>
      </c>
      <c r="J609">
        <v>1</v>
      </c>
      <c r="K609">
        <v>0</v>
      </c>
      <c r="L609">
        <v>4</v>
      </c>
      <c r="M609">
        <v>0</v>
      </c>
      <c r="N609">
        <v>1</v>
      </c>
      <c r="O609">
        <v>1093155.19</v>
      </c>
      <c r="P609">
        <v>5</v>
      </c>
      <c r="Q609">
        <v>4</v>
      </c>
      <c r="R609">
        <v>3.8000000000000003</v>
      </c>
      <c r="S609" t="s">
        <v>2310</v>
      </c>
      <c r="V609">
        <f t="shared" si="27"/>
        <v>0</v>
      </c>
      <c r="W609">
        <f t="shared" si="28"/>
        <v>0</v>
      </c>
      <c r="X609" t="str">
        <f t="shared" si="29"/>
        <v>MATCH</v>
      </c>
    </row>
    <row r="610" spans="1:24" x14ac:dyDescent="0.3">
      <c r="A610">
        <v>52</v>
      </c>
      <c r="B610" t="s">
        <v>15</v>
      </c>
      <c r="C610">
        <v>128426.58</v>
      </c>
      <c r="D610" t="s">
        <v>1228</v>
      </c>
      <c r="E610">
        <v>128426.58</v>
      </c>
      <c r="F610">
        <v>0</v>
      </c>
      <c r="G610" t="s">
        <v>1229</v>
      </c>
      <c r="H610">
        <v>0</v>
      </c>
      <c r="I610">
        <v>0</v>
      </c>
      <c r="J610">
        <v>1</v>
      </c>
      <c r="K610">
        <v>0</v>
      </c>
      <c r="L610">
        <v>4</v>
      </c>
      <c r="M610">
        <v>0</v>
      </c>
      <c r="N610">
        <v>1</v>
      </c>
      <c r="O610">
        <v>128426.58</v>
      </c>
      <c r="P610">
        <v>4</v>
      </c>
      <c r="Q610">
        <v>5</v>
      </c>
      <c r="R610">
        <v>3.6</v>
      </c>
      <c r="S610" t="s">
        <v>2310</v>
      </c>
      <c r="V610">
        <f t="shared" si="27"/>
        <v>0</v>
      </c>
      <c r="W610">
        <f t="shared" si="28"/>
        <v>0</v>
      </c>
      <c r="X610" t="str">
        <f t="shared" si="29"/>
        <v>MATCH</v>
      </c>
    </row>
    <row r="611" spans="1:24" x14ac:dyDescent="0.3">
      <c r="A611">
        <v>52</v>
      </c>
      <c r="B611" t="s">
        <v>18</v>
      </c>
      <c r="C611">
        <v>128426.58</v>
      </c>
      <c r="D611" t="s">
        <v>1230</v>
      </c>
      <c r="E611">
        <v>128426.58</v>
      </c>
      <c r="F611">
        <v>0</v>
      </c>
      <c r="G611" t="s">
        <v>1231</v>
      </c>
      <c r="H611">
        <v>0</v>
      </c>
      <c r="I611">
        <v>128426.58</v>
      </c>
      <c r="J611">
        <v>1</v>
      </c>
      <c r="K611">
        <v>0</v>
      </c>
      <c r="L611">
        <v>4</v>
      </c>
      <c r="M611">
        <v>0</v>
      </c>
      <c r="N611">
        <v>1</v>
      </c>
      <c r="O611">
        <v>128426.58</v>
      </c>
      <c r="P611">
        <v>4</v>
      </c>
      <c r="Q611">
        <v>4</v>
      </c>
      <c r="R611">
        <v>3.3000000000000003</v>
      </c>
      <c r="S611" t="s">
        <v>2310</v>
      </c>
      <c r="V611">
        <f t="shared" si="27"/>
        <v>0</v>
      </c>
      <c r="W611">
        <f t="shared" si="28"/>
        <v>0</v>
      </c>
      <c r="X611" t="str">
        <f t="shared" si="29"/>
        <v>MATCH</v>
      </c>
    </row>
    <row r="612" spans="1:24" x14ac:dyDescent="0.3">
      <c r="A612">
        <v>52</v>
      </c>
      <c r="B612" t="s">
        <v>15</v>
      </c>
      <c r="C612">
        <v>969259.07</v>
      </c>
      <c r="D612" t="s">
        <v>1232</v>
      </c>
      <c r="E612">
        <v>969259.07</v>
      </c>
      <c r="F612">
        <v>0</v>
      </c>
      <c r="G612" t="s">
        <v>1233</v>
      </c>
      <c r="H612">
        <v>0</v>
      </c>
      <c r="I612">
        <v>0</v>
      </c>
      <c r="J612">
        <v>1</v>
      </c>
      <c r="K612">
        <v>0</v>
      </c>
      <c r="L612">
        <v>4</v>
      </c>
      <c r="M612">
        <v>0</v>
      </c>
      <c r="N612">
        <v>1</v>
      </c>
      <c r="O612">
        <v>969259.07</v>
      </c>
      <c r="P612">
        <v>5</v>
      </c>
      <c r="Q612">
        <v>5</v>
      </c>
      <c r="R612">
        <v>4.0999999999999996</v>
      </c>
      <c r="S612" t="s">
        <v>2310</v>
      </c>
      <c r="V612">
        <f t="shared" si="27"/>
        <v>0</v>
      </c>
      <c r="W612">
        <f t="shared" si="28"/>
        <v>0</v>
      </c>
      <c r="X612" t="str">
        <f t="shared" si="29"/>
        <v>MATCH</v>
      </c>
    </row>
    <row r="613" spans="1:24" x14ac:dyDescent="0.3">
      <c r="A613">
        <v>52</v>
      </c>
      <c r="B613" t="s">
        <v>18</v>
      </c>
      <c r="C613">
        <v>969259.07</v>
      </c>
      <c r="D613" t="s">
        <v>1234</v>
      </c>
      <c r="E613">
        <v>969259.07</v>
      </c>
      <c r="F613">
        <v>0</v>
      </c>
      <c r="G613" t="s">
        <v>1235</v>
      </c>
      <c r="H613">
        <v>85723.45</v>
      </c>
      <c r="I613">
        <v>1054982.52</v>
      </c>
      <c r="J613">
        <v>1</v>
      </c>
      <c r="K613">
        <v>0</v>
      </c>
      <c r="L613">
        <v>4</v>
      </c>
      <c r="M613">
        <v>0</v>
      </c>
      <c r="N613">
        <v>1</v>
      </c>
      <c r="O613">
        <v>969259.07</v>
      </c>
      <c r="P613">
        <v>5</v>
      </c>
      <c r="Q613">
        <v>4</v>
      </c>
      <c r="R613">
        <v>3.8000000000000003</v>
      </c>
      <c r="S613" t="s">
        <v>2310</v>
      </c>
      <c r="V613">
        <f t="shared" si="27"/>
        <v>0</v>
      </c>
      <c r="W613">
        <f t="shared" si="28"/>
        <v>0</v>
      </c>
      <c r="X613" t="str">
        <f t="shared" si="29"/>
        <v>MATCH</v>
      </c>
    </row>
    <row r="614" spans="1:24" x14ac:dyDescent="0.3">
      <c r="A614">
        <v>53</v>
      </c>
      <c r="B614" t="s">
        <v>15</v>
      </c>
      <c r="C614">
        <v>1631640.02</v>
      </c>
      <c r="D614" t="s">
        <v>1236</v>
      </c>
      <c r="E614">
        <v>1631640.02</v>
      </c>
      <c r="F614">
        <v>0</v>
      </c>
      <c r="G614" t="s">
        <v>1237</v>
      </c>
      <c r="H614">
        <v>0</v>
      </c>
      <c r="I614">
        <v>0</v>
      </c>
      <c r="J614">
        <v>1</v>
      </c>
      <c r="K614">
        <v>0</v>
      </c>
      <c r="L614">
        <v>5</v>
      </c>
      <c r="M614">
        <v>0</v>
      </c>
      <c r="N614">
        <v>1</v>
      </c>
      <c r="O614">
        <v>1631640.02</v>
      </c>
      <c r="P614">
        <v>5</v>
      </c>
      <c r="Q614">
        <v>5</v>
      </c>
      <c r="R614">
        <v>4.0999999999999996</v>
      </c>
      <c r="S614" t="s">
        <v>2310</v>
      </c>
      <c r="V614">
        <f t="shared" si="27"/>
        <v>0</v>
      </c>
      <c r="W614">
        <f t="shared" si="28"/>
        <v>0</v>
      </c>
      <c r="X614" t="str">
        <f t="shared" si="29"/>
        <v>MATCH</v>
      </c>
    </row>
    <row r="615" spans="1:24" x14ac:dyDescent="0.3">
      <c r="A615">
        <v>53</v>
      </c>
      <c r="B615" t="s">
        <v>18</v>
      </c>
      <c r="C615">
        <v>1631640.02</v>
      </c>
      <c r="D615" t="s">
        <v>1238</v>
      </c>
      <c r="E615">
        <v>1631640.02</v>
      </c>
      <c r="F615">
        <v>0</v>
      </c>
      <c r="G615" t="s">
        <v>1239</v>
      </c>
      <c r="H615">
        <v>705298.87</v>
      </c>
      <c r="I615">
        <v>2336938.89</v>
      </c>
      <c r="J615">
        <v>1</v>
      </c>
      <c r="K615">
        <v>0</v>
      </c>
      <c r="L615">
        <v>5</v>
      </c>
      <c r="M615">
        <v>0</v>
      </c>
      <c r="N615">
        <v>1</v>
      </c>
      <c r="O615">
        <v>1631640.02</v>
      </c>
      <c r="P615">
        <v>5</v>
      </c>
      <c r="Q615">
        <v>4</v>
      </c>
      <c r="R615">
        <v>3.8000000000000003</v>
      </c>
      <c r="S615" t="s">
        <v>2310</v>
      </c>
      <c r="V615">
        <f t="shared" si="27"/>
        <v>0</v>
      </c>
      <c r="W615">
        <f t="shared" si="28"/>
        <v>0</v>
      </c>
      <c r="X615" t="str">
        <f t="shared" si="29"/>
        <v>MATCH</v>
      </c>
    </row>
    <row r="616" spans="1:24" x14ac:dyDescent="0.3">
      <c r="A616">
        <v>53</v>
      </c>
      <c r="B616" t="s">
        <v>15</v>
      </c>
      <c r="C616">
        <v>99139.27</v>
      </c>
      <c r="D616" t="s">
        <v>1240</v>
      </c>
      <c r="E616">
        <v>99139.27</v>
      </c>
      <c r="F616">
        <v>0</v>
      </c>
      <c r="G616" t="s">
        <v>1241</v>
      </c>
      <c r="H616">
        <v>0</v>
      </c>
      <c r="I616">
        <v>0</v>
      </c>
      <c r="J616">
        <v>1</v>
      </c>
      <c r="K616">
        <v>0</v>
      </c>
      <c r="L616">
        <v>5</v>
      </c>
      <c r="M616">
        <v>0</v>
      </c>
      <c r="N616">
        <v>1</v>
      </c>
      <c r="O616">
        <v>99139.27</v>
      </c>
      <c r="P616">
        <v>3</v>
      </c>
      <c r="Q616">
        <v>5</v>
      </c>
      <c r="R616">
        <v>3.1</v>
      </c>
      <c r="S616" t="s">
        <v>2310</v>
      </c>
      <c r="V616">
        <f t="shared" si="27"/>
        <v>0</v>
      </c>
      <c r="W616">
        <f t="shared" si="28"/>
        <v>0</v>
      </c>
      <c r="X616" t="str">
        <f t="shared" si="29"/>
        <v>MATCH</v>
      </c>
    </row>
    <row r="617" spans="1:24" x14ac:dyDescent="0.3">
      <c r="A617">
        <v>53</v>
      </c>
      <c r="B617" t="s">
        <v>18</v>
      </c>
      <c r="C617">
        <v>99139.27</v>
      </c>
      <c r="D617" t="s">
        <v>1242</v>
      </c>
      <c r="E617">
        <v>99139.27</v>
      </c>
      <c r="F617">
        <v>0</v>
      </c>
      <c r="G617" t="s">
        <v>1243</v>
      </c>
      <c r="H617">
        <v>28766.55</v>
      </c>
      <c r="I617">
        <v>127905.82</v>
      </c>
      <c r="J617">
        <v>1</v>
      </c>
      <c r="K617">
        <v>0</v>
      </c>
      <c r="L617">
        <v>5</v>
      </c>
      <c r="M617">
        <v>0</v>
      </c>
      <c r="N617">
        <v>1</v>
      </c>
      <c r="O617">
        <v>99139.27</v>
      </c>
      <c r="P617">
        <v>3</v>
      </c>
      <c r="Q617">
        <v>4</v>
      </c>
      <c r="R617">
        <v>2.8000000000000003</v>
      </c>
      <c r="S617" t="s">
        <v>2312</v>
      </c>
      <c r="V617">
        <f t="shared" si="27"/>
        <v>0</v>
      </c>
      <c r="W617">
        <f t="shared" si="28"/>
        <v>0</v>
      </c>
      <c r="X617" t="str">
        <f t="shared" si="29"/>
        <v>MATCH</v>
      </c>
    </row>
    <row r="618" spans="1:24" x14ac:dyDescent="0.3">
      <c r="A618">
        <v>53</v>
      </c>
      <c r="B618" t="s">
        <v>15</v>
      </c>
      <c r="C618">
        <v>6215.44</v>
      </c>
      <c r="D618" t="s">
        <v>1244</v>
      </c>
      <c r="E618">
        <v>6215.44</v>
      </c>
      <c r="F618">
        <v>0</v>
      </c>
      <c r="G618" t="s">
        <v>1245</v>
      </c>
      <c r="H618">
        <v>0</v>
      </c>
      <c r="I618">
        <v>0</v>
      </c>
      <c r="J618">
        <v>1</v>
      </c>
      <c r="K618">
        <v>0</v>
      </c>
      <c r="L618">
        <v>5</v>
      </c>
      <c r="M618">
        <v>0</v>
      </c>
      <c r="N618">
        <v>1</v>
      </c>
      <c r="O618">
        <v>6215.44</v>
      </c>
      <c r="P618">
        <v>1</v>
      </c>
      <c r="Q618">
        <v>5</v>
      </c>
      <c r="R618">
        <v>2.1</v>
      </c>
      <c r="S618" t="s">
        <v>2312</v>
      </c>
      <c r="V618">
        <f t="shared" si="27"/>
        <v>0</v>
      </c>
      <c r="W618">
        <f t="shared" si="28"/>
        <v>0</v>
      </c>
      <c r="X618" t="str">
        <f t="shared" si="29"/>
        <v>MATCH</v>
      </c>
    </row>
    <row r="619" spans="1:24" x14ac:dyDescent="0.3">
      <c r="A619">
        <v>53</v>
      </c>
      <c r="B619" t="s">
        <v>18</v>
      </c>
      <c r="C619">
        <v>6215.44</v>
      </c>
      <c r="D619" t="s">
        <v>1246</v>
      </c>
      <c r="E619">
        <v>6215.44</v>
      </c>
      <c r="F619">
        <v>0</v>
      </c>
      <c r="G619" t="s">
        <v>1247</v>
      </c>
      <c r="H619">
        <v>191197.42</v>
      </c>
      <c r="I619">
        <v>197412.85</v>
      </c>
      <c r="J619">
        <v>1</v>
      </c>
      <c r="K619">
        <v>0</v>
      </c>
      <c r="L619">
        <v>5</v>
      </c>
      <c r="M619">
        <v>0</v>
      </c>
      <c r="N619">
        <v>1</v>
      </c>
      <c r="O619">
        <v>6215.44</v>
      </c>
      <c r="P619">
        <v>1</v>
      </c>
      <c r="Q619">
        <v>4</v>
      </c>
      <c r="R619">
        <v>1.8</v>
      </c>
      <c r="S619" t="s">
        <v>2311</v>
      </c>
      <c r="V619">
        <f t="shared" si="27"/>
        <v>0</v>
      </c>
      <c r="W619">
        <f t="shared" si="28"/>
        <v>0</v>
      </c>
      <c r="X619" t="str">
        <f t="shared" si="29"/>
        <v>MATCH</v>
      </c>
    </row>
    <row r="620" spans="1:24" x14ac:dyDescent="0.3">
      <c r="A620">
        <v>53</v>
      </c>
      <c r="B620" t="s">
        <v>15</v>
      </c>
      <c r="C620">
        <v>3640271.29</v>
      </c>
      <c r="D620" t="s">
        <v>1248</v>
      </c>
      <c r="E620">
        <v>3640271.29</v>
      </c>
      <c r="F620">
        <v>0</v>
      </c>
      <c r="G620" t="s">
        <v>1249</v>
      </c>
      <c r="H620">
        <v>0</v>
      </c>
      <c r="I620">
        <v>0</v>
      </c>
      <c r="J620">
        <v>1</v>
      </c>
      <c r="K620">
        <v>0</v>
      </c>
      <c r="L620">
        <v>5</v>
      </c>
      <c r="M620">
        <v>0</v>
      </c>
      <c r="N620">
        <v>1</v>
      </c>
      <c r="O620">
        <v>3640271.29</v>
      </c>
      <c r="P620">
        <v>5</v>
      </c>
      <c r="Q620">
        <v>5</v>
      </c>
      <c r="R620">
        <v>4.0999999999999996</v>
      </c>
      <c r="S620" t="s">
        <v>2310</v>
      </c>
      <c r="V620">
        <f t="shared" si="27"/>
        <v>0</v>
      </c>
      <c r="W620">
        <f t="shared" si="28"/>
        <v>0</v>
      </c>
      <c r="X620" t="str">
        <f t="shared" si="29"/>
        <v>MATCH</v>
      </c>
    </row>
    <row r="621" spans="1:24" x14ac:dyDescent="0.3">
      <c r="A621">
        <v>53</v>
      </c>
      <c r="B621" t="s">
        <v>18</v>
      </c>
      <c r="C621">
        <v>3640271.29</v>
      </c>
      <c r="D621" t="s">
        <v>1250</v>
      </c>
      <c r="E621">
        <v>3640271.29</v>
      </c>
      <c r="F621">
        <v>0</v>
      </c>
      <c r="G621" t="s">
        <v>1251</v>
      </c>
      <c r="H621">
        <v>6525.95</v>
      </c>
      <c r="I621">
        <v>3646797.25</v>
      </c>
      <c r="J621">
        <v>1</v>
      </c>
      <c r="K621">
        <v>0</v>
      </c>
      <c r="L621">
        <v>5</v>
      </c>
      <c r="M621">
        <v>0</v>
      </c>
      <c r="N621">
        <v>1</v>
      </c>
      <c r="O621">
        <v>3640271.29</v>
      </c>
      <c r="P621">
        <v>5</v>
      </c>
      <c r="Q621">
        <v>4</v>
      </c>
      <c r="R621">
        <v>3.8000000000000003</v>
      </c>
      <c r="S621" t="s">
        <v>2310</v>
      </c>
      <c r="V621">
        <f t="shared" si="27"/>
        <v>0</v>
      </c>
      <c r="W621">
        <f t="shared" si="28"/>
        <v>0</v>
      </c>
      <c r="X621" t="str">
        <f t="shared" si="29"/>
        <v>MATCH</v>
      </c>
    </row>
    <row r="622" spans="1:24" x14ac:dyDescent="0.3">
      <c r="A622">
        <v>53</v>
      </c>
      <c r="B622" t="s">
        <v>15</v>
      </c>
      <c r="C622">
        <v>931684.75</v>
      </c>
      <c r="D622" t="s">
        <v>1252</v>
      </c>
      <c r="E622">
        <v>931684.75</v>
      </c>
      <c r="F622">
        <v>0</v>
      </c>
      <c r="G622" t="s">
        <v>1253</v>
      </c>
      <c r="H622">
        <v>0</v>
      </c>
      <c r="I622">
        <v>0</v>
      </c>
      <c r="J622">
        <v>1</v>
      </c>
      <c r="K622">
        <v>0</v>
      </c>
      <c r="L622">
        <v>5</v>
      </c>
      <c r="M622">
        <v>0</v>
      </c>
      <c r="N622">
        <v>1</v>
      </c>
      <c r="O622">
        <v>931684.75</v>
      </c>
      <c r="P622">
        <v>5</v>
      </c>
      <c r="Q622">
        <v>5</v>
      </c>
      <c r="R622">
        <v>4.0999999999999996</v>
      </c>
      <c r="S622" t="s">
        <v>2310</v>
      </c>
      <c r="V622">
        <f t="shared" si="27"/>
        <v>0</v>
      </c>
      <c r="W622">
        <f t="shared" si="28"/>
        <v>0</v>
      </c>
      <c r="X622" t="str">
        <f t="shared" si="29"/>
        <v>MATCH</v>
      </c>
    </row>
    <row r="623" spans="1:24" x14ac:dyDescent="0.3">
      <c r="A623">
        <v>53</v>
      </c>
      <c r="B623" t="s">
        <v>18</v>
      </c>
      <c r="C623">
        <v>931684.75</v>
      </c>
      <c r="D623" t="s">
        <v>1254</v>
      </c>
      <c r="E623">
        <v>931684.75</v>
      </c>
      <c r="F623">
        <v>0</v>
      </c>
      <c r="G623" t="s">
        <v>1255</v>
      </c>
      <c r="H623">
        <v>3608144.66</v>
      </c>
      <c r="I623">
        <v>4539829.41</v>
      </c>
      <c r="J623">
        <v>1</v>
      </c>
      <c r="K623">
        <v>0</v>
      </c>
      <c r="L623">
        <v>5</v>
      </c>
      <c r="M623">
        <v>0</v>
      </c>
      <c r="N623">
        <v>1</v>
      </c>
      <c r="O623">
        <v>931684.75</v>
      </c>
      <c r="P623">
        <v>5</v>
      </c>
      <c r="Q623">
        <v>4</v>
      </c>
      <c r="R623">
        <v>3.8000000000000003</v>
      </c>
      <c r="S623" t="s">
        <v>2310</v>
      </c>
      <c r="V623">
        <f t="shared" si="27"/>
        <v>0</v>
      </c>
      <c r="W623">
        <f t="shared" si="28"/>
        <v>0</v>
      </c>
      <c r="X623" t="str">
        <f t="shared" si="29"/>
        <v>MATCH</v>
      </c>
    </row>
    <row r="624" spans="1:24" x14ac:dyDescent="0.3">
      <c r="A624">
        <v>54</v>
      </c>
      <c r="B624" t="s">
        <v>15</v>
      </c>
      <c r="C624">
        <v>1350574.58</v>
      </c>
      <c r="D624" t="s">
        <v>1256</v>
      </c>
      <c r="E624">
        <v>1350574.58</v>
      </c>
      <c r="F624">
        <v>0</v>
      </c>
      <c r="G624" t="s">
        <v>1257</v>
      </c>
      <c r="H624">
        <v>0</v>
      </c>
      <c r="I624">
        <v>0</v>
      </c>
      <c r="J624">
        <v>1</v>
      </c>
      <c r="K624">
        <v>0</v>
      </c>
      <c r="L624">
        <v>6</v>
      </c>
      <c r="M624">
        <v>0</v>
      </c>
      <c r="N624">
        <v>1</v>
      </c>
      <c r="O624">
        <v>1350574.58</v>
      </c>
      <c r="P624">
        <v>5</v>
      </c>
      <c r="Q624">
        <v>5</v>
      </c>
      <c r="R624">
        <v>4.0999999999999996</v>
      </c>
      <c r="S624" t="s">
        <v>2310</v>
      </c>
      <c r="V624">
        <f t="shared" si="27"/>
        <v>0</v>
      </c>
      <c r="W624">
        <f t="shared" si="28"/>
        <v>0</v>
      </c>
      <c r="X624" t="str">
        <f t="shared" si="29"/>
        <v>MATCH</v>
      </c>
    </row>
    <row r="625" spans="1:24" x14ac:dyDescent="0.3">
      <c r="A625">
        <v>54</v>
      </c>
      <c r="B625" t="s">
        <v>18</v>
      </c>
      <c r="C625">
        <v>1350574.58</v>
      </c>
      <c r="D625" t="s">
        <v>1258</v>
      </c>
      <c r="E625">
        <v>1350574.58</v>
      </c>
      <c r="F625">
        <v>0</v>
      </c>
      <c r="G625" t="s">
        <v>1259</v>
      </c>
      <c r="H625">
        <v>2925591.98</v>
      </c>
      <c r="I625">
        <v>4276166.57</v>
      </c>
      <c r="J625">
        <v>1</v>
      </c>
      <c r="K625">
        <v>0</v>
      </c>
      <c r="L625">
        <v>6</v>
      </c>
      <c r="M625">
        <v>0</v>
      </c>
      <c r="N625">
        <v>1</v>
      </c>
      <c r="O625">
        <v>1350574.58</v>
      </c>
      <c r="P625">
        <v>5</v>
      </c>
      <c r="Q625">
        <v>4</v>
      </c>
      <c r="R625">
        <v>3.8000000000000003</v>
      </c>
      <c r="S625" t="s">
        <v>2310</v>
      </c>
      <c r="V625">
        <f t="shared" si="27"/>
        <v>0</v>
      </c>
      <c r="W625">
        <f t="shared" si="28"/>
        <v>0</v>
      </c>
      <c r="X625" t="str">
        <f t="shared" si="29"/>
        <v>MATCH</v>
      </c>
    </row>
    <row r="626" spans="1:24" x14ac:dyDescent="0.3">
      <c r="A626">
        <v>54</v>
      </c>
      <c r="B626" t="s">
        <v>15</v>
      </c>
      <c r="C626">
        <v>438224.6</v>
      </c>
      <c r="D626" t="s">
        <v>1260</v>
      </c>
      <c r="E626">
        <v>438224.6</v>
      </c>
      <c r="F626">
        <v>0</v>
      </c>
      <c r="G626" t="s">
        <v>1261</v>
      </c>
      <c r="H626">
        <v>0</v>
      </c>
      <c r="I626">
        <v>0</v>
      </c>
      <c r="J626">
        <v>1</v>
      </c>
      <c r="K626">
        <v>0</v>
      </c>
      <c r="L626">
        <v>6</v>
      </c>
      <c r="M626">
        <v>0</v>
      </c>
      <c r="N626">
        <v>1</v>
      </c>
      <c r="O626">
        <v>438224.6</v>
      </c>
      <c r="P626">
        <v>5</v>
      </c>
      <c r="Q626">
        <v>5</v>
      </c>
      <c r="R626">
        <v>4.0999999999999996</v>
      </c>
      <c r="S626" t="s">
        <v>2310</v>
      </c>
      <c r="V626">
        <f t="shared" si="27"/>
        <v>0</v>
      </c>
      <c r="W626">
        <f t="shared" si="28"/>
        <v>0</v>
      </c>
      <c r="X626" t="str">
        <f t="shared" si="29"/>
        <v>MATCH</v>
      </c>
    </row>
    <row r="627" spans="1:24" x14ac:dyDescent="0.3">
      <c r="A627">
        <v>54</v>
      </c>
      <c r="B627" t="s">
        <v>18</v>
      </c>
      <c r="C627">
        <v>438224.6</v>
      </c>
      <c r="D627" t="s">
        <v>1262</v>
      </c>
      <c r="E627">
        <v>438224.6</v>
      </c>
      <c r="F627">
        <v>0</v>
      </c>
      <c r="G627" t="s">
        <v>1263</v>
      </c>
      <c r="H627">
        <v>320697.46000000002</v>
      </c>
      <c r="I627">
        <v>758922.05</v>
      </c>
      <c r="J627">
        <v>1</v>
      </c>
      <c r="K627">
        <v>0</v>
      </c>
      <c r="L627">
        <v>6</v>
      </c>
      <c r="M627">
        <v>0</v>
      </c>
      <c r="N627">
        <v>1</v>
      </c>
      <c r="O627">
        <v>438224.6</v>
      </c>
      <c r="P627">
        <v>5</v>
      </c>
      <c r="Q627">
        <v>4</v>
      </c>
      <c r="R627">
        <v>3.8000000000000003</v>
      </c>
      <c r="S627" t="s">
        <v>2310</v>
      </c>
      <c r="V627">
        <f t="shared" si="27"/>
        <v>0</v>
      </c>
      <c r="W627">
        <f t="shared" si="28"/>
        <v>0</v>
      </c>
      <c r="X627" t="str">
        <f t="shared" si="29"/>
        <v>MATCH</v>
      </c>
    </row>
    <row r="628" spans="1:24" x14ac:dyDescent="0.3">
      <c r="A628">
        <v>55</v>
      </c>
      <c r="B628" t="s">
        <v>15</v>
      </c>
      <c r="C628">
        <v>760625.76</v>
      </c>
      <c r="D628" t="s">
        <v>1264</v>
      </c>
      <c r="E628">
        <v>760625.76</v>
      </c>
      <c r="F628">
        <v>0</v>
      </c>
      <c r="G628" t="s">
        <v>1265</v>
      </c>
      <c r="H628">
        <v>0</v>
      </c>
      <c r="I628">
        <v>0</v>
      </c>
      <c r="J628">
        <v>1</v>
      </c>
      <c r="K628">
        <v>0</v>
      </c>
      <c r="L628">
        <v>7</v>
      </c>
      <c r="M628">
        <v>0</v>
      </c>
      <c r="N628">
        <v>1</v>
      </c>
      <c r="O628">
        <v>760625.76</v>
      </c>
      <c r="P628">
        <v>5</v>
      </c>
      <c r="Q628">
        <v>5</v>
      </c>
      <c r="R628">
        <v>4.0999999999999996</v>
      </c>
      <c r="S628" t="s">
        <v>2310</v>
      </c>
      <c r="V628">
        <f t="shared" si="27"/>
        <v>0</v>
      </c>
      <c r="W628">
        <f t="shared" si="28"/>
        <v>0</v>
      </c>
      <c r="X628" t="str">
        <f t="shared" si="29"/>
        <v>MATCH</v>
      </c>
    </row>
    <row r="629" spans="1:24" x14ac:dyDescent="0.3">
      <c r="A629">
        <v>55</v>
      </c>
      <c r="B629" t="s">
        <v>18</v>
      </c>
      <c r="C629">
        <v>760625.76</v>
      </c>
      <c r="D629" t="s">
        <v>1266</v>
      </c>
      <c r="E629">
        <v>760625.76</v>
      </c>
      <c r="F629">
        <v>0</v>
      </c>
      <c r="G629" t="s">
        <v>1267</v>
      </c>
      <c r="H629">
        <v>128272.02</v>
      </c>
      <c r="I629">
        <v>888897.78</v>
      </c>
      <c r="J629">
        <v>1</v>
      </c>
      <c r="K629">
        <v>0</v>
      </c>
      <c r="L629">
        <v>7</v>
      </c>
      <c r="M629">
        <v>0</v>
      </c>
      <c r="N629">
        <v>1</v>
      </c>
      <c r="O629">
        <v>760625.76</v>
      </c>
      <c r="P629">
        <v>5</v>
      </c>
      <c r="Q629">
        <v>4</v>
      </c>
      <c r="R629">
        <v>3.8000000000000003</v>
      </c>
      <c r="S629" t="s">
        <v>2310</v>
      </c>
      <c r="V629">
        <f t="shared" si="27"/>
        <v>0</v>
      </c>
      <c r="W629">
        <f t="shared" si="28"/>
        <v>0</v>
      </c>
      <c r="X629" t="str">
        <f t="shared" si="29"/>
        <v>MATCH</v>
      </c>
    </row>
    <row r="630" spans="1:24" x14ac:dyDescent="0.3">
      <c r="A630">
        <v>55</v>
      </c>
      <c r="B630" t="s">
        <v>15</v>
      </c>
      <c r="C630">
        <v>309254.05</v>
      </c>
      <c r="D630" t="s">
        <v>1268</v>
      </c>
      <c r="E630">
        <v>309254.05</v>
      </c>
      <c r="F630">
        <v>0</v>
      </c>
      <c r="G630" t="s">
        <v>1269</v>
      </c>
      <c r="H630">
        <v>0</v>
      </c>
      <c r="I630">
        <v>0</v>
      </c>
      <c r="J630">
        <v>1</v>
      </c>
      <c r="K630">
        <v>0</v>
      </c>
      <c r="L630">
        <v>7</v>
      </c>
      <c r="M630">
        <v>0</v>
      </c>
      <c r="N630">
        <v>1</v>
      </c>
      <c r="O630">
        <v>309254.05</v>
      </c>
      <c r="P630">
        <v>5</v>
      </c>
      <c r="Q630">
        <v>5</v>
      </c>
      <c r="R630">
        <v>4.0999999999999996</v>
      </c>
      <c r="S630" t="s">
        <v>2310</v>
      </c>
      <c r="V630">
        <f t="shared" si="27"/>
        <v>0</v>
      </c>
      <c r="W630">
        <f t="shared" si="28"/>
        <v>0</v>
      </c>
      <c r="X630" t="str">
        <f t="shared" si="29"/>
        <v>MATCH</v>
      </c>
    </row>
    <row r="631" spans="1:24" x14ac:dyDescent="0.3">
      <c r="A631">
        <v>55</v>
      </c>
      <c r="B631" t="s">
        <v>18</v>
      </c>
      <c r="C631">
        <v>309254.05</v>
      </c>
      <c r="D631" t="s">
        <v>1270</v>
      </c>
      <c r="E631">
        <v>309254.05</v>
      </c>
      <c r="F631">
        <v>0</v>
      </c>
      <c r="G631" t="s">
        <v>1271</v>
      </c>
      <c r="H631">
        <v>218535.44</v>
      </c>
      <c r="I631">
        <v>527789.5</v>
      </c>
      <c r="J631">
        <v>1</v>
      </c>
      <c r="K631">
        <v>0</v>
      </c>
      <c r="L631">
        <v>7</v>
      </c>
      <c r="M631">
        <v>0</v>
      </c>
      <c r="N631">
        <v>1</v>
      </c>
      <c r="O631">
        <v>309254.05</v>
      </c>
      <c r="P631">
        <v>5</v>
      </c>
      <c r="Q631">
        <v>4</v>
      </c>
      <c r="R631">
        <v>3.8000000000000003</v>
      </c>
      <c r="S631" t="s">
        <v>2310</v>
      </c>
      <c r="V631">
        <f t="shared" si="27"/>
        <v>0</v>
      </c>
      <c r="W631">
        <f t="shared" si="28"/>
        <v>0</v>
      </c>
      <c r="X631" t="str">
        <f t="shared" si="29"/>
        <v>MATCH</v>
      </c>
    </row>
    <row r="632" spans="1:24" x14ac:dyDescent="0.3">
      <c r="A632">
        <v>55</v>
      </c>
      <c r="B632" t="s">
        <v>15</v>
      </c>
      <c r="C632">
        <v>283400.42</v>
      </c>
      <c r="D632" t="s">
        <v>1272</v>
      </c>
      <c r="E632">
        <v>283400.42</v>
      </c>
      <c r="F632">
        <v>0</v>
      </c>
      <c r="G632" t="s">
        <v>1273</v>
      </c>
      <c r="H632">
        <v>0</v>
      </c>
      <c r="I632">
        <v>0</v>
      </c>
      <c r="J632">
        <v>1</v>
      </c>
      <c r="K632">
        <v>0</v>
      </c>
      <c r="L632">
        <v>7</v>
      </c>
      <c r="M632">
        <v>0</v>
      </c>
      <c r="N632">
        <v>1</v>
      </c>
      <c r="O632">
        <v>283400.42</v>
      </c>
      <c r="P632">
        <v>5</v>
      </c>
      <c r="Q632">
        <v>5</v>
      </c>
      <c r="R632">
        <v>4.0999999999999996</v>
      </c>
      <c r="S632" t="s">
        <v>2310</v>
      </c>
      <c r="V632">
        <f t="shared" si="27"/>
        <v>0</v>
      </c>
      <c r="W632">
        <f t="shared" si="28"/>
        <v>0</v>
      </c>
      <c r="X632" t="str">
        <f t="shared" si="29"/>
        <v>MATCH</v>
      </c>
    </row>
    <row r="633" spans="1:24" x14ac:dyDescent="0.3">
      <c r="A633">
        <v>55</v>
      </c>
      <c r="B633" t="s">
        <v>18</v>
      </c>
      <c r="C633">
        <v>283400.42</v>
      </c>
      <c r="D633" t="s">
        <v>1274</v>
      </c>
      <c r="E633">
        <v>283400.42</v>
      </c>
      <c r="F633">
        <v>0</v>
      </c>
      <c r="G633" t="s">
        <v>1275</v>
      </c>
      <c r="H633">
        <v>2662439.92</v>
      </c>
      <c r="I633">
        <v>2945840.34</v>
      </c>
      <c r="J633">
        <v>1</v>
      </c>
      <c r="K633">
        <v>0</v>
      </c>
      <c r="L633">
        <v>7</v>
      </c>
      <c r="M633">
        <v>0</v>
      </c>
      <c r="N633">
        <v>1</v>
      </c>
      <c r="O633">
        <v>283400.42</v>
      </c>
      <c r="P633">
        <v>5</v>
      </c>
      <c r="Q633">
        <v>4</v>
      </c>
      <c r="R633">
        <v>3.8000000000000003</v>
      </c>
      <c r="S633" t="s">
        <v>2310</v>
      </c>
      <c r="V633">
        <f t="shared" si="27"/>
        <v>0</v>
      </c>
      <c r="W633">
        <f t="shared" si="28"/>
        <v>0</v>
      </c>
      <c r="X633" t="str">
        <f t="shared" si="29"/>
        <v>MATCH</v>
      </c>
    </row>
    <row r="634" spans="1:24" x14ac:dyDescent="0.3">
      <c r="A634">
        <v>55</v>
      </c>
      <c r="B634" t="s">
        <v>15</v>
      </c>
      <c r="C634">
        <v>109028.8</v>
      </c>
      <c r="D634" t="s">
        <v>1276</v>
      </c>
      <c r="E634">
        <v>109028.8</v>
      </c>
      <c r="F634">
        <v>0</v>
      </c>
      <c r="G634" t="s">
        <v>1277</v>
      </c>
      <c r="H634">
        <v>0</v>
      </c>
      <c r="I634">
        <v>0</v>
      </c>
      <c r="J634">
        <v>1</v>
      </c>
      <c r="K634">
        <v>0</v>
      </c>
      <c r="L634">
        <v>7</v>
      </c>
      <c r="M634">
        <v>0</v>
      </c>
      <c r="N634">
        <v>1</v>
      </c>
      <c r="O634">
        <v>109028.8</v>
      </c>
      <c r="P634">
        <v>4</v>
      </c>
      <c r="Q634">
        <v>5</v>
      </c>
      <c r="R634">
        <v>3.6</v>
      </c>
      <c r="S634" t="s">
        <v>2310</v>
      </c>
      <c r="V634">
        <f t="shared" si="27"/>
        <v>0</v>
      </c>
      <c r="W634">
        <f t="shared" si="28"/>
        <v>0</v>
      </c>
      <c r="X634" t="str">
        <f t="shared" si="29"/>
        <v>MATCH</v>
      </c>
    </row>
    <row r="635" spans="1:24" x14ac:dyDescent="0.3">
      <c r="A635">
        <v>55</v>
      </c>
      <c r="B635" t="s">
        <v>18</v>
      </c>
      <c r="C635">
        <v>109028.8</v>
      </c>
      <c r="D635" t="s">
        <v>1278</v>
      </c>
      <c r="E635">
        <v>109028.8</v>
      </c>
      <c r="F635">
        <v>0</v>
      </c>
      <c r="G635" t="s">
        <v>1279</v>
      </c>
      <c r="H635">
        <v>674110.57</v>
      </c>
      <c r="I635">
        <v>783139.37</v>
      </c>
      <c r="J635">
        <v>1</v>
      </c>
      <c r="K635">
        <v>0</v>
      </c>
      <c r="L635">
        <v>7</v>
      </c>
      <c r="M635">
        <v>0</v>
      </c>
      <c r="N635">
        <v>1</v>
      </c>
      <c r="O635">
        <v>109028.8</v>
      </c>
      <c r="P635">
        <v>4</v>
      </c>
      <c r="Q635">
        <v>4</v>
      </c>
      <c r="R635">
        <v>3.3000000000000003</v>
      </c>
      <c r="S635" t="s">
        <v>2310</v>
      </c>
      <c r="V635">
        <f t="shared" si="27"/>
        <v>0</v>
      </c>
      <c r="W635">
        <f t="shared" si="28"/>
        <v>0</v>
      </c>
      <c r="X635" t="str">
        <f t="shared" si="29"/>
        <v>MATCH</v>
      </c>
    </row>
    <row r="636" spans="1:24" x14ac:dyDescent="0.3">
      <c r="A636">
        <v>55</v>
      </c>
      <c r="B636" t="s">
        <v>15</v>
      </c>
      <c r="C636">
        <v>854550.85</v>
      </c>
      <c r="D636" t="s">
        <v>1280</v>
      </c>
      <c r="E636">
        <v>854550.85</v>
      </c>
      <c r="F636">
        <v>0</v>
      </c>
      <c r="G636" t="s">
        <v>1281</v>
      </c>
      <c r="H636">
        <v>0</v>
      </c>
      <c r="I636">
        <v>0</v>
      </c>
      <c r="J636">
        <v>1</v>
      </c>
      <c r="K636">
        <v>0</v>
      </c>
      <c r="L636">
        <v>7</v>
      </c>
      <c r="M636">
        <v>0</v>
      </c>
      <c r="N636">
        <v>1</v>
      </c>
      <c r="O636">
        <v>854550.85</v>
      </c>
      <c r="P636">
        <v>5</v>
      </c>
      <c r="Q636">
        <v>5</v>
      </c>
      <c r="R636">
        <v>4.0999999999999996</v>
      </c>
      <c r="S636" t="s">
        <v>2310</v>
      </c>
      <c r="V636">
        <f t="shared" si="27"/>
        <v>0</v>
      </c>
      <c r="W636">
        <f t="shared" si="28"/>
        <v>0</v>
      </c>
      <c r="X636" t="str">
        <f t="shared" si="29"/>
        <v>MATCH</v>
      </c>
    </row>
    <row r="637" spans="1:24" x14ac:dyDescent="0.3">
      <c r="A637">
        <v>55</v>
      </c>
      <c r="B637" t="s">
        <v>18</v>
      </c>
      <c r="C637">
        <v>854550.85</v>
      </c>
      <c r="D637" t="s">
        <v>1282</v>
      </c>
      <c r="E637">
        <v>854550.85</v>
      </c>
      <c r="F637">
        <v>0</v>
      </c>
      <c r="G637" t="s">
        <v>1283</v>
      </c>
      <c r="H637">
        <v>186808.48</v>
      </c>
      <c r="I637">
        <v>1041359.33</v>
      </c>
      <c r="J637">
        <v>1</v>
      </c>
      <c r="K637">
        <v>0</v>
      </c>
      <c r="L637">
        <v>7</v>
      </c>
      <c r="M637">
        <v>0</v>
      </c>
      <c r="N637">
        <v>1</v>
      </c>
      <c r="O637">
        <v>854550.85</v>
      </c>
      <c r="P637">
        <v>5</v>
      </c>
      <c r="Q637">
        <v>4</v>
      </c>
      <c r="R637">
        <v>3.8000000000000003</v>
      </c>
      <c r="S637" t="s">
        <v>2310</v>
      </c>
      <c r="V637">
        <f t="shared" si="27"/>
        <v>0</v>
      </c>
      <c r="W637">
        <f t="shared" si="28"/>
        <v>0</v>
      </c>
      <c r="X637" t="str">
        <f t="shared" si="29"/>
        <v>MATCH</v>
      </c>
    </row>
    <row r="638" spans="1:24" x14ac:dyDescent="0.3">
      <c r="A638">
        <v>55</v>
      </c>
      <c r="B638" t="s">
        <v>15</v>
      </c>
      <c r="C638">
        <v>167715.53</v>
      </c>
      <c r="D638" t="s">
        <v>1284</v>
      </c>
      <c r="E638">
        <v>167715.53</v>
      </c>
      <c r="F638">
        <v>0</v>
      </c>
      <c r="G638" t="s">
        <v>1285</v>
      </c>
      <c r="H638">
        <v>0</v>
      </c>
      <c r="I638">
        <v>0</v>
      </c>
      <c r="J638">
        <v>1</v>
      </c>
      <c r="K638">
        <v>0</v>
      </c>
      <c r="L638">
        <v>7</v>
      </c>
      <c r="M638">
        <v>0</v>
      </c>
      <c r="N638">
        <v>1</v>
      </c>
      <c r="O638">
        <v>167715.53</v>
      </c>
      <c r="P638">
        <v>4</v>
      </c>
      <c r="Q638">
        <v>5</v>
      </c>
      <c r="R638">
        <v>3.6</v>
      </c>
      <c r="S638" t="s">
        <v>2310</v>
      </c>
      <c r="V638">
        <f t="shared" si="27"/>
        <v>0</v>
      </c>
      <c r="W638">
        <f t="shared" si="28"/>
        <v>0</v>
      </c>
      <c r="X638" t="str">
        <f t="shared" si="29"/>
        <v>MATCH</v>
      </c>
    </row>
    <row r="639" spans="1:24" x14ac:dyDescent="0.3">
      <c r="A639">
        <v>55</v>
      </c>
      <c r="B639" t="s">
        <v>18</v>
      </c>
      <c r="C639">
        <v>167715.53</v>
      </c>
      <c r="D639" t="s">
        <v>1286</v>
      </c>
      <c r="E639">
        <v>167715.53</v>
      </c>
      <c r="F639">
        <v>0</v>
      </c>
      <c r="G639" t="s">
        <v>1287</v>
      </c>
      <c r="H639">
        <v>492360.21</v>
      </c>
      <c r="I639">
        <v>660075.73</v>
      </c>
      <c r="J639">
        <v>1</v>
      </c>
      <c r="K639">
        <v>0</v>
      </c>
      <c r="L639">
        <v>7</v>
      </c>
      <c r="M639">
        <v>0</v>
      </c>
      <c r="N639">
        <v>1</v>
      </c>
      <c r="O639">
        <v>167715.53</v>
      </c>
      <c r="P639">
        <v>4</v>
      </c>
      <c r="Q639">
        <v>4</v>
      </c>
      <c r="R639">
        <v>3.3000000000000003</v>
      </c>
      <c r="S639" t="s">
        <v>2310</v>
      </c>
      <c r="V639">
        <f t="shared" si="27"/>
        <v>0</v>
      </c>
      <c r="W639">
        <f t="shared" si="28"/>
        <v>0</v>
      </c>
      <c r="X639" t="str">
        <f t="shared" si="29"/>
        <v>MATCH</v>
      </c>
    </row>
    <row r="640" spans="1:24" x14ac:dyDescent="0.3">
      <c r="A640">
        <v>56</v>
      </c>
      <c r="B640" t="s">
        <v>15</v>
      </c>
      <c r="C640">
        <v>1932200.59</v>
      </c>
      <c r="D640" t="s">
        <v>1288</v>
      </c>
      <c r="E640">
        <v>1932200.59</v>
      </c>
      <c r="F640">
        <v>0</v>
      </c>
      <c r="G640" t="s">
        <v>1289</v>
      </c>
      <c r="H640">
        <v>0</v>
      </c>
      <c r="I640">
        <v>0</v>
      </c>
      <c r="J640">
        <v>1</v>
      </c>
      <c r="K640">
        <v>0</v>
      </c>
      <c r="L640">
        <v>8</v>
      </c>
      <c r="M640">
        <v>0</v>
      </c>
      <c r="N640">
        <v>1</v>
      </c>
      <c r="O640">
        <v>1932200.59</v>
      </c>
      <c r="P640">
        <v>5</v>
      </c>
      <c r="Q640">
        <v>5</v>
      </c>
      <c r="R640">
        <v>4.0999999999999996</v>
      </c>
      <c r="S640" t="s">
        <v>2310</v>
      </c>
      <c r="V640">
        <f t="shared" si="27"/>
        <v>0</v>
      </c>
      <c r="W640">
        <f t="shared" si="28"/>
        <v>0</v>
      </c>
      <c r="X640" t="str">
        <f t="shared" si="29"/>
        <v>MATCH</v>
      </c>
    </row>
    <row r="641" spans="1:24" x14ac:dyDescent="0.3">
      <c r="A641">
        <v>56</v>
      </c>
      <c r="B641" t="s">
        <v>18</v>
      </c>
      <c r="C641">
        <v>1932200.59</v>
      </c>
      <c r="D641" t="s">
        <v>1290</v>
      </c>
      <c r="E641">
        <v>1932200.59</v>
      </c>
      <c r="F641">
        <v>0</v>
      </c>
      <c r="G641" t="s">
        <v>1291</v>
      </c>
      <c r="H641">
        <v>0</v>
      </c>
      <c r="I641">
        <v>1932200.59</v>
      </c>
      <c r="J641">
        <v>1</v>
      </c>
      <c r="K641">
        <v>0</v>
      </c>
      <c r="L641">
        <v>8</v>
      </c>
      <c r="M641">
        <v>0</v>
      </c>
      <c r="N641">
        <v>1</v>
      </c>
      <c r="O641">
        <v>1932200.59</v>
      </c>
      <c r="P641">
        <v>5</v>
      </c>
      <c r="Q641">
        <v>4</v>
      </c>
      <c r="R641">
        <v>3.8000000000000003</v>
      </c>
      <c r="S641" t="s">
        <v>2310</v>
      </c>
      <c r="V641">
        <f t="shared" si="27"/>
        <v>0</v>
      </c>
      <c r="W641">
        <f t="shared" si="28"/>
        <v>0</v>
      </c>
      <c r="X641" t="str">
        <f t="shared" si="29"/>
        <v>MATCH</v>
      </c>
    </row>
    <row r="642" spans="1:24" x14ac:dyDescent="0.3">
      <c r="A642">
        <v>56</v>
      </c>
      <c r="B642" t="s">
        <v>15</v>
      </c>
      <c r="C642">
        <v>829885.13</v>
      </c>
      <c r="D642" t="s">
        <v>1292</v>
      </c>
      <c r="E642">
        <v>829885.13</v>
      </c>
      <c r="F642">
        <v>0</v>
      </c>
      <c r="G642" t="s">
        <v>1293</v>
      </c>
      <c r="H642">
        <v>0</v>
      </c>
      <c r="I642">
        <v>0</v>
      </c>
      <c r="J642">
        <v>1</v>
      </c>
      <c r="K642">
        <v>0</v>
      </c>
      <c r="L642">
        <v>8</v>
      </c>
      <c r="M642">
        <v>0</v>
      </c>
      <c r="N642">
        <v>1</v>
      </c>
      <c r="O642">
        <v>829885.13</v>
      </c>
      <c r="P642">
        <v>5</v>
      </c>
      <c r="Q642">
        <v>5</v>
      </c>
      <c r="R642">
        <v>4.0999999999999996</v>
      </c>
      <c r="S642" t="s">
        <v>2310</v>
      </c>
      <c r="V642">
        <f t="shared" si="27"/>
        <v>0</v>
      </c>
      <c r="W642">
        <f t="shared" si="28"/>
        <v>0</v>
      </c>
      <c r="X642" t="str">
        <f t="shared" si="29"/>
        <v>MATCH</v>
      </c>
    </row>
    <row r="643" spans="1:24" x14ac:dyDescent="0.3">
      <c r="A643">
        <v>56</v>
      </c>
      <c r="B643" t="s">
        <v>18</v>
      </c>
      <c r="C643">
        <v>829885.13</v>
      </c>
      <c r="D643" t="s">
        <v>1294</v>
      </c>
      <c r="E643">
        <v>829885.13</v>
      </c>
      <c r="F643">
        <v>0</v>
      </c>
      <c r="G643" t="s">
        <v>1295</v>
      </c>
      <c r="H643">
        <v>13300000</v>
      </c>
      <c r="I643">
        <v>14100000</v>
      </c>
      <c r="J643">
        <v>1</v>
      </c>
      <c r="K643">
        <v>0</v>
      </c>
      <c r="L643">
        <v>8</v>
      </c>
      <c r="M643">
        <v>0</v>
      </c>
      <c r="N643">
        <v>1</v>
      </c>
      <c r="O643">
        <v>829885.13</v>
      </c>
      <c r="P643">
        <v>5</v>
      </c>
      <c r="Q643">
        <v>4</v>
      </c>
      <c r="R643">
        <v>3.8000000000000003</v>
      </c>
      <c r="S643" t="s">
        <v>2310</v>
      </c>
      <c r="V643">
        <f t="shared" ref="V643:V706" si="30">E643-C643</f>
        <v>0</v>
      </c>
      <c r="W643">
        <f t="shared" ref="W643:W706" si="31">ABS(F643-V643)</f>
        <v>0</v>
      </c>
      <c r="X643" t="str">
        <f t="shared" ref="X643:X706" si="32">IF(W643&lt;1,"MATCH","BREAK")</f>
        <v>MATCH</v>
      </c>
    </row>
    <row r="644" spans="1:24" x14ac:dyDescent="0.3">
      <c r="A644">
        <v>56</v>
      </c>
      <c r="B644" t="s">
        <v>15</v>
      </c>
      <c r="C644">
        <v>42789.93</v>
      </c>
      <c r="D644" t="s">
        <v>1296</v>
      </c>
      <c r="E644">
        <v>42789.93</v>
      </c>
      <c r="F644">
        <v>0</v>
      </c>
      <c r="G644" t="s">
        <v>1297</v>
      </c>
      <c r="H644">
        <v>0</v>
      </c>
      <c r="I644">
        <v>0</v>
      </c>
      <c r="J644">
        <v>1</v>
      </c>
      <c r="K644">
        <v>0</v>
      </c>
      <c r="L644">
        <v>8</v>
      </c>
      <c r="M644">
        <v>0</v>
      </c>
      <c r="N644">
        <v>1</v>
      </c>
      <c r="O644">
        <v>42789.93</v>
      </c>
      <c r="P644">
        <v>2</v>
      </c>
      <c r="Q644">
        <v>5</v>
      </c>
      <c r="R644">
        <v>2.6</v>
      </c>
      <c r="S644" t="s">
        <v>2312</v>
      </c>
      <c r="V644">
        <f t="shared" si="30"/>
        <v>0</v>
      </c>
      <c r="W644">
        <f t="shared" si="31"/>
        <v>0</v>
      </c>
      <c r="X644" t="str">
        <f t="shared" si="32"/>
        <v>MATCH</v>
      </c>
    </row>
    <row r="645" spans="1:24" x14ac:dyDescent="0.3">
      <c r="A645">
        <v>56</v>
      </c>
      <c r="B645" t="s">
        <v>18</v>
      </c>
      <c r="C645">
        <v>42789.93</v>
      </c>
      <c r="D645" t="s">
        <v>1298</v>
      </c>
      <c r="E645">
        <v>42789.93</v>
      </c>
      <c r="F645">
        <v>0</v>
      </c>
      <c r="G645" t="s">
        <v>1299</v>
      </c>
      <c r="H645">
        <v>0</v>
      </c>
      <c r="I645">
        <v>42789.93</v>
      </c>
      <c r="J645">
        <v>1</v>
      </c>
      <c r="K645">
        <v>0</v>
      </c>
      <c r="L645">
        <v>8</v>
      </c>
      <c r="M645">
        <v>0</v>
      </c>
      <c r="N645">
        <v>1</v>
      </c>
      <c r="O645">
        <v>42789.93</v>
      </c>
      <c r="P645">
        <v>2</v>
      </c>
      <c r="Q645">
        <v>4</v>
      </c>
      <c r="R645">
        <v>2.3000000000000003</v>
      </c>
      <c r="S645" t="s">
        <v>2312</v>
      </c>
      <c r="V645">
        <f t="shared" si="30"/>
        <v>0</v>
      </c>
      <c r="W645">
        <f t="shared" si="31"/>
        <v>0</v>
      </c>
      <c r="X645" t="str">
        <f t="shared" si="32"/>
        <v>MATCH</v>
      </c>
    </row>
    <row r="646" spans="1:24" x14ac:dyDescent="0.3">
      <c r="A646">
        <v>56</v>
      </c>
      <c r="B646" t="s">
        <v>15</v>
      </c>
      <c r="C646">
        <v>136562.78</v>
      </c>
      <c r="D646" t="s">
        <v>1300</v>
      </c>
      <c r="E646">
        <v>136562.78</v>
      </c>
      <c r="F646">
        <v>0</v>
      </c>
      <c r="G646" t="s">
        <v>1301</v>
      </c>
      <c r="H646">
        <v>0</v>
      </c>
      <c r="I646">
        <v>0</v>
      </c>
      <c r="J646">
        <v>1</v>
      </c>
      <c r="K646">
        <v>0</v>
      </c>
      <c r="L646">
        <v>8</v>
      </c>
      <c r="M646">
        <v>0</v>
      </c>
      <c r="N646">
        <v>1</v>
      </c>
      <c r="O646">
        <v>136562.78</v>
      </c>
      <c r="P646">
        <v>4</v>
      </c>
      <c r="Q646">
        <v>5</v>
      </c>
      <c r="R646">
        <v>3.6</v>
      </c>
      <c r="S646" t="s">
        <v>2310</v>
      </c>
      <c r="V646">
        <f t="shared" si="30"/>
        <v>0</v>
      </c>
      <c r="W646">
        <f t="shared" si="31"/>
        <v>0</v>
      </c>
      <c r="X646" t="str">
        <f t="shared" si="32"/>
        <v>MATCH</v>
      </c>
    </row>
    <row r="647" spans="1:24" x14ac:dyDescent="0.3">
      <c r="A647">
        <v>56</v>
      </c>
      <c r="B647" t="s">
        <v>18</v>
      </c>
      <c r="C647">
        <v>136562.78</v>
      </c>
      <c r="D647" t="s">
        <v>1302</v>
      </c>
      <c r="E647">
        <v>136562.78</v>
      </c>
      <c r="F647">
        <v>0</v>
      </c>
      <c r="G647" t="s">
        <v>1303</v>
      </c>
      <c r="H647">
        <v>21100.34</v>
      </c>
      <c r="I647">
        <v>157663.12</v>
      </c>
      <c r="J647">
        <v>1</v>
      </c>
      <c r="K647">
        <v>0</v>
      </c>
      <c r="L647">
        <v>8</v>
      </c>
      <c r="M647">
        <v>0</v>
      </c>
      <c r="N647">
        <v>1</v>
      </c>
      <c r="O647">
        <v>136562.78</v>
      </c>
      <c r="P647">
        <v>4</v>
      </c>
      <c r="Q647">
        <v>4</v>
      </c>
      <c r="R647">
        <v>3.3000000000000003</v>
      </c>
      <c r="S647" t="s">
        <v>2310</v>
      </c>
      <c r="V647">
        <f t="shared" si="30"/>
        <v>0</v>
      </c>
      <c r="W647">
        <f t="shared" si="31"/>
        <v>0</v>
      </c>
      <c r="X647" t="str">
        <f t="shared" si="32"/>
        <v>MATCH</v>
      </c>
    </row>
    <row r="648" spans="1:24" x14ac:dyDescent="0.3">
      <c r="A648">
        <v>56</v>
      </c>
      <c r="B648" t="s">
        <v>15</v>
      </c>
      <c r="C648">
        <v>82767.31</v>
      </c>
      <c r="D648" t="s">
        <v>1304</v>
      </c>
      <c r="E648">
        <v>82767.31</v>
      </c>
      <c r="F648">
        <v>0</v>
      </c>
      <c r="G648" t="s">
        <v>1305</v>
      </c>
      <c r="H648">
        <v>0</v>
      </c>
      <c r="I648">
        <v>0</v>
      </c>
      <c r="J648">
        <v>1</v>
      </c>
      <c r="K648">
        <v>0</v>
      </c>
      <c r="L648">
        <v>8</v>
      </c>
      <c r="M648">
        <v>0</v>
      </c>
      <c r="N648">
        <v>1</v>
      </c>
      <c r="O648">
        <v>82767.31</v>
      </c>
      <c r="P648">
        <v>3</v>
      </c>
      <c r="Q648">
        <v>5</v>
      </c>
      <c r="R648">
        <v>3.1</v>
      </c>
      <c r="S648" t="s">
        <v>2310</v>
      </c>
      <c r="V648">
        <f t="shared" si="30"/>
        <v>0</v>
      </c>
      <c r="W648">
        <f t="shared" si="31"/>
        <v>0</v>
      </c>
      <c r="X648" t="str">
        <f t="shared" si="32"/>
        <v>MATCH</v>
      </c>
    </row>
    <row r="649" spans="1:24" x14ac:dyDescent="0.3">
      <c r="A649">
        <v>56</v>
      </c>
      <c r="B649" t="s">
        <v>18</v>
      </c>
      <c r="C649">
        <v>82767.31</v>
      </c>
      <c r="D649" t="s">
        <v>1306</v>
      </c>
      <c r="E649">
        <v>82767.31</v>
      </c>
      <c r="F649">
        <v>0</v>
      </c>
      <c r="G649" t="s">
        <v>1307</v>
      </c>
      <c r="H649">
        <v>401173.22</v>
      </c>
      <c r="I649">
        <v>483940.53</v>
      </c>
      <c r="J649">
        <v>1</v>
      </c>
      <c r="K649">
        <v>0</v>
      </c>
      <c r="L649">
        <v>8</v>
      </c>
      <c r="M649">
        <v>0</v>
      </c>
      <c r="N649">
        <v>1</v>
      </c>
      <c r="O649">
        <v>82767.31</v>
      </c>
      <c r="P649">
        <v>3</v>
      </c>
      <c r="Q649">
        <v>4</v>
      </c>
      <c r="R649">
        <v>2.8000000000000003</v>
      </c>
      <c r="S649" t="s">
        <v>2312</v>
      </c>
      <c r="V649">
        <f t="shared" si="30"/>
        <v>0</v>
      </c>
      <c r="W649">
        <f t="shared" si="31"/>
        <v>0</v>
      </c>
      <c r="X649" t="str">
        <f t="shared" si="32"/>
        <v>MATCH</v>
      </c>
    </row>
    <row r="650" spans="1:24" x14ac:dyDescent="0.3">
      <c r="A650">
        <v>56</v>
      </c>
      <c r="B650" t="s">
        <v>15</v>
      </c>
      <c r="C650">
        <v>2776135.33</v>
      </c>
      <c r="D650" t="s">
        <v>1308</v>
      </c>
      <c r="E650">
        <v>2776135.33</v>
      </c>
      <c r="F650">
        <v>0</v>
      </c>
      <c r="G650" t="s">
        <v>1309</v>
      </c>
      <c r="H650">
        <v>0</v>
      </c>
      <c r="I650">
        <v>0</v>
      </c>
      <c r="J650">
        <v>1</v>
      </c>
      <c r="K650">
        <v>0</v>
      </c>
      <c r="L650">
        <v>8</v>
      </c>
      <c r="M650">
        <v>0</v>
      </c>
      <c r="N650">
        <v>1</v>
      </c>
      <c r="O650">
        <v>2776135.33</v>
      </c>
      <c r="P650">
        <v>5</v>
      </c>
      <c r="Q650">
        <v>5</v>
      </c>
      <c r="R650">
        <v>4.0999999999999996</v>
      </c>
      <c r="S650" t="s">
        <v>2310</v>
      </c>
      <c r="V650">
        <f t="shared" si="30"/>
        <v>0</v>
      </c>
      <c r="W650">
        <f t="shared" si="31"/>
        <v>0</v>
      </c>
      <c r="X650" t="str">
        <f t="shared" si="32"/>
        <v>MATCH</v>
      </c>
    </row>
    <row r="651" spans="1:24" x14ac:dyDescent="0.3">
      <c r="A651">
        <v>56</v>
      </c>
      <c r="B651" t="s">
        <v>18</v>
      </c>
      <c r="C651">
        <v>2776135.33</v>
      </c>
      <c r="D651" t="s">
        <v>1310</v>
      </c>
      <c r="E651">
        <v>2776135.33</v>
      </c>
      <c r="F651">
        <v>0</v>
      </c>
      <c r="G651" t="s">
        <v>1311</v>
      </c>
      <c r="H651">
        <v>0</v>
      </c>
      <c r="I651">
        <v>2776135.33</v>
      </c>
      <c r="J651">
        <v>1</v>
      </c>
      <c r="K651">
        <v>0</v>
      </c>
      <c r="L651">
        <v>8</v>
      </c>
      <c r="M651">
        <v>0</v>
      </c>
      <c r="N651">
        <v>1</v>
      </c>
      <c r="O651">
        <v>2776135.33</v>
      </c>
      <c r="P651">
        <v>5</v>
      </c>
      <c r="Q651">
        <v>4</v>
      </c>
      <c r="R651">
        <v>3.8000000000000003</v>
      </c>
      <c r="S651" t="s">
        <v>2310</v>
      </c>
      <c r="V651">
        <f t="shared" si="30"/>
        <v>0</v>
      </c>
      <c r="W651">
        <f t="shared" si="31"/>
        <v>0</v>
      </c>
      <c r="X651" t="str">
        <f t="shared" si="32"/>
        <v>MATCH</v>
      </c>
    </row>
    <row r="652" spans="1:24" x14ac:dyDescent="0.3">
      <c r="A652">
        <v>56</v>
      </c>
      <c r="B652" t="s">
        <v>15</v>
      </c>
      <c r="C652">
        <v>4243468.1900000004</v>
      </c>
      <c r="D652" t="s">
        <v>1312</v>
      </c>
      <c r="E652">
        <v>4243468.1900000004</v>
      </c>
      <c r="F652">
        <v>0</v>
      </c>
      <c r="G652" t="s">
        <v>1313</v>
      </c>
      <c r="H652">
        <v>0</v>
      </c>
      <c r="I652">
        <v>0</v>
      </c>
      <c r="J652">
        <v>1</v>
      </c>
      <c r="K652">
        <v>0</v>
      </c>
      <c r="L652">
        <v>8</v>
      </c>
      <c r="M652">
        <v>0</v>
      </c>
      <c r="N652">
        <v>1</v>
      </c>
      <c r="O652">
        <v>4243468.1900000004</v>
      </c>
      <c r="P652">
        <v>5</v>
      </c>
      <c r="Q652">
        <v>5</v>
      </c>
      <c r="R652">
        <v>4.0999999999999996</v>
      </c>
      <c r="S652" t="s">
        <v>2310</v>
      </c>
      <c r="V652">
        <f t="shared" si="30"/>
        <v>0</v>
      </c>
      <c r="W652">
        <f t="shared" si="31"/>
        <v>0</v>
      </c>
      <c r="X652" t="str">
        <f t="shared" si="32"/>
        <v>MATCH</v>
      </c>
    </row>
    <row r="653" spans="1:24" x14ac:dyDescent="0.3">
      <c r="A653">
        <v>56</v>
      </c>
      <c r="B653" t="s">
        <v>18</v>
      </c>
      <c r="C653">
        <v>4243468.1900000004</v>
      </c>
      <c r="D653" t="s">
        <v>1314</v>
      </c>
      <c r="E653">
        <v>4243468.1900000004</v>
      </c>
      <c r="F653">
        <v>0</v>
      </c>
      <c r="G653" t="s">
        <v>1315</v>
      </c>
      <c r="H653">
        <v>698483.22</v>
      </c>
      <c r="I653">
        <v>4941951.41</v>
      </c>
      <c r="J653">
        <v>1</v>
      </c>
      <c r="K653">
        <v>0</v>
      </c>
      <c r="L653">
        <v>8</v>
      </c>
      <c r="M653">
        <v>0</v>
      </c>
      <c r="N653">
        <v>1</v>
      </c>
      <c r="O653">
        <v>4243468.1900000004</v>
      </c>
      <c r="P653">
        <v>5</v>
      </c>
      <c r="Q653">
        <v>4</v>
      </c>
      <c r="R653">
        <v>3.8000000000000003</v>
      </c>
      <c r="S653" t="s">
        <v>2310</v>
      </c>
      <c r="V653">
        <f t="shared" si="30"/>
        <v>0</v>
      </c>
      <c r="W653">
        <f t="shared" si="31"/>
        <v>0</v>
      </c>
      <c r="X653" t="str">
        <f t="shared" si="32"/>
        <v>MATCH</v>
      </c>
    </row>
    <row r="654" spans="1:24" x14ac:dyDescent="0.3">
      <c r="A654">
        <v>56</v>
      </c>
      <c r="B654" t="s">
        <v>15</v>
      </c>
      <c r="C654">
        <v>530733.43000000005</v>
      </c>
      <c r="D654" t="s">
        <v>1316</v>
      </c>
      <c r="E654">
        <v>530733.43000000005</v>
      </c>
      <c r="F654">
        <v>0</v>
      </c>
      <c r="G654" t="s">
        <v>1317</v>
      </c>
      <c r="H654">
        <v>0</v>
      </c>
      <c r="I654">
        <v>0</v>
      </c>
      <c r="J654">
        <v>1</v>
      </c>
      <c r="K654">
        <v>0</v>
      </c>
      <c r="L654">
        <v>8</v>
      </c>
      <c r="M654">
        <v>0</v>
      </c>
      <c r="N654">
        <v>1</v>
      </c>
      <c r="O654">
        <v>530733.43000000005</v>
      </c>
      <c r="P654">
        <v>5</v>
      </c>
      <c r="Q654">
        <v>5</v>
      </c>
      <c r="R654">
        <v>4.0999999999999996</v>
      </c>
      <c r="S654" t="s">
        <v>2310</v>
      </c>
      <c r="V654">
        <f t="shared" si="30"/>
        <v>0</v>
      </c>
      <c r="W654">
        <f t="shared" si="31"/>
        <v>0</v>
      </c>
      <c r="X654" t="str">
        <f t="shared" si="32"/>
        <v>MATCH</v>
      </c>
    </row>
    <row r="655" spans="1:24" x14ac:dyDescent="0.3">
      <c r="A655">
        <v>56</v>
      </c>
      <c r="B655" t="s">
        <v>18</v>
      </c>
      <c r="C655">
        <v>530733.43000000005</v>
      </c>
      <c r="D655" t="s">
        <v>1318</v>
      </c>
      <c r="E655">
        <v>530733.43000000005</v>
      </c>
      <c r="F655">
        <v>0</v>
      </c>
      <c r="G655" t="s">
        <v>1319</v>
      </c>
      <c r="H655">
        <v>233066.99</v>
      </c>
      <c r="I655">
        <v>763800.42</v>
      </c>
      <c r="J655">
        <v>1</v>
      </c>
      <c r="K655">
        <v>0</v>
      </c>
      <c r="L655">
        <v>8</v>
      </c>
      <c r="M655">
        <v>0</v>
      </c>
      <c r="N655">
        <v>1</v>
      </c>
      <c r="O655">
        <v>530733.43000000005</v>
      </c>
      <c r="P655">
        <v>5</v>
      </c>
      <c r="Q655">
        <v>4</v>
      </c>
      <c r="R655">
        <v>3.8000000000000003</v>
      </c>
      <c r="S655" t="s">
        <v>2310</v>
      </c>
      <c r="V655">
        <f t="shared" si="30"/>
        <v>0</v>
      </c>
      <c r="W655">
        <f t="shared" si="31"/>
        <v>0</v>
      </c>
      <c r="X655" t="str">
        <f t="shared" si="32"/>
        <v>MATCH</v>
      </c>
    </row>
    <row r="656" spans="1:24" x14ac:dyDescent="0.3">
      <c r="A656">
        <v>56</v>
      </c>
      <c r="B656" t="s">
        <v>15</v>
      </c>
      <c r="C656">
        <v>325242.69</v>
      </c>
      <c r="D656" t="s">
        <v>1320</v>
      </c>
      <c r="E656">
        <v>325242.69</v>
      </c>
      <c r="F656">
        <v>0</v>
      </c>
      <c r="G656" t="s">
        <v>1321</v>
      </c>
      <c r="H656">
        <v>0</v>
      </c>
      <c r="I656">
        <v>0</v>
      </c>
      <c r="J656">
        <v>1</v>
      </c>
      <c r="K656">
        <v>0</v>
      </c>
      <c r="L656">
        <v>8</v>
      </c>
      <c r="M656">
        <v>0</v>
      </c>
      <c r="N656">
        <v>1</v>
      </c>
      <c r="O656">
        <v>325242.69</v>
      </c>
      <c r="P656">
        <v>5</v>
      </c>
      <c r="Q656">
        <v>5</v>
      </c>
      <c r="R656">
        <v>4.0999999999999996</v>
      </c>
      <c r="S656" t="s">
        <v>2310</v>
      </c>
      <c r="V656">
        <f t="shared" si="30"/>
        <v>0</v>
      </c>
      <c r="W656">
        <f t="shared" si="31"/>
        <v>0</v>
      </c>
      <c r="X656" t="str">
        <f t="shared" si="32"/>
        <v>MATCH</v>
      </c>
    </row>
    <row r="657" spans="1:24" x14ac:dyDescent="0.3">
      <c r="A657">
        <v>56</v>
      </c>
      <c r="B657" t="s">
        <v>18</v>
      </c>
      <c r="C657">
        <v>325242.69</v>
      </c>
      <c r="D657" t="s">
        <v>1322</v>
      </c>
      <c r="E657">
        <v>325242.69</v>
      </c>
      <c r="F657">
        <v>0</v>
      </c>
      <c r="G657" t="s">
        <v>1323</v>
      </c>
      <c r="H657">
        <v>910845.46</v>
      </c>
      <c r="I657">
        <v>1236088.1499999999</v>
      </c>
      <c r="J657">
        <v>1</v>
      </c>
      <c r="K657">
        <v>0</v>
      </c>
      <c r="L657">
        <v>8</v>
      </c>
      <c r="M657">
        <v>0</v>
      </c>
      <c r="N657">
        <v>1</v>
      </c>
      <c r="O657">
        <v>325242.69</v>
      </c>
      <c r="P657">
        <v>5</v>
      </c>
      <c r="Q657">
        <v>4</v>
      </c>
      <c r="R657">
        <v>3.8000000000000003</v>
      </c>
      <c r="S657" t="s">
        <v>2310</v>
      </c>
      <c r="V657">
        <f t="shared" si="30"/>
        <v>0</v>
      </c>
      <c r="W657">
        <f t="shared" si="31"/>
        <v>0</v>
      </c>
      <c r="X657" t="str">
        <f t="shared" si="32"/>
        <v>MATCH</v>
      </c>
    </row>
    <row r="658" spans="1:24" x14ac:dyDescent="0.3">
      <c r="A658">
        <v>57</v>
      </c>
      <c r="B658" t="s">
        <v>15</v>
      </c>
      <c r="C658">
        <v>157610.10999999999</v>
      </c>
      <c r="D658" t="s">
        <v>1324</v>
      </c>
      <c r="E658">
        <v>157610.10999999999</v>
      </c>
      <c r="F658">
        <v>0</v>
      </c>
      <c r="G658" t="s">
        <v>1325</v>
      </c>
      <c r="H658">
        <v>0</v>
      </c>
      <c r="I658">
        <v>0</v>
      </c>
      <c r="J658">
        <v>1</v>
      </c>
      <c r="K658">
        <v>0</v>
      </c>
      <c r="L658">
        <v>9</v>
      </c>
      <c r="M658">
        <v>0</v>
      </c>
      <c r="N658">
        <v>1</v>
      </c>
      <c r="O658">
        <v>157610.10999999999</v>
      </c>
      <c r="P658">
        <v>4</v>
      </c>
      <c r="Q658">
        <v>5</v>
      </c>
      <c r="R658">
        <v>3.6</v>
      </c>
      <c r="S658" t="s">
        <v>2310</v>
      </c>
      <c r="V658">
        <f t="shared" si="30"/>
        <v>0</v>
      </c>
      <c r="W658">
        <f t="shared" si="31"/>
        <v>0</v>
      </c>
      <c r="X658" t="str">
        <f t="shared" si="32"/>
        <v>MATCH</v>
      </c>
    </row>
    <row r="659" spans="1:24" x14ac:dyDescent="0.3">
      <c r="A659">
        <v>57</v>
      </c>
      <c r="B659" t="s">
        <v>18</v>
      </c>
      <c r="C659">
        <v>157610.10999999999</v>
      </c>
      <c r="D659" t="s">
        <v>1326</v>
      </c>
      <c r="E659">
        <v>157610.10999999999</v>
      </c>
      <c r="F659">
        <v>0</v>
      </c>
      <c r="G659" t="s">
        <v>1327</v>
      </c>
      <c r="H659">
        <v>949587.48</v>
      </c>
      <c r="I659">
        <v>1107197.5900000001</v>
      </c>
      <c r="J659">
        <v>1</v>
      </c>
      <c r="K659">
        <v>0</v>
      </c>
      <c r="L659">
        <v>9</v>
      </c>
      <c r="M659">
        <v>0</v>
      </c>
      <c r="N659">
        <v>1</v>
      </c>
      <c r="O659">
        <v>157610.10999999999</v>
      </c>
      <c r="P659">
        <v>4</v>
      </c>
      <c r="Q659">
        <v>4</v>
      </c>
      <c r="R659">
        <v>3.3000000000000003</v>
      </c>
      <c r="S659" t="s">
        <v>2310</v>
      </c>
      <c r="V659">
        <f t="shared" si="30"/>
        <v>0</v>
      </c>
      <c r="W659">
        <f t="shared" si="31"/>
        <v>0</v>
      </c>
      <c r="X659" t="str">
        <f t="shared" si="32"/>
        <v>MATCH</v>
      </c>
    </row>
    <row r="660" spans="1:24" x14ac:dyDescent="0.3">
      <c r="A660">
        <v>57</v>
      </c>
      <c r="B660" t="s">
        <v>15</v>
      </c>
      <c r="C660">
        <v>354441.19</v>
      </c>
      <c r="D660" t="s">
        <v>1328</v>
      </c>
      <c r="E660">
        <v>354441.19</v>
      </c>
      <c r="F660">
        <v>0</v>
      </c>
      <c r="G660" t="s">
        <v>1329</v>
      </c>
      <c r="H660">
        <v>0</v>
      </c>
      <c r="I660">
        <v>0</v>
      </c>
      <c r="J660">
        <v>1</v>
      </c>
      <c r="K660">
        <v>0</v>
      </c>
      <c r="L660">
        <v>9</v>
      </c>
      <c r="M660">
        <v>0</v>
      </c>
      <c r="N660">
        <v>1</v>
      </c>
      <c r="O660">
        <v>354441.19</v>
      </c>
      <c r="P660">
        <v>5</v>
      </c>
      <c r="Q660">
        <v>5</v>
      </c>
      <c r="R660">
        <v>4.0999999999999996</v>
      </c>
      <c r="S660" t="s">
        <v>2310</v>
      </c>
      <c r="V660">
        <f t="shared" si="30"/>
        <v>0</v>
      </c>
      <c r="W660">
        <f t="shared" si="31"/>
        <v>0</v>
      </c>
      <c r="X660" t="str">
        <f t="shared" si="32"/>
        <v>MATCH</v>
      </c>
    </row>
    <row r="661" spans="1:24" x14ac:dyDescent="0.3">
      <c r="A661">
        <v>57</v>
      </c>
      <c r="B661" t="s">
        <v>18</v>
      </c>
      <c r="C661">
        <v>354441.19</v>
      </c>
      <c r="D661" t="s">
        <v>1330</v>
      </c>
      <c r="E661">
        <v>354441.19</v>
      </c>
      <c r="F661">
        <v>0</v>
      </c>
      <c r="G661" t="s">
        <v>1331</v>
      </c>
      <c r="H661">
        <v>452296.45</v>
      </c>
      <c r="I661">
        <v>806737.65</v>
      </c>
      <c r="J661">
        <v>1</v>
      </c>
      <c r="K661">
        <v>0</v>
      </c>
      <c r="L661">
        <v>9</v>
      </c>
      <c r="M661">
        <v>0</v>
      </c>
      <c r="N661">
        <v>1</v>
      </c>
      <c r="O661">
        <v>354441.19</v>
      </c>
      <c r="P661">
        <v>5</v>
      </c>
      <c r="Q661">
        <v>4</v>
      </c>
      <c r="R661">
        <v>3.8000000000000003</v>
      </c>
      <c r="S661" t="s">
        <v>2310</v>
      </c>
      <c r="V661">
        <f t="shared" si="30"/>
        <v>0</v>
      </c>
      <c r="W661">
        <f t="shared" si="31"/>
        <v>0</v>
      </c>
      <c r="X661" t="str">
        <f t="shared" si="32"/>
        <v>MATCH</v>
      </c>
    </row>
    <row r="662" spans="1:24" x14ac:dyDescent="0.3">
      <c r="A662">
        <v>57</v>
      </c>
      <c r="B662" t="s">
        <v>15</v>
      </c>
      <c r="C662">
        <v>1014816.16</v>
      </c>
      <c r="D662" t="s">
        <v>1332</v>
      </c>
      <c r="E662">
        <v>1014816.16</v>
      </c>
      <c r="F662">
        <v>0</v>
      </c>
      <c r="G662" t="s">
        <v>1333</v>
      </c>
      <c r="H662">
        <v>0</v>
      </c>
      <c r="I662">
        <v>0</v>
      </c>
      <c r="J662">
        <v>1</v>
      </c>
      <c r="K662">
        <v>0</v>
      </c>
      <c r="L662">
        <v>9</v>
      </c>
      <c r="M662">
        <v>0</v>
      </c>
      <c r="N662">
        <v>1</v>
      </c>
      <c r="O662">
        <v>1014816.16</v>
      </c>
      <c r="P662">
        <v>5</v>
      </c>
      <c r="Q662">
        <v>5</v>
      </c>
      <c r="R662">
        <v>4.0999999999999996</v>
      </c>
      <c r="S662" t="s">
        <v>2310</v>
      </c>
      <c r="V662">
        <f t="shared" si="30"/>
        <v>0</v>
      </c>
      <c r="W662">
        <f t="shared" si="31"/>
        <v>0</v>
      </c>
      <c r="X662" t="str">
        <f t="shared" si="32"/>
        <v>MATCH</v>
      </c>
    </row>
    <row r="663" spans="1:24" x14ac:dyDescent="0.3">
      <c r="A663">
        <v>57</v>
      </c>
      <c r="B663" t="s">
        <v>18</v>
      </c>
      <c r="C663">
        <v>1014816.16</v>
      </c>
      <c r="D663" t="s">
        <v>1334</v>
      </c>
      <c r="E663">
        <v>1014816.16</v>
      </c>
      <c r="F663">
        <v>0</v>
      </c>
      <c r="G663" t="s">
        <v>1335</v>
      </c>
      <c r="H663">
        <v>1417511.04</v>
      </c>
      <c r="I663">
        <v>2432327.2000000002</v>
      </c>
      <c r="J663">
        <v>1</v>
      </c>
      <c r="K663">
        <v>0</v>
      </c>
      <c r="L663">
        <v>9</v>
      </c>
      <c r="M663">
        <v>0</v>
      </c>
      <c r="N663">
        <v>1</v>
      </c>
      <c r="O663">
        <v>1014816.16</v>
      </c>
      <c r="P663">
        <v>5</v>
      </c>
      <c r="Q663">
        <v>4</v>
      </c>
      <c r="R663">
        <v>3.8000000000000003</v>
      </c>
      <c r="S663" t="s">
        <v>2310</v>
      </c>
      <c r="V663">
        <f t="shared" si="30"/>
        <v>0</v>
      </c>
      <c r="W663">
        <f t="shared" si="31"/>
        <v>0</v>
      </c>
      <c r="X663" t="str">
        <f t="shared" si="32"/>
        <v>MATCH</v>
      </c>
    </row>
    <row r="664" spans="1:24" x14ac:dyDescent="0.3">
      <c r="A664">
        <v>58</v>
      </c>
      <c r="B664" t="s">
        <v>15</v>
      </c>
      <c r="C664">
        <v>246938.77</v>
      </c>
      <c r="D664" t="s">
        <v>1336</v>
      </c>
      <c r="E664">
        <v>246938.77</v>
      </c>
      <c r="F664">
        <v>0</v>
      </c>
      <c r="G664" t="s">
        <v>1337</v>
      </c>
      <c r="H664">
        <v>0</v>
      </c>
      <c r="I664">
        <v>0</v>
      </c>
      <c r="J664">
        <v>1</v>
      </c>
      <c r="K664">
        <v>0</v>
      </c>
      <c r="L664">
        <v>10</v>
      </c>
      <c r="M664">
        <v>0</v>
      </c>
      <c r="N664">
        <v>1</v>
      </c>
      <c r="O664">
        <v>246938.77</v>
      </c>
      <c r="P664">
        <v>5</v>
      </c>
      <c r="Q664">
        <v>5</v>
      </c>
      <c r="R664">
        <v>4.0999999999999996</v>
      </c>
      <c r="S664" t="s">
        <v>2310</v>
      </c>
      <c r="V664">
        <f t="shared" si="30"/>
        <v>0</v>
      </c>
      <c r="W664">
        <f t="shared" si="31"/>
        <v>0</v>
      </c>
      <c r="X664" t="str">
        <f t="shared" si="32"/>
        <v>MATCH</v>
      </c>
    </row>
    <row r="665" spans="1:24" x14ac:dyDescent="0.3">
      <c r="A665">
        <v>58</v>
      </c>
      <c r="B665" t="s">
        <v>18</v>
      </c>
      <c r="C665">
        <v>246938.77</v>
      </c>
      <c r="D665" t="s">
        <v>1338</v>
      </c>
      <c r="E665">
        <v>246938.77</v>
      </c>
      <c r="F665">
        <v>0</v>
      </c>
      <c r="G665" t="s">
        <v>1339</v>
      </c>
      <c r="H665">
        <v>0</v>
      </c>
      <c r="I665">
        <v>246938.77</v>
      </c>
      <c r="J665">
        <v>1</v>
      </c>
      <c r="K665">
        <v>0</v>
      </c>
      <c r="L665">
        <v>10</v>
      </c>
      <c r="M665">
        <v>0</v>
      </c>
      <c r="N665">
        <v>1</v>
      </c>
      <c r="O665">
        <v>246938.77</v>
      </c>
      <c r="P665">
        <v>5</v>
      </c>
      <c r="Q665">
        <v>4</v>
      </c>
      <c r="R665">
        <v>3.8000000000000003</v>
      </c>
      <c r="S665" t="s">
        <v>2310</v>
      </c>
      <c r="V665">
        <f t="shared" si="30"/>
        <v>0</v>
      </c>
      <c r="W665">
        <f t="shared" si="31"/>
        <v>0</v>
      </c>
      <c r="X665" t="str">
        <f t="shared" si="32"/>
        <v>MATCH</v>
      </c>
    </row>
    <row r="666" spans="1:24" x14ac:dyDescent="0.3">
      <c r="A666">
        <v>58</v>
      </c>
      <c r="B666" t="s">
        <v>15</v>
      </c>
      <c r="C666">
        <v>561948.38</v>
      </c>
      <c r="D666" t="s">
        <v>1340</v>
      </c>
      <c r="E666">
        <v>561948.38</v>
      </c>
      <c r="F666">
        <v>0</v>
      </c>
      <c r="G666" t="s">
        <v>1341</v>
      </c>
      <c r="H666">
        <v>0</v>
      </c>
      <c r="I666">
        <v>0</v>
      </c>
      <c r="J666">
        <v>1</v>
      </c>
      <c r="K666">
        <v>0</v>
      </c>
      <c r="L666">
        <v>10</v>
      </c>
      <c r="M666">
        <v>0</v>
      </c>
      <c r="N666">
        <v>1</v>
      </c>
      <c r="O666">
        <v>561948.38</v>
      </c>
      <c r="P666">
        <v>5</v>
      </c>
      <c r="Q666">
        <v>5</v>
      </c>
      <c r="R666">
        <v>4.0999999999999996</v>
      </c>
      <c r="S666" t="s">
        <v>2310</v>
      </c>
      <c r="V666">
        <f t="shared" si="30"/>
        <v>0</v>
      </c>
      <c r="W666">
        <f t="shared" si="31"/>
        <v>0</v>
      </c>
      <c r="X666" t="str">
        <f t="shared" si="32"/>
        <v>MATCH</v>
      </c>
    </row>
    <row r="667" spans="1:24" x14ac:dyDescent="0.3">
      <c r="A667">
        <v>58</v>
      </c>
      <c r="B667" t="s">
        <v>18</v>
      </c>
      <c r="C667">
        <v>561948.38</v>
      </c>
      <c r="D667" t="s">
        <v>1342</v>
      </c>
      <c r="E667">
        <v>561948.38</v>
      </c>
      <c r="F667">
        <v>0</v>
      </c>
      <c r="G667" t="s">
        <v>1343</v>
      </c>
      <c r="H667">
        <v>30911.97</v>
      </c>
      <c r="I667">
        <v>592860.35</v>
      </c>
      <c r="J667">
        <v>1</v>
      </c>
      <c r="K667">
        <v>0</v>
      </c>
      <c r="L667">
        <v>10</v>
      </c>
      <c r="M667">
        <v>0</v>
      </c>
      <c r="N667">
        <v>1</v>
      </c>
      <c r="O667">
        <v>561948.38</v>
      </c>
      <c r="P667">
        <v>5</v>
      </c>
      <c r="Q667">
        <v>4</v>
      </c>
      <c r="R667">
        <v>3.8000000000000003</v>
      </c>
      <c r="S667" t="s">
        <v>2310</v>
      </c>
      <c r="V667">
        <f t="shared" si="30"/>
        <v>0</v>
      </c>
      <c r="W667">
        <f t="shared" si="31"/>
        <v>0</v>
      </c>
      <c r="X667" t="str">
        <f t="shared" si="32"/>
        <v>MATCH</v>
      </c>
    </row>
    <row r="668" spans="1:24" x14ac:dyDescent="0.3">
      <c r="A668">
        <v>58</v>
      </c>
      <c r="B668" t="s">
        <v>15</v>
      </c>
      <c r="C668">
        <v>106673.26</v>
      </c>
      <c r="D668" t="s">
        <v>1344</v>
      </c>
      <c r="E668">
        <v>106673.26</v>
      </c>
      <c r="F668">
        <v>0</v>
      </c>
      <c r="G668" t="s">
        <v>1345</v>
      </c>
      <c r="H668">
        <v>0</v>
      </c>
      <c r="I668">
        <v>0</v>
      </c>
      <c r="J668">
        <v>1</v>
      </c>
      <c r="K668">
        <v>0</v>
      </c>
      <c r="L668">
        <v>10</v>
      </c>
      <c r="M668">
        <v>0</v>
      </c>
      <c r="N668">
        <v>1</v>
      </c>
      <c r="O668">
        <v>106673.26</v>
      </c>
      <c r="P668">
        <v>4</v>
      </c>
      <c r="Q668">
        <v>5</v>
      </c>
      <c r="R668">
        <v>3.6</v>
      </c>
      <c r="S668" t="s">
        <v>2310</v>
      </c>
      <c r="V668">
        <f t="shared" si="30"/>
        <v>0</v>
      </c>
      <c r="W668">
        <f t="shared" si="31"/>
        <v>0</v>
      </c>
      <c r="X668" t="str">
        <f t="shared" si="32"/>
        <v>MATCH</v>
      </c>
    </row>
    <row r="669" spans="1:24" x14ac:dyDescent="0.3">
      <c r="A669">
        <v>58</v>
      </c>
      <c r="B669" t="s">
        <v>18</v>
      </c>
      <c r="C669">
        <v>106673.26</v>
      </c>
      <c r="D669" t="s">
        <v>1346</v>
      </c>
      <c r="E669">
        <v>106673.26</v>
      </c>
      <c r="F669">
        <v>0</v>
      </c>
      <c r="G669" t="s">
        <v>1347</v>
      </c>
      <c r="H669">
        <v>0</v>
      </c>
      <c r="I669">
        <v>106673.26</v>
      </c>
      <c r="J669">
        <v>1</v>
      </c>
      <c r="K669">
        <v>0</v>
      </c>
      <c r="L669">
        <v>10</v>
      </c>
      <c r="M669">
        <v>0</v>
      </c>
      <c r="N669">
        <v>1</v>
      </c>
      <c r="O669">
        <v>106673.26</v>
      </c>
      <c r="P669">
        <v>4</v>
      </c>
      <c r="Q669">
        <v>4</v>
      </c>
      <c r="R669">
        <v>3.3000000000000003</v>
      </c>
      <c r="S669" t="s">
        <v>2310</v>
      </c>
      <c r="V669">
        <f t="shared" si="30"/>
        <v>0</v>
      </c>
      <c r="W669">
        <f t="shared" si="31"/>
        <v>0</v>
      </c>
      <c r="X669" t="str">
        <f t="shared" si="32"/>
        <v>MATCH</v>
      </c>
    </row>
    <row r="670" spans="1:24" x14ac:dyDescent="0.3">
      <c r="A670">
        <v>58</v>
      </c>
      <c r="B670" t="s">
        <v>15</v>
      </c>
      <c r="C670">
        <v>6501303.1399999997</v>
      </c>
      <c r="D670" t="s">
        <v>1348</v>
      </c>
      <c r="E670">
        <v>6501303.1399999997</v>
      </c>
      <c r="F670">
        <v>0</v>
      </c>
      <c r="G670" t="s">
        <v>1349</v>
      </c>
      <c r="H670">
        <v>0</v>
      </c>
      <c r="I670">
        <v>0</v>
      </c>
      <c r="J670">
        <v>1</v>
      </c>
      <c r="K670">
        <v>0</v>
      </c>
      <c r="L670">
        <v>10</v>
      </c>
      <c r="M670">
        <v>0</v>
      </c>
      <c r="N670">
        <v>1</v>
      </c>
      <c r="O670">
        <v>6501303.1399999997</v>
      </c>
      <c r="P670">
        <v>5</v>
      </c>
      <c r="Q670">
        <v>5</v>
      </c>
      <c r="R670">
        <v>4.0999999999999996</v>
      </c>
      <c r="S670" t="s">
        <v>2310</v>
      </c>
      <c r="V670">
        <f t="shared" si="30"/>
        <v>0</v>
      </c>
      <c r="W670">
        <f t="shared" si="31"/>
        <v>0</v>
      </c>
      <c r="X670" t="str">
        <f t="shared" si="32"/>
        <v>MATCH</v>
      </c>
    </row>
    <row r="671" spans="1:24" x14ac:dyDescent="0.3">
      <c r="A671">
        <v>58</v>
      </c>
      <c r="B671" t="s">
        <v>18</v>
      </c>
      <c r="C671">
        <v>6501303.1399999997</v>
      </c>
      <c r="D671" t="s">
        <v>1350</v>
      </c>
      <c r="E671">
        <v>6501303.1399999997</v>
      </c>
      <c r="F671">
        <v>0</v>
      </c>
      <c r="G671" t="s">
        <v>1351</v>
      </c>
      <c r="H671">
        <v>4439499.5</v>
      </c>
      <c r="I671">
        <v>10900000</v>
      </c>
      <c r="J671">
        <v>1</v>
      </c>
      <c r="K671">
        <v>0</v>
      </c>
      <c r="L671">
        <v>10</v>
      </c>
      <c r="M671">
        <v>0</v>
      </c>
      <c r="N671">
        <v>1</v>
      </c>
      <c r="O671">
        <v>6501303.1399999997</v>
      </c>
      <c r="P671">
        <v>5</v>
      </c>
      <c r="Q671">
        <v>4</v>
      </c>
      <c r="R671">
        <v>3.8000000000000003</v>
      </c>
      <c r="S671" t="s">
        <v>2310</v>
      </c>
      <c r="V671">
        <f t="shared" si="30"/>
        <v>0</v>
      </c>
      <c r="W671">
        <f t="shared" si="31"/>
        <v>0</v>
      </c>
      <c r="X671" t="str">
        <f t="shared" si="32"/>
        <v>MATCH</v>
      </c>
    </row>
    <row r="672" spans="1:24" x14ac:dyDescent="0.3">
      <c r="A672">
        <v>58</v>
      </c>
      <c r="B672" t="s">
        <v>15</v>
      </c>
      <c r="C672">
        <v>3156421.43</v>
      </c>
      <c r="D672" t="s">
        <v>1352</v>
      </c>
      <c r="E672">
        <v>3156421.43</v>
      </c>
      <c r="F672">
        <v>0</v>
      </c>
      <c r="G672" t="s">
        <v>1353</v>
      </c>
      <c r="H672">
        <v>0</v>
      </c>
      <c r="I672">
        <v>0</v>
      </c>
      <c r="J672">
        <v>1</v>
      </c>
      <c r="K672">
        <v>0</v>
      </c>
      <c r="L672">
        <v>10</v>
      </c>
      <c r="M672">
        <v>0</v>
      </c>
      <c r="N672">
        <v>1</v>
      </c>
      <c r="O672">
        <v>3156421.43</v>
      </c>
      <c r="P672">
        <v>5</v>
      </c>
      <c r="Q672">
        <v>5</v>
      </c>
      <c r="R672">
        <v>4.0999999999999996</v>
      </c>
      <c r="S672" t="s">
        <v>2310</v>
      </c>
      <c r="V672">
        <f t="shared" si="30"/>
        <v>0</v>
      </c>
      <c r="W672">
        <f t="shared" si="31"/>
        <v>0</v>
      </c>
      <c r="X672" t="str">
        <f t="shared" si="32"/>
        <v>MATCH</v>
      </c>
    </row>
    <row r="673" spans="1:24" x14ac:dyDescent="0.3">
      <c r="A673">
        <v>58</v>
      </c>
      <c r="B673" t="s">
        <v>18</v>
      </c>
      <c r="C673">
        <v>3156421.43</v>
      </c>
      <c r="D673" t="s">
        <v>1354</v>
      </c>
      <c r="E673">
        <v>3156421.43</v>
      </c>
      <c r="F673">
        <v>0</v>
      </c>
      <c r="G673" t="s">
        <v>1355</v>
      </c>
      <c r="H673">
        <v>181440.45</v>
      </c>
      <c r="I673">
        <v>3337861.88</v>
      </c>
      <c r="J673">
        <v>1</v>
      </c>
      <c r="K673">
        <v>0</v>
      </c>
      <c r="L673">
        <v>10</v>
      </c>
      <c r="M673">
        <v>0</v>
      </c>
      <c r="N673">
        <v>1</v>
      </c>
      <c r="O673">
        <v>3156421.43</v>
      </c>
      <c r="P673">
        <v>5</v>
      </c>
      <c r="Q673">
        <v>4</v>
      </c>
      <c r="R673">
        <v>3.8000000000000003</v>
      </c>
      <c r="S673" t="s">
        <v>2310</v>
      </c>
      <c r="V673">
        <f t="shared" si="30"/>
        <v>0</v>
      </c>
      <c r="W673">
        <f t="shared" si="31"/>
        <v>0</v>
      </c>
      <c r="X673" t="str">
        <f t="shared" si="32"/>
        <v>MATCH</v>
      </c>
    </row>
    <row r="674" spans="1:24" x14ac:dyDescent="0.3">
      <c r="A674">
        <v>58</v>
      </c>
      <c r="B674" t="s">
        <v>15</v>
      </c>
      <c r="C674">
        <v>1789155.73</v>
      </c>
      <c r="D674" t="s">
        <v>1356</v>
      </c>
      <c r="E674">
        <v>1789155.73</v>
      </c>
      <c r="F674">
        <v>0</v>
      </c>
      <c r="G674" t="s">
        <v>1357</v>
      </c>
      <c r="H674">
        <v>0</v>
      </c>
      <c r="I674">
        <v>0</v>
      </c>
      <c r="J674">
        <v>1</v>
      </c>
      <c r="K674">
        <v>0</v>
      </c>
      <c r="L674">
        <v>10</v>
      </c>
      <c r="M674">
        <v>0</v>
      </c>
      <c r="N674">
        <v>1</v>
      </c>
      <c r="O674">
        <v>1789155.73</v>
      </c>
      <c r="P674">
        <v>5</v>
      </c>
      <c r="Q674">
        <v>5</v>
      </c>
      <c r="R674">
        <v>4.0999999999999996</v>
      </c>
      <c r="S674" t="s">
        <v>2310</v>
      </c>
      <c r="V674">
        <f t="shared" si="30"/>
        <v>0</v>
      </c>
      <c r="W674">
        <f t="shared" si="31"/>
        <v>0</v>
      </c>
      <c r="X674" t="str">
        <f t="shared" si="32"/>
        <v>MATCH</v>
      </c>
    </row>
    <row r="675" spans="1:24" x14ac:dyDescent="0.3">
      <c r="A675">
        <v>58</v>
      </c>
      <c r="B675" t="s">
        <v>18</v>
      </c>
      <c r="C675">
        <v>1789155.73</v>
      </c>
      <c r="D675" t="s">
        <v>1358</v>
      </c>
      <c r="E675">
        <v>1789155.73</v>
      </c>
      <c r="F675">
        <v>0</v>
      </c>
      <c r="G675" t="s">
        <v>1359</v>
      </c>
      <c r="H675">
        <v>2031388.61</v>
      </c>
      <c r="I675">
        <v>3820544.34</v>
      </c>
      <c r="J675">
        <v>1</v>
      </c>
      <c r="K675">
        <v>0</v>
      </c>
      <c r="L675">
        <v>10</v>
      </c>
      <c r="M675">
        <v>0</v>
      </c>
      <c r="N675">
        <v>1</v>
      </c>
      <c r="O675">
        <v>1789155.73</v>
      </c>
      <c r="P675">
        <v>5</v>
      </c>
      <c r="Q675">
        <v>4</v>
      </c>
      <c r="R675">
        <v>3.8000000000000003</v>
      </c>
      <c r="S675" t="s">
        <v>2310</v>
      </c>
      <c r="V675">
        <f t="shared" si="30"/>
        <v>0</v>
      </c>
      <c r="W675">
        <f t="shared" si="31"/>
        <v>0</v>
      </c>
      <c r="X675" t="str">
        <f t="shared" si="32"/>
        <v>MATCH</v>
      </c>
    </row>
    <row r="676" spans="1:24" x14ac:dyDescent="0.3">
      <c r="A676">
        <v>58</v>
      </c>
      <c r="B676" t="s">
        <v>15</v>
      </c>
      <c r="C676">
        <v>456745.18</v>
      </c>
      <c r="D676" t="s">
        <v>1360</v>
      </c>
      <c r="E676">
        <v>456745.18</v>
      </c>
      <c r="F676">
        <v>0</v>
      </c>
      <c r="G676" t="s">
        <v>1361</v>
      </c>
      <c r="H676">
        <v>0</v>
      </c>
      <c r="I676">
        <v>0</v>
      </c>
      <c r="J676">
        <v>1</v>
      </c>
      <c r="K676">
        <v>0</v>
      </c>
      <c r="L676">
        <v>10</v>
      </c>
      <c r="M676">
        <v>0</v>
      </c>
      <c r="N676">
        <v>1</v>
      </c>
      <c r="O676">
        <v>456745.18</v>
      </c>
      <c r="P676">
        <v>5</v>
      </c>
      <c r="Q676">
        <v>5</v>
      </c>
      <c r="R676">
        <v>4.0999999999999996</v>
      </c>
      <c r="S676" t="s">
        <v>2310</v>
      </c>
      <c r="V676">
        <f t="shared" si="30"/>
        <v>0</v>
      </c>
      <c r="W676">
        <f t="shared" si="31"/>
        <v>0</v>
      </c>
      <c r="X676" t="str">
        <f t="shared" si="32"/>
        <v>MATCH</v>
      </c>
    </row>
    <row r="677" spans="1:24" x14ac:dyDescent="0.3">
      <c r="A677">
        <v>58</v>
      </c>
      <c r="B677" t="s">
        <v>18</v>
      </c>
      <c r="C677">
        <v>456745.18</v>
      </c>
      <c r="D677" t="s">
        <v>1362</v>
      </c>
      <c r="E677">
        <v>456745.18</v>
      </c>
      <c r="F677">
        <v>0</v>
      </c>
      <c r="G677" t="s">
        <v>1363</v>
      </c>
      <c r="H677">
        <v>0</v>
      </c>
      <c r="I677">
        <v>456745.18</v>
      </c>
      <c r="J677">
        <v>1</v>
      </c>
      <c r="K677">
        <v>0</v>
      </c>
      <c r="L677">
        <v>10</v>
      </c>
      <c r="M677">
        <v>0</v>
      </c>
      <c r="N677">
        <v>1</v>
      </c>
      <c r="O677">
        <v>456745.18</v>
      </c>
      <c r="P677">
        <v>5</v>
      </c>
      <c r="Q677">
        <v>4</v>
      </c>
      <c r="R677">
        <v>3.8000000000000003</v>
      </c>
      <c r="S677" t="s">
        <v>2310</v>
      </c>
      <c r="V677">
        <f t="shared" si="30"/>
        <v>0</v>
      </c>
      <c r="W677">
        <f t="shared" si="31"/>
        <v>0</v>
      </c>
      <c r="X677" t="str">
        <f t="shared" si="32"/>
        <v>MATCH</v>
      </c>
    </row>
    <row r="678" spans="1:24" x14ac:dyDescent="0.3">
      <c r="A678">
        <v>58</v>
      </c>
      <c r="B678" t="s">
        <v>15</v>
      </c>
      <c r="C678">
        <v>7108914.2199999997</v>
      </c>
      <c r="D678" t="s">
        <v>1364</v>
      </c>
      <c r="E678">
        <v>7108914.2199999997</v>
      </c>
      <c r="F678">
        <v>0</v>
      </c>
      <c r="G678" t="s">
        <v>1365</v>
      </c>
      <c r="H678">
        <v>0</v>
      </c>
      <c r="I678">
        <v>0</v>
      </c>
      <c r="J678">
        <v>1</v>
      </c>
      <c r="K678">
        <v>0</v>
      </c>
      <c r="L678">
        <v>10</v>
      </c>
      <c r="M678">
        <v>0</v>
      </c>
      <c r="N678">
        <v>1</v>
      </c>
      <c r="O678">
        <v>7108914.2199999997</v>
      </c>
      <c r="P678">
        <v>5</v>
      </c>
      <c r="Q678">
        <v>5</v>
      </c>
      <c r="R678">
        <v>4.0999999999999996</v>
      </c>
      <c r="S678" t="s">
        <v>2310</v>
      </c>
      <c r="V678">
        <f t="shared" si="30"/>
        <v>0</v>
      </c>
      <c r="W678">
        <f t="shared" si="31"/>
        <v>0</v>
      </c>
      <c r="X678" t="str">
        <f t="shared" si="32"/>
        <v>MATCH</v>
      </c>
    </row>
    <row r="679" spans="1:24" x14ac:dyDescent="0.3">
      <c r="A679">
        <v>58</v>
      </c>
      <c r="B679" t="s">
        <v>18</v>
      </c>
      <c r="C679">
        <v>7108914.2199999997</v>
      </c>
      <c r="D679" t="s">
        <v>1366</v>
      </c>
      <c r="E679">
        <v>7108914.2199999997</v>
      </c>
      <c r="F679">
        <v>0</v>
      </c>
      <c r="G679" t="s">
        <v>1367</v>
      </c>
      <c r="H679">
        <v>0</v>
      </c>
      <c r="I679">
        <v>7108914.2199999997</v>
      </c>
      <c r="J679">
        <v>1</v>
      </c>
      <c r="K679">
        <v>0</v>
      </c>
      <c r="L679">
        <v>10</v>
      </c>
      <c r="M679">
        <v>0</v>
      </c>
      <c r="N679">
        <v>1</v>
      </c>
      <c r="O679">
        <v>7108914.2199999997</v>
      </c>
      <c r="P679">
        <v>5</v>
      </c>
      <c r="Q679">
        <v>4</v>
      </c>
      <c r="R679">
        <v>3.8000000000000003</v>
      </c>
      <c r="S679" t="s">
        <v>2310</v>
      </c>
      <c r="V679">
        <f t="shared" si="30"/>
        <v>0</v>
      </c>
      <c r="W679">
        <f t="shared" si="31"/>
        <v>0</v>
      </c>
      <c r="X679" t="str">
        <f t="shared" si="32"/>
        <v>MATCH</v>
      </c>
    </row>
    <row r="680" spans="1:24" x14ac:dyDescent="0.3">
      <c r="A680">
        <v>58</v>
      </c>
      <c r="B680" t="s">
        <v>15</v>
      </c>
      <c r="C680">
        <v>109525.67</v>
      </c>
      <c r="D680" t="s">
        <v>1368</v>
      </c>
      <c r="E680">
        <v>109525.67</v>
      </c>
      <c r="F680">
        <v>0</v>
      </c>
      <c r="G680" t="s">
        <v>1369</v>
      </c>
      <c r="H680">
        <v>0</v>
      </c>
      <c r="I680">
        <v>0</v>
      </c>
      <c r="J680">
        <v>1</v>
      </c>
      <c r="K680">
        <v>0</v>
      </c>
      <c r="L680">
        <v>10</v>
      </c>
      <c r="M680">
        <v>0</v>
      </c>
      <c r="N680">
        <v>1</v>
      </c>
      <c r="O680">
        <v>109525.67</v>
      </c>
      <c r="P680">
        <v>4</v>
      </c>
      <c r="Q680">
        <v>5</v>
      </c>
      <c r="R680">
        <v>3.6</v>
      </c>
      <c r="S680" t="s">
        <v>2310</v>
      </c>
      <c r="V680">
        <f t="shared" si="30"/>
        <v>0</v>
      </c>
      <c r="W680">
        <f t="shared" si="31"/>
        <v>0</v>
      </c>
      <c r="X680" t="str">
        <f t="shared" si="32"/>
        <v>MATCH</v>
      </c>
    </row>
    <row r="681" spans="1:24" x14ac:dyDescent="0.3">
      <c r="A681">
        <v>58</v>
      </c>
      <c r="B681" t="s">
        <v>18</v>
      </c>
      <c r="C681">
        <v>109525.67</v>
      </c>
      <c r="D681" t="s">
        <v>1370</v>
      </c>
      <c r="E681">
        <v>109525.67</v>
      </c>
      <c r="F681">
        <v>0</v>
      </c>
      <c r="G681" t="s">
        <v>1371</v>
      </c>
      <c r="H681">
        <v>3997342.61</v>
      </c>
      <c r="I681">
        <v>4106868.28</v>
      </c>
      <c r="J681">
        <v>1</v>
      </c>
      <c r="K681">
        <v>0</v>
      </c>
      <c r="L681">
        <v>10</v>
      </c>
      <c r="M681">
        <v>0</v>
      </c>
      <c r="N681">
        <v>1</v>
      </c>
      <c r="O681">
        <v>109525.67</v>
      </c>
      <c r="P681">
        <v>4</v>
      </c>
      <c r="Q681">
        <v>4</v>
      </c>
      <c r="R681">
        <v>3.3000000000000003</v>
      </c>
      <c r="S681" t="s">
        <v>2310</v>
      </c>
      <c r="V681">
        <f t="shared" si="30"/>
        <v>0</v>
      </c>
      <c r="W681">
        <f t="shared" si="31"/>
        <v>0</v>
      </c>
      <c r="X681" t="str">
        <f t="shared" si="32"/>
        <v>MATCH</v>
      </c>
    </row>
    <row r="682" spans="1:24" x14ac:dyDescent="0.3">
      <c r="A682">
        <v>58</v>
      </c>
      <c r="B682" t="s">
        <v>15</v>
      </c>
      <c r="C682">
        <v>378688.65</v>
      </c>
      <c r="D682" t="s">
        <v>1372</v>
      </c>
      <c r="E682">
        <v>378688.65</v>
      </c>
      <c r="F682">
        <v>0</v>
      </c>
      <c r="G682" t="s">
        <v>1373</v>
      </c>
      <c r="H682">
        <v>0</v>
      </c>
      <c r="I682">
        <v>0</v>
      </c>
      <c r="J682">
        <v>1</v>
      </c>
      <c r="K682">
        <v>0</v>
      </c>
      <c r="L682">
        <v>10</v>
      </c>
      <c r="M682">
        <v>0</v>
      </c>
      <c r="N682">
        <v>1</v>
      </c>
      <c r="O682">
        <v>378688.65</v>
      </c>
      <c r="P682">
        <v>5</v>
      </c>
      <c r="Q682">
        <v>5</v>
      </c>
      <c r="R682">
        <v>4.0999999999999996</v>
      </c>
      <c r="S682" t="s">
        <v>2310</v>
      </c>
      <c r="V682">
        <f t="shared" si="30"/>
        <v>0</v>
      </c>
      <c r="W682">
        <f t="shared" si="31"/>
        <v>0</v>
      </c>
      <c r="X682" t="str">
        <f t="shared" si="32"/>
        <v>MATCH</v>
      </c>
    </row>
    <row r="683" spans="1:24" x14ac:dyDescent="0.3">
      <c r="A683">
        <v>58</v>
      </c>
      <c r="B683" t="s">
        <v>18</v>
      </c>
      <c r="C683">
        <v>378688.65</v>
      </c>
      <c r="D683" t="s">
        <v>1374</v>
      </c>
      <c r="E683">
        <v>378688.65</v>
      </c>
      <c r="F683">
        <v>0</v>
      </c>
      <c r="G683" t="s">
        <v>1375</v>
      </c>
      <c r="H683">
        <v>0</v>
      </c>
      <c r="I683">
        <v>378688.65</v>
      </c>
      <c r="J683">
        <v>1</v>
      </c>
      <c r="K683">
        <v>0</v>
      </c>
      <c r="L683">
        <v>10</v>
      </c>
      <c r="M683">
        <v>0</v>
      </c>
      <c r="N683">
        <v>1</v>
      </c>
      <c r="O683">
        <v>378688.65</v>
      </c>
      <c r="P683">
        <v>5</v>
      </c>
      <c r="Q683">
        <v>4</v>
      </c>
      <c r="R683">
        <v>3.8000000000000003</v>
      </c>
      <c r="S683" t="s">
        <v>2310</v>
      </c>
      <c r="V683">
        <f t="shared" si="30"/>
        <v>0</v>
      </c>
      <c r="W683">
        <f t="shared" si="31"/>
        <v>0</v>
      </c>
      <c r="X683" t="str">
        <f t="shared" si="32"/>
        <v>MATCH</v>
      </c>
    </row>
    <row r="684" spans="1:24" x14ac:dyDescent="0.3">
      <c r="A684">
        <v>59</v>
      </c>
      <c r="B684" t="s">
        <v>15</v>
      </c>
      <c r="C684">
        <v>394388.09</v>
      </c>
      <c r="D684" t="s">
        <v>1376</v>
      </c>
      <c r="E684">
        <v>394388.09</v>
      </c>
      <c r="F684">
        <v>0</v>
      </c>
      <c r="G684" t="s">
        <v>1377</v>
      </c>
      <c r="H684">
        <v>0</v>
      </c>
      <c r="I684">
        <v>0</v>
      </c>
      <c r="J684">
        <v>1</v>
      </c>
      <c r="K684">
        <v>0</v>
      </c>
      <c r="L684">
        <v>11</v>
      </c>
      <c r="M684">
        <v>0</v>
      </c>
      <c r="N684">
        <v>1</v>
      </c>
      <c r="O684">
        <v>394388.09</v>
      </c>
      <c r="P684">
        <v>5</v>
      </c>
      <c r="Q684">
        <v>5</v>
      </c>
      <c r="R684">
        <v>4.0999999999999996</v>
      </c>
      <c r="S684" t="s">
        <v>2310</v>
      </c>
      <c r="V684">
        <f t="shared" si="30"/>
        <v>0</v>
      </c>
      <c r="W684">
        <f t="shared" si="31"/>
        <v>0</v>
      </c>
      <c r="X684" t="str">
        <f t="shared" si="32"/>
        <v>MATCH</v>
      </c>
    </row>
    <row r="685" spans="1:24" x14ac:dyDescent="0.3">
      <c r="A685">
        <v>59</v>
      </c>
      <c r="B685" t="s">
        <v>18</v>
      </c>
      <c r="C685">
        <v>394388.09</v>
      </c>
      <c r="D685" t="s">
        <v>1378</v>
      </c>
      <c r="E685">
        <v>394388.09</v>
      </c>
      <c r="F685">
        <v>0</v>
      </c>
      <c r="G685" t="s">
        <v>1379</v>
      </c>
      <c r="H685">
        <v>1260564.49</v>
      </c>
      <c r="I685">
        <v>1654952.58</v>
      </c>
      <c r="J685">
        <v>1</v>
      </c>
      <c r="K685">
        <v>0</v>
      </c>
      <c r="L685">
        <v>11</v>
      </c>
      <c r="M685">
        <v>0</v>
      </c>
      <c r="N685">
        <v>1</v>
      </c>
      <c r="O685">
        <v>394388.09</v>
      </c>
      <c r="P685">
        <v>5</v>
      </c>
      <c r="Q685">
        <v>4</v>
      </c>
      <c r="R685">
        <v>3.8000000000000003</v>
      </c>
      <c r="S685" t="s">
        <v>2310</v>
      </c>
      <c r="V685">
        <f t="shared" si="30"/>
        <v>0</v>
      </c>
      <c r="W685">
        <f t="shared" si="31"/>
        <v>0</v>
      </c>
      <c r="X685" t="str">
        <f t="shared" si="32"/>
        <v>MATCH</v>
      </c>
    </row>
    <row r="686" spans="1:24" x14ac:dyDescent="0.3">
      <c r="A686">
        <v>59</v>
      </c>
      <c r="B686" t="s">
        <v>15</v>
      </c>
      <c r="C686">
        <v>3904257.51</v>
      </c>
      <c r="D686" t="s">
        <v>1380</v>
      </c>
      <c r="E686">
        <v>3904257.51</v>
      </c>
      <c r="F686">
        <v>0</v>
      </c>
      <c r="G686" t="s">
        <v>1381</v>
      </c>
      <c r="H686">
        <v>0</v>
      </c>
      <c r="I686">
        <v>0</v>
      </c>
      <c r="J686">
        <v>1</v>
      </c>
      <c r="K686">
        <v>0</v>
      </c>
      <c r="L686">
        <v>11</v>
      </c>
      <c r="M686">
        <v>0</v>
      </c>
      <c r="N686">
        <v>1</v>
      </c>
      <c r="O686">
        <v>3904257.51</v>
      </c>
      <c r="P686">
        <v>5</v>
      </c>
      <c r="Q686">
        <v>5</v>
      </c>
      <c r="R686">
        <v>4.0999999999999996</v>
      </c>
      <c r="S686" t="s">
        <v>2310</v>
      </c>
      <c r="V686">
        <f t="shared" si="30"/>
        <v>0</v>
      </c>
      <c r="W686">
        <f t="shared" si="31"/>
        <v>0</v>
      </c>
      <c r="X686" t="str">
        <f t="shared" si="32"/>
        <v>MATCH</v>
      </c>
    </row>
    <row r="687" spans="1:24" x14ac:dyDescent="0.3">
      <c r="A687">
        <v>59</v>
      </c>
      <c r="B687" t="s">
        <v>18</v>
      </c>
      <c r="C687">
        <v>3904257.51</v>
      </c>
      <c r="D687" t="s">
        <v>1382</v>
      </c>
      <c r="E687">
        <v>3904257.51</v>
      </c>
      <c r="F687">
        <v>0</v>
      </c>
      <c r="G687" t="s">
        <v>1383</v>
      </c>
      <c r="H687">
        <v>0</v>
      </c>
      <c r="I687">
        <v>3904257.51</v>
      </c>
      <c r="J687">
        <v>1</v>
      </c>
      <c r="K687">
        <v>0</v>
      </c>
      <c r="L687">
        <v>11</v>
      </c>
      <c r="M687">
        <v>0</v>
      </c>
      <c r="N687">
        <v>1</v>
      </c>
      <c r="O687">
        <v>3904257.51</v>
      </c>
      <c r="P687">
        <v>5</v>
      </c>
      <c r="Q687">
        <v>4</v>
      </c>
      <c r="R687">
        <v>3.8000000000000003</v>
      </c>
      <c r="S687" t="s">
        <v>2310</v>
      </c>
      <c r="V687">
        <f t="shared" si="30"/>
        <v>0</v>
      </c>
      <c r="W687">
        <f t="shared" si="31"/>
        <v>0</v>
      </c>
      <c r="X687" t="str">
        <f t="shared" si="32"/>
        <v>MATCH</v>
      </c>
    </row>
    <row r="688" spans="1:24" x14ac:dyDescent="0.3">
      <c r="A688">
        <v>59</v>
      </c>
      <c r="B688" t="s">
        <v>15</v>
      </c>
      <c r="C688">
        <v>3857176.83</v>
      </c>
      <c r="D688" t="s">
        <v>1384</v>
      </c>
      <c r="E688">
        <v>3857176.83</v>
      </c>
      <c r="F688">
        <v>0</v>
      </c>
      <c r="G688" t="s">
        <v>1385</v>
      </c>
      <c r="H688">
        <v>0</v>
      </c>
      <c r="I688">
        <v>0</v>
      </c>
      <c r="J688">
        <v>1</v>
      </c>
      <c r="K688">
        <v>0</v>
      </c>
      <c r="L688">
        <v>11</v>
      </c>
      <c r="M688">
        <v>0</v>
      </c>
      <c r="N688">
        <v>1</v>
      </c>
      <c r="O688">
        <v>3857176.83</v>
      </c>
      <c r="P688">
        <v>5</v>
      </c>
      <c r="Q688">
        <v>5</v>
      </c>
      <c r="R688">
        <v>4.0999999999999996</v>
      </c>
      <c r="S688" t="s">
        <v>2310</v>
      </c>
      <c r="V688">
        <f t="shared" si="30"/>
        <v>0</v>
      </c>
      <c r="W688">
        <f t="shared" si="31"/>
        <v>0</v>
      </c>
      <c r="X688" t="str">
        <f t="shared" si="32"/>
        <v>MATCH</v>
      </c>
    </row>
    <row r="689" spans="1:24" x14ac:dyDescent="0.3">
      <c r="A689">
        <v>59</v>
      </c>
      <c r="B689" t="s">
        <v>18</v>
      </c>
      <c r="C689">
        <v>3857176.83</v>
      </c>
      <c r="D689" t="s">
        <v>1386</v>
      </c>
      <c r="E689">
        <v>3857176.83</v>
      </c>
      <c r="F689">
        <v>0</v>
      </c>
      <c r="G689" t="s">
        <v>1387</v>
      </c>
      <c r="H689">
        <v>228541.62</v>
      </c>
      <c r="I689">
        <v>4085718.45</v>
      </c>
      <c r="J689">
        <v>1</v>
      </c>
      <c r="K689">
        <v>0</v>
      </c>
      <c r="L689">
        <v>11</v>
      </c>
      <c r="M689">
        <v>0</v>
      </c>
      <c r="N689">
        <v>1</v>
      </c>
      <c r="O689">
        <v>3857176.83</v>
      </c>
      <c r="P689">
        <v>5</v>
      </c>
      <c r="Q689">
        <v>4</v>
      </c>
      <c r="R689">
        <v>3.8000000000000003</v>
      </c>
      <c r="S689" t="s">
        <v>2310</v>
      </c>
      <c r="V689">
        <f t="shared" si="30"/>
        <v>0</v>
      </c>
      <c r="W689">
        <f t="shared" si="31"/>
        <v>0</v>
      </c>
      <c r="X689" t="str">
        <f t="shared" si="32"/>
        <v>MATCH</v>
      </c>
    </row>
    <row r="690" spans="1:24" x14ac:dyDescent="0.3">
      <c r="A690">
        <v>59</v>
      </c>
      <c r="B690" t="s">
        <v>15</v>
      </c>
      <c r="C690">
        <v>21174.45</v>
      </c>
      <c r="D690" t="s">
        <v>1388</v>
      </c>
      <c r="E690">
        <v>21174.45</v>
      </c>
      <c r="F690">
        <v>0</v>
      </c>
      <c r="G690" t="s">
        <v>1389</v>
      </c>
      <c r="H690">
        <v>0</v>
      </c>
      <c r="I690">
        <v>0</v>
      </c>
      <c r="J690">
        <v>1</v>
      </c>
      <c r="K690">
        <v>0</v>
      </c>
      <c r="L690">
        <v>11</v>
      </c>
      <c r="M690">
        <v>0</v>
      </c>
      <c r="N690">
        <v>1</v>
      </c>
      <c r="O690">
        <v>21174.45</v>
      </c>
      <c r="P690">
        <v>2</v>
      </c>
      <c r="Q690">
        <v>5</v>
      </c>
      <c r="R690">
        <v>2.6</v>
      </c>
      <c r="S690" t="s">
        <v>2312</v>
      </c>
      <c r="V690">
        <f t="shared" si="30"/>
        <v>0</v>
      </c>
      <c r="W690">
        <f t="shared" si="31"/>
        <v>0</v>
      </c>
      <c r="X690" t="str">
        <f t="shared" si="32"/>
        <v>MATCH</v>
      </c>
    </row>
    <row r="691" spans="1:24" x14ac:dyDescent="0.3">
      <c r="A691">
        <v>59</v>
      </c>
      <c r="B691" t="s">
        <v>18</v>
      </c>
      <c r="C691">
        <v>21174.45</v>
      </c>
      <c r="D691" t="s">
        <v>1390</v>
      </c>
      <c r="E691">
        <v>21174.45</v>
      </c>
      <c r="F691">
        <v>0</v>
      </c>
      <c r="G691" t="s">
        <v>1391</v>
      </c>
      <c r="H691">
        <v>31409.08</v>
      </c>
      <c r="I691">
        <v>52583.53</v>
      </c>
      <c r="J691">
        <v>1</v>
      </c>
      <c r="K691">
        <v>0</v>
      </c>
      <c r="L691">
        <v>11</v>
      </c>
      <c r="M691">
        <v>0</v>
      </c>
      <c r="N691">
        <v>1</v>
      </c>
      <c r="O691">
        <v>21174.45</v>
      </c>
      <c r="P691">
        <v>2</v>
      </c>
      <c r="Q691">
        <v>4</v>
      </c>
      <c r="R691">
        <v>2.3000000000000003</v>
      </c>
      <c r="S691" t="s">
        <v>2312</v>
      </c>
      <c r="V691">
        <f t="shared" si="30"/>
        <v>0</v>
      </c>
      <c r="W691">
        <f t="shared" si="31"/>
        <v>0</v>
      </c>
      <c r="X691" t="str">
        <f t="shared" si="32"/>
        <v>MATCH</v>
      </c>
    </row>
    <row r="692" spans="1:24" x14ac:dyDescent="0.3">
      <c r="A692">
        <v>59</v>
      </c>
      <c r="B692" t="s">
        <v>15</v>
      </c>
      <c r="C692">
        <v>192765.49</v>
      </c>
      <c r="D692" t="s">
        <v>1392</v>
      </c>
      <c r="E692">
        <v>192765.49</v>
      </c>
      <c r="F692">
        <v>0</v>
      </c>
      <c r="G692" t="s">
        <v>1393</v>
      </c>
      <c r="H692">
        <v>0</v>
      </c>
      <c r="I692">
        <v>0</v>
      </c>
      <c r="J692">
        <v>1</v>
      </c>
      <c r="K692">
        <v>0</v>
      </c>
      <c r="L692">
        <v>11</v>
      </c>
      <c r="M692">
        <v>0</v>
      </c>
      <c r="N692">
        <v>1</v>
      </c>
      <c r="O692">
        <v>192765.49</v>
      </c>
      <c r="P692">
        <v>4</v>
      </c>
      <c r="Q692">
        <v>5</v>
      </c>
      <c r="R692">
        <v>3.6</v>
      </c>
      <c r="S692" t="s">
        <v>2310</v>
      </c>
      <c r="V692">
        <f t="shared" si="30"/>
        <v>0</v>
      </c>
      <c r="W692">
        <f t="shared" si="31"/>
        <v>0</v>
      </c>
      <c r="X692" t="str">
        <f t="shared" si="32"/>
        <v>MATCH</v>
      </c>
    </row>
    <row r="693" spans="1:24" x14ac:dyDescent="0.3">
      <c r="A693">
        <v>59</v>
      </c>
      <c r="B693" t="s">
        <v>18</v>
      </c>
      <c r="C693">
        <v>192765.49</v>
      </c>
      <c r="D693" t="s">
        <v>1394</v>
      </c>
      <c r="E693">
        <v>192765.49</v>
      </c>
      <c r="F693">
        <v>0</v>
      </c>
      <c r="G693" t="s">
        <v>1395</v>
      </c>
      <c r="H693">
        <v>3252407.57</v>
      </c>
      <c r="I693">
        <v>3445173.06</v>
      </c>
      <c r="J693">
        <v>1</v>
      </c>
      <c r="K693">
        <v>0</v>
      </c>
      <c r="L693">
        <v>11</v>
      </c>
      <c r="M693">
        <v>0</v>
      </c>
      <c r="N693">
        <v>1</v>
      </c>
      <c r="O693">
        <v>192765.49</v>
      </c>
      <c r="P693">
        <v>4</v>
      </c>
      <c r="Q693">
        <v>4</v>
      </c>
      <c r="R693">
        <v>3.3000000000000003</v>
      </c>
      <c r="S693" t="s">
        <v>2310</v>
      </c>
      <c r="V693">
        <f t="shared" si="30"/>
        <v>0</v>
      </c>
      <c r="W693">
        <f t="shared" si="31"/>
        <v>0</v>
      </c>
      <c r="X693" t="str">
        <f t="shared" si="32"/>
        <v>MATCH</v>
      </c>
    </row>
    <row r="694" spans="1:24" x14ac:dyDescent="0.3">
      <c r="A694">
        <v>59</v>
      </c>
      <c r="B694" t="s">
        <v>15</v>
      </c>
      <c r="C694">
        <v>1011606.26</v>
      </c>
      <c r="D694" t="s">
        <v>1396</v>
      </c>
      <c r="E694">
        <v>1011606.26</v>
      </c>
      <c r="F694">
        <v>0</v>
      </c>
      <c r="G694" t="s">
        <v>1397</v>
      </c>
      <c r="H694">
        <v>0</v>
      </c>
      <c r="I694">
        <v>0</v>
      </c>
      <c r="J694">
        <v>1</v>
      </c>
      <c r="K694">
        <v>0</v>
      </c>
      <c r="L694">
        <v>11</v>
      </c>
      <c r="M694">
        <v>0</v>
      </c>
      <c r="N694">
        <v>1</v>
      </c>
      <c r="O694">
        <v>1011606.26</v>
      </c>
      <c r="P694">
        <v>5</v>
      </c>
      <c r="Q694">
        <v>5</v>
      </c>
      <c r="R694">
        <v>4.0999999999999996</v>
      </c>
      <c r="S694" t="s">
        <v>2310</v>
      </c>
      <c r="V694">
        <f t="shared" si="30"/>
        <v>0</v>
      </c>
      <c r="W694">
        <f t="shared" si="31"/>
        <v>0</v>
      </c>
      <c r="X694" t="str">
        <f t="shared" si="32"/>
        <v>MATCH</v>
      </c>
    </row>
    <row r="695" spans="1:24" x14ac:dyDescent="0.3">
      <c r="A695">
        <v>59</v>
      </c>
      <c r="B695" t="s">
        <v>18</v>
      </c>
      <c r="C695">
        <v>1011606.26</v>
      </c>
      <c r="D695" t="s">
        <v>1398</v>
      </c>
      <c r="E695">
        <v>1011606.26</v>
      </c>
      <c r="F695">
        <v>0</v>
      </c>
      <c r="G695" t="s">
        <v>1399</v>
      </c>
      <c r="H695">
        <v>0</v>
      </c>
      <c r="I695">
        <v>1011606.26</v>
      </c>
      <c r="J695">
        <v>1</v>
      </c>
      <c r="K695">
        <v>0</v>
      </c>
      <c r="L695">
        <v>11</v>
      </c>
      <c r="M695">
        <v>0</v>
      </c>
      <c r="N695">
        <v>1</v>
      </c>
      <c r="O695">
        <v>1011606.26</v>
      </c>
      <c r="P695">
        <v>5</v>
      </c>
      <c r="Q695">
        <v>4</v>
      </c>
      <c r="R695">
        <v>3.8000000000000003</v>
      </c>
      <c r="S695" t="s">
        <v>2310</v>
      </c>
      <c r="V695">
        <f t="shared" si="30"/>
        <v>0</v>
      </c>
      <c r="W695">
        <f t="shared" si="31"/>
        <v>0</v>
      </c>
      <c r="X695" t="str">
        <f t="shared" si="32"/>
        <v>MATCH</v>
      </c>
    </row>
    <row r="696" spans="1:24" x14ac:dyDescent="0.3">
      <c r="A696">
        <v>59</v>
      </c>
      <c r="B696" t="s">
        <v>15</v>
      </c>
      <c r="C696">
        <v>2050727.81</v>
      </c>
      <c r="D696" t="s">
        <v>1400</v>
      </c>
      <c r="E696">
        <v>2050727.81</v>
      </c>
      <c r="F696">
        <v>0</v>
      </c>
      <c r="G696" t="s">
        <v>1401</v>
      </c>
      <c r="H696">
        <v>0</v>
      </c>
      <c r="I696">
        <v>0</v>
      </c>
      <c r="J696">
        <v>1</v>
      </c>
      <c r="K696">
        <v>0</v>
      </c>
      <c r="L696">
        <v>11</v>
      </c>
      <c r="M696">
        <v>0</v>
      </c>
      <c r="N696">
        <v>1</v>
      </c>
      <c r="O696">
        <v>2050727.81</v>
      </c>
      <c r="P696">
        <v>5</v>
      </c>
      <c r="Q696">
        <v>5</v>
      </c>
      <c r="R696">
        <v>4.0999999999999996</v>
      </c>
      <c r="S696" t="s">
        <v>2310</v>
      </c>
      <c r="V696">
        <f t="shared" si="30"/>
        <v>0</v>
      </c>
      <c r="W696">
        <f t="shared" si="31"/>
        <v>0</v>
      </c>
      <c r="X696" t="str">
        <f t="shared" si="32"/>
        <v>MATCH</v>
      </c>
    </row>
    <row r="697" spans="1:24" x14ac:dyDescent="0.3">
      <c r="A697">
        <v>59</v>
      </c>
      <c r="B697" t="s">
        <v>18</v>
      </c>
      <c r="C697">
        <v>2050727.81</v>
      </c>
      <c r="D697" t="s">
        <v>1402</v>
      </c>
      <c r="E697">
        <v>2050727.81</v>
      </c>
      <c r="F697">
        <v>0</v>
      </c>
      <c r="G697" t="s">
        <v>926</v>
      </c>
      <c r="H697">
        <v>0</v>
      </c>
      <c r="I697">
        <v>2050727.81</v>
      </c>
      <c r="J697">
        <v>1</v>
      </c>
      <c r="K697">
        <v>0</v>
      </c>
      <c r="L697">
        <v>11</v>
      </c>
      <c r="M697">
        <v>0</v>
      </c>
      <c r="N697">
        <v>1</v>
      </c>
      <c r="O697">
        <v>2050727.81</v>
      </c>
      <c r="P697">
        <v>5</v>
      </c>
      <c r="Q697">
        <v>4</v>
      </c>
      <c r="R697">
        <v>3.8000000000000003</v>
      </c>
      <c r="S697" t="s">
        <v>2310</v>
      </c>
      <c r="V697">
        <f t="shared" si="30"/>
        <v>0</v>
      </c>
      <c r="W697">
        <f t="shared" si="31"/>
        <v>0</v>
      </c>
      <c r="X697" t="str">
        <f t="shared" si="32"/>
        <v>MATCH</v>
      </c>
    </row>
    <row r="698" spans="1:24" x14ac:dyDescent="0.3">
      <c r="A698">
        <v>59</v>
      </c>
      <c r="B698" t="s">
        <v>15</v>
      </c>
      <c r="C698">
        <v>9748.89</v>
      </c>
      <c r="D698" t="s">
        <v>1403</v>
      </c>
      <c r="E698">
        <v>9748.89</v>
      </c>
      <c r="F698">
        <v>0</v>
      </c>
      <c r="G698" t="s">
        <v>1404</v>
      </c>
      <c r="H698">
        <v>0</v>
      </c>
      <c r="I698">
        <v>0</v>
      </c>
      <c r="J698">
        <v>1</v>
      </c>
      <c r="K698">
        <v>0</v>
      </c>
      <c r="L698">
        <v>11</v>
      </c>
      <c r="M698">
        <v>0</v>
      </c>
      <c r="N698">
        <v>1</v>
      </c>
      <c r="O698">
        <v>9748.89</v>
      </c>
      <c r="P698">
        <v>1</v>
      </c>
      <c r="Q698">
        <v>5</v>
      </c>
      <c r="R698">
        <v>2.1</v>
      </c>
      <c r="S698" t="s">
        <v>2312</v>
      </c>
      <c r="V698">
        <f t="shared" si="30"/>
        <v>0</v>
      </c>
      <c r="W698">
        <f t="shared" si="31"/>
        <v>0</v>
      </c>
      <c r="X698" t="str">
        <f t="shared" si="32"/>
        <v>MATCH</v>
      </c>
    </row>
    <row r="699" spans="1:24" x14ac:dyDescent="0.3">
      <c r="A699">
        <v>59</v>
      </c>
      <c r="B699" t="s">
        <v>18</v>
      </c>
      <c r="C699">
        <v>9748.89</v>
      </c>
      <c r="D699" t="s">
        <v>1405</v>
      </c>
      <c r="E699">
        <v>9748.89</v>
      </c>
      <c r="F699">
        <v>0</v>
      </c>
      <c r="G699" t="s">
        <v>1406</v>
      </c>
      <c r="H699">
        <v>180869.12</v>
      </c>
      <c r="I699">
        <v>190618.01</v>
      </c>
      <c r="J699">
        <v>1</v>
      </c>
      <c r="K699">
        <v>0</v>
      </c>
      <c r="L699">
        <v>11</v>
      </c>
      <c r="M699">
        <v>0</v>
      </c>
      <c r="N699">
        <v>1</v>
      </c>
      <c r="O699">
        <v>9748.89</v>
      </c>
      <c r="P699">
        <v>1</v>
      </c>
      <c r="Q699">
        <v>4</v>
      </c>
      <c r="R699">
        <v>1.8</v>
      </c>
      <c r="S699" t="s">
        <v>2311</v>
      </c>
      <c r="V699">
        <f t="shared" si="30"/>
        <v>0</v>
      </c>
      <c r="W699">
        <f t="shared" si="31"/>
        <v>0</v>
      </c>
      <c r="X699" t="str">
        <f t="shared" si="32"/>
        <v>MATCH</v>
      </c>
    </row>
    <row r="700" spans="1:24" x14ac:dyDescent="0.3">
      <c r="A700">
        <v>59</v>
      </c>
      <c r="B700" t="s">
        <v>15</v>
      </c>
      <c r="C700">
        <v>44733.5</v>
      </c>
      <c r="D700" t="s">
        <v>1407</v>
      </c>
      <c r="E700">
        <v>44733.5</v>
      </c>
      <c r="F700">
        <v>0</v>
      </c>
      <c r="G700" t="s">
        <v>1408</v>
      </c>
      <c r="H700">
        <v>0</v>
      </c>
      <c r="I700">
        <v>0</v>
      </c>
      <c r="J700">
        <v>1</v>
      </c>
      <c r="K700">
        <v>0</v>
      </c>
      <c r="L700">
        <v>11</v>
      </c>
      <c r="M700">
        <v>0</v>
      </c>
      <c r="N700">
        <v>1</v>
      </c>
      <c r="O700">
        <v>44733.5</v>
      </c>
      <c r="P700">
        <v>2</v>
      </c>
      <c r="Q700">
        <v>5</v>
      </c>
      <c r="R700">
        <v>2.6</v>
      </c>
      <c r="S700" t="s">
        <v>2312</v>
      </c>
      <c r="V700">
        <f t="shared" si="30"/>
        <v>0</v>
      </c>
      <c r="W700">
        <f t="shared" si="31"/>
        <v>0</v>
      </c>
      <c r="X700" t="str">
        <f t="shared" si="32"/>
        <v>MATCH</v>
      </c>
    </row>
    <row r="701" spans="1:24" x14ac:dyDescent="0.3">
      <c r="A701">
        <v>59</v>
      </c>
      <c r="B701" t="s">
        <v>18</v>
      </c>
      <c r="C701">
        <v>44733.5</v>
      </c>
      <c r="D701" t="s">
        <v>1409</v>
      </c>
      <c r="E701">
        <v>44733.5</v>
      </c>
      <c r="F701">
        <v>0</v>
      </c>
      <c r="G701" t="s">
        <v>1410</v>
      </c>
      <c r="H701">
        <v>2534461.11</v>
      </c>
      <c r="I701">
        <v>2579194.61</v>
      </c>
      <c r="J701">
        <v>1</v>
      </c>
      <c r="K701">
        <v>0</v>
      </c>
      <c r="L701">
        <v>11</v>
      </c>
      <c r="M701">
        <v>0</v>
      </c>
      <c r="N701">
        <v>1</v>
      </c>
      <c r="O701">
        <v>44733.5</v>
      </c>
      <c r="P701">
        <v>2</v>
      </c>
      <c r="Q701">
        <v>4</v>
      </c>
      <c r="R701">
        <v>2.3000000000000003</v>
      </c>
      <c r="S701" t="s">
        <v>2312</v>
      </c>
      <c r="V701">
        <f t="shared" si="30"/>
        <v>0</v>
      </c>
      <c r="W701">
        <f t="shared" si="31"/>
        <v>0</v>
      </c>
      <c r="X701" t="str">
        <f t="shared" si="32"/>
        <v>MATCH</v>
      </c>
    </row>
    <row r="702" spans="1:24" x14ac:dyDescent="0.3">
      <c r="A702">
        <v>59</v>
      </c>
      <c r="B702" t="s">
        <v>15</v>
      </c>
      <c r="C702">
        <v>1367340.03</v>
      </c>
      <c r="D702" t="s">
        <v>1411</v>
      </c>
      <c r="E702">
        <v>1367340.03</v>
      </c>
      <c r="F702">
        <v>0</v>
      </c>
      <c r="G702" t="s">
        <v>1412</v>
      </c>
      <c r="H702">
        <v>0</v>
      </c>
      <c r="I702">
        <v>0</v>
      </c>
      <c r="J702">
        <v>1</v>
      </c>
      <c r="K702">
        <v>0</v>
      </c>
      <c r="L702">
        <v>11</v>
      </c>
      <c r="M702">
        <v>0</v>
      </c>
      <c r="N702">
        <v>1</v>
      </c>
      <c r="O702">
        <v>1367340.03</v>
      </c>
      <c r="P702">
        <v>5</v>
      </c>
      <c r="Q702">
        <v>5</v>
      </c>
      <c r="R702">
        <v>4.0999999999999996</v>
      </c>
      <c r="S702" t="s">
        <v>2310</v>
      </c>
      <c r="V702">
        <f t="shared" si="30"/>
        <v>0</v>
      </c>
      <c r="W702">
        <f t="shared" si="31"/>
        <v>0</v>
      </c>
      <c r="X702" t="str">
        <f t="shared" si="32"/>
        <v>MATCH</v>
      </c>
    </row>
    <row r="703" spans="1:24" x14ac:dyDescent="0.3">
      <c r="A703">
        <v>59</v>
      </c>
      <c r="B703" t="s">
        <v>18</v>
      </c>
      <c r="C703">
        <v>1367340.03</v>
      </c>
      <c r="D703" t="s">
        <v>1413</v>
      </c>
      <c r="E703">
        <v>1367340.03</v>
      </c>
      <c r="F703">
        <v>0</v>
      </c>
      <c r="G703" t="s">
        <v>1414</v>
      </c>
      <c r="H703">
        <v>296833.59999999998</v>
      </c>
      <c r="I703">
        <v>1664173.63</v>
      </c>
      <c r="J703">
        <v>1</v>
      </c>
      <c r="K703">
        <v>0</v>
      </c>
      <c r="L703">
        <v>11</v>
      </c>
      <c r="M703">
        <v>0</v>
      </c>
      <c r="N703">
        <v>1</v>
      </c>
      <c r="O703">
        <v>1367340.03</v>
      </c>
      <c r="P703">
        <v>5</v>
      </c>
      <c r="Q703">
        <v>4</v>
      </c>
      <c r="R703">
        <v>3.8000000000000003</v>
      </c>
      <c r="S703" t="s">
        <v>2310</v>
      </c>
      <c r="V703">
        <f t="shared" si="30"/>
        <v>0</v>
      </c>
      <c r="W703">
        <f t="shared" si="31"/>
        <v>0</v>
      </c>
      <c r="X703" t="str">
        <f t="shared" si="32"/>
        <v>MATCH</v>
      </c>
    </row>
    <row r="704" spans="1:24" x14ac:dyDescent="0.3">
      <c r="A704">
        <v>60</v>
      </c>
      <c r="B704" t="s">
        <v>15</v>
      </c>
      <c r="C704">
        <v>1026208.84</v>
      </c>
      <c r="D704" t="s">
        <v>1415</v>
      </c>
      <c r="E704">
        <v>1026208.84</v>
      </c>
      <c r="F704">
        <v>0</v>
      </c>
      <c r="G704" t="s">
        <v>1416</v>
      </c>
      <c r="H704">
        <v>0</v>
      </c>
      <c r="I704">
        <v>0</v>
      </c>
      <c r="J704">
        <v>1</v>
      </c>
      <c r="K704">
        <v>0</v>
      </c>
      <c r="L704">
        <v>12</v>
      </c>
      <c r="M704">
        <v>0</v>
      </c>
      <c r="N704">
        <v>1</v>
      </c>
      <c r="O704">
        <v>1026208.84</v>
      </c>
      <c r="P704">
        <v>5</v>
      </c>
      <c r="Q704">
        <v>5</v>
      </c>
      <c r="R704">
        <v>4.0999999999999996</v>
      </c>
      <c r="S704" t="s">
        <v>2310</v>
      </c>
      <c r="V704">
        <f t="shared" si="30"/>
        <v>0</v>
      </c>
      <c r="W704">
        <f t="shared" si="31"/>
        <v>0</v>
      </c>
      <c r="X704" t="str">
        <f t="shared" si="32"/>
        <v>MATCH</v>
      </c>
    </row>
    <row r="705" spans="1:24" x14ac:dyDescent="0.3">
      <c r="A705">
        <v>60</v>
      </c>
      <c r="B705" t="s">
        <v>18</v>
      </c>
      <c r="C705">
        <v>1026208.84</v>
      </c>
      <c r="D705" t="s">
        <v>1417</v>
      </c>
      <c r="E705">
        <v>1026208.84</v>
      </c>
      <c r="F705">
        <v>0</v>
      </c>
      <c r="G705" t="s">
        <v>1418</v>
      </c>
      <c r="H705">
        <v>353447.51</v>
      </c>
      <c r="I705">
        <v>1379656.35</v>
      </c>
      <c r="J705">
        <v>1</v>
      </c>
      <c r="K705">
        <v>0</v>
      </c>
      <c r="L705">
        <v>12</v>
      </c>
      <c r="M705">
        <v>0</v>
      </c>
      <c r="N705">
        <v>1</v>
      </c>
      <c r="O705">
        <v>1026208.84</v>
      </c>
      <c r="P705">
        <v>5</v>
      </c>
      <c r="Q705">
        <v>4</v>
      </c>
      <c r="R705">
        <v>3.8000000000000003</v>
      </c>
      <c r="S705" t="s">
        <v>2310</v>
      </c>
      <c r="V705">
        <f t="shared" si="30"/>
        <v>0</v>
      </c>
      <c r="W705">
        <f t="shared" si="31"/>
        <v>0</v>
      </c>
      <c r="X705" t="str">
        <f t="shared" si="32"/>
        <v>MATCH</v>
      </c>
    </row>
    <row r="706" spans="1:24" x14ac:dyDescent="0.3">
      <c r="A706">
        <v>60</v>
      </c>
      <c r="B706" t="s">
        <v>15</v>
      </c>
      <c r="C706">
        <v>40486.25</v>
      </c>
      <c r="D706" t="s">
        <v>1419</v>
      </c>
      <c r="E706">
        <v>40486.25</v>
      </c>
      <c r="F706">
        <v>0</v>
      </c>
      <c r="G706" t="s">
        <v>1420</v>
      </c>
      <c r="H706">
        <v>0</v>
      </c>
      <c r="I706">
        <v>0</v>
      </c>
      <c r="J706">
        <v>1</v>
      </c>
      <c r="K706">
        <v>0</v>
      </c>
      <c r="L706">
        <v>12</v>
      </c>
      <c r="M706">
        <v>0</v>
      </c>
      <c r="N706">
        <v>1</v>
      </c>
      <c r="O706">
        <v>40486.25</v>
      </c>
      <c r="P706">
        <v>2</v>
      </c>
      <c r="Q706">
        <v>5</v>
      </c>
      <c r="R706">
        <v>2.6</v>
      </c>
      <c r="S706" t="s">
        <v>2312</v>
      </c>
      <c r="V706">
        <f t="shared" si="30"/>
        <v>0</v>
      </c>
      <c r="W706">
        <f t="shared" si="31"/>
        <v>0</v>
      </c>
      <c r="X706" t="str">
        <f t="shared" si="32"/>
        <v>MATCH</v>
      </c>
    </row>
    <row r="707" spans="1:24" x14ac:dyDescent="0.3">
      <c r="A707">
        <v>60</v>
      </c>
      <c r="B707" t="s">
        <v>18</v>
      </c>
      <c r="C707">
        <v>40486.25</v>
      </c>
      <c r="D707" t="s">
        <v>1421</v>
      </c>
      <c r="E707">
        <v>40486.25</v>
      </c>
      <c r="F707">
        <v>0</v>
      </c>
      <c r="G707" t="s">
        <v>1422</v>
      </c>
      <c r="H707">
        <v>4716889.9000000004</v>
      </c>
      <c r="I707">
        <v>4757376.1500000004</v>
      </c>
      <c r="J707">
        <v>1</v>
      </c>
      <c r="K707">
        <v>0</v>
      </c>
      <c r="L707">
        <v>12</v>
      </c>
      <c r="M707">
        <v>0</v>
      </c>
      <c r="N707">
        <v>1</v>
      </c>
      <c r="O707">
        <v>40486.25</v>
      </c>
      <c r="P707">
        <v>2</v>
      </c>
      <c r="Q707">
        <v>4</v>
      </c>
      <c r="R707">
        <v>2.3000000000000003</v>
      </c>
      <c r="S707" t="s">
        <v>2312</v>
      </c>
      <c r="V707">
        <f t="shared" ref="V707:V770" si="33">E707-C707</f>
        <v>0</v>
      </c>
      <c r="W707">
        <f t="shared" ref="W707:W770" si="34">ABS(F707-V707)</f>
        <v>0</v>
      </c>
      <c r="X707" t="str">
        <f t="shared" ref="X707:X770" si="35">IF(W707&lt;1,"MATCH","BREAK")</f>
        <v>MATCH</v>
      </c>
    </row>
    <row r="708" spans="1:24" x14ac:dyDescent="0.3">
      <c r="A708">
        <v>60</v>
      </c>
      <c r="B708" t="s">
        <v>15</v>
      </c>
      <c r="C708">
        <v>89014.32</v>
      </c>
      <c r="D708" t="s">
        <v>1423</v>
      </c>
      <c r="E708">
        <v>89014.32</v>
      </c>
      <c r="F708">
        <v>0</v>
      </c>
      <c r="G708" t="s">
        <v>1424</v>
      </c>
      <c r="H708">
        <v>0</v>
      </c>
      <c r="I708">
        <v>0</v>
      </c>
      <c r="J708">
        <v>1</v>
      </c>
      <c r="K708">
        <v>0</v>
      </c>
      <c r="L708">
        <v>12</v>
      </c>
      <c r="M708">
        <v>0</v>
      </c>
      <c r="N708">
        <v>1</v>
      </c>
      <c r="O708">
        <v>89014.32</v>
      </c>
      <c r="P708">
        <v>3</v>
      </c>
      <c r="Q708">
        <v>5</v>
      </c>
      <c r="R708">
        <v>3.1</v>
      </c>
      <c r="S708" t="s">
        <v>2310</v>
      </c>
      <c r="V708">
        <f t="shared" si="33"/>
        <v>0</v>
      </c>
      <c r="W708">
        <f t="shared" si="34"/>
        <v>0</v>
      </c>
      <c r="X708" t="str">
        <f t="shared" si="35"/>
        <v>MATCH</v>
      </c>
    </row>
    <row r="709" spans="1:24" x14ac:dyDescent="0.3">
      <c r="A709">
        <v>60</v>
      </c>
      <c r="B709" t="s">
        <v>18</v>
      </c>
      <c r="C709">
        <v>89014.32</v>
      </c>
      <c r="D709" t="s">
        <v>1425</v>
      </c>
      <c r="E709">
        <v>89014.32</v>
      </c>
      <c r="F709">
        <v>0</v>
      </c>
      <c r="G709" t="s">
        <v>1426</v>
      </c>
      <c r="H709">
        <v>330651.68</v>
      </c>
      <c r="I709">
        <v>419666</v>
      </c>
      <c r="J709">
        <v>1</v>
      </c>
      <c r="K709">
        <v>0</v>
      </c>
      <c r="L709">
        <v>12</v>
      </c>
      <c r="M709">
        <v>0</v>
      </c>
      <c r="N709">
        <v>1</v>
      </c>
      <c r="O709">
        <v>89014.32</v>
      </c>
      <c r="P709">
        <v>3</v>
      </c>
      <c r="Q709">
        <v>4</v>
      </c>
      <c r="R709">
        <v>2.8000000000000003</v>
      </c>
      <c r="S709" t="s">
        <v>2312</v>
      </c>
      <c r="V709">
        <f t="shared" si="33"/>
        <v>0</v>
      </c>
      <c r="W709">
        <f t="shared" si="34"/>
        <v>0</v>
      </c>
      <c r="X709" t="str">
        <f t="shared" si="35"/>
        <v>MATCH</v>
      </c>
    </row>
    <row r="710" spans="1:24" x14ac:dyDescent="0.3">
      <c r="A710">
        <v>60</v>
      </c>
      <c r="B710" t="s">
        <v>15</v>
      </c>
      <c r="C710">
        <v>45807.51</v>
      </c>
      <c r="D710" t="s">
        <v>1427</v>
      </c>
      <c r="E710">
        <v>45807.51</v>
      </c>
      <c r="F710">
        <v>0</v>
      </c>
      <c r="G710" t="s">
        <v>1428</v>
      </c>
      <c r="H710">
        <v>0</v>
      </c>
      <c r="I710">
        <v>0</v>
      </c>
      <c r="J710">
        <v>1</v>
      </c>
      <c r="K710">
        <v>0</v>
      </c>
      <c r="L710">
        <v>12</v>
      </c>
      <c r="M710">
        <v>0</v>
      </c>
      <c r="N710">
        <v>1</v>
      </c>
      <c r="O710">
        <v>45807.51</v>
      </c>
      <c r="P710">
        <v>2</v>
      </c>
      <c r="Q710">
        <v>5</v>
      </c>
      <c r="R710">
        <v>2.6</v>
      </c>
      <c r="S710" t="s">
        <v>2312</v>
      </c>
      <c r="V710">
        <f t="shared" si="33"/>
        <v>0</v>
      </c>
      <c r="W710">
        <f t="shared" si="34"/>
        <v>0</v>
      </c>
      <c r="X710" t="str">
        <f t="shared" si="35"/>
        <v>MATCH</v>
      </c>
    </row>
    <row r="711" spans="1:24" x14ac:dyDescent="0.3">
      <c r="A711">
        <v>60</v>
      </c>
      <c r="B711" t="s">
        <v>18</v>
      </c>
      <c r="C711">
        <v>45807.51</v>
      </c>
      <c r="D711" t="s">
        <v>1429</v>
      </c>
      <c r="E711">
        <v>45807.51</v>
      </c>
      <c r="F711">
        <v>0</v>
      </c>
      <c r="G711" t="s">
        <v>1430</v>
      </c>
      <c r="H711">
        <v>267824.05</v>
      </c>
      <c r="I711">
        <v>313631.56</v>
      </c>
      <c r="J711">
        <v>1</v>
      </c>
      <c r="K711">
        <v>0</v>
      </c>
      <c r="L711">
        <v>12</v>
      </c>
      <c r="M711">
        <v>0</v>
      </c>
      <c r="N711">
        <v>1</v>
      </c>
      <c r="O711">
        <v>45807.51</v>
      </c>
      <c r="P711">
        <v>2</v>
      </c>
      <c r="Q711">
        <v>4</v>
      </c>
      <c r="R711">
        <v>2.3000000000000003</v>
      </c>
      <c r="S711" t="s">
        <v>2312</v>
      </c>
      <c r="V711">
        <f t="shared" si="33"/>
        <v>0</v>
      </c>
      <c r="W711">
        <f t="shared" si="34"/>
        <v>0</v>
      </c>
      <c r="X711" t="str">
        <f t="shared" si="35"/>
        <v>MATCH</v>
      </c>
    </row>
    <row r="712" spans="1:24" x14ac:dyDescent="0.3">
      <c r="A712">
        <v>60</v>
      </c>
      <c r="B712" t="s">
        <v>15</v>
      </c>
      <c r="C712">
        <v>742973.53</v>
      </c>
      <c r="D712" t="s">
        <v>1431</v>
      </c>
      <c r="E712">
        <v>742973.53</v>
      </c>
      <c r="F712">
        <v>0</v>
      </c>
      <c r="G712" t="s">
        <v>1432</v>
      </c>
      <c r="H712">
        <v>0</v>
      </c>
      <c r="I712">
        <v>0</v>
      </c>
      <c r="J712">
        <v>1</v>
      </c>
      <c r="K712">
        <v>0</v>
      </c>
      <c r="L712">
        <v>12</v>
      </c>
      <c r="M712">
        <v>0</v>
      </c>
      <c r="N712">
        <v>1</v>
      </c>
      <c r="O712">
        <v>742973.53</v>
      </c>
      <c r="P712">
        <v>5</v>
      </c>
      <c r="Q712">
        <v>5</v>
      </c>
      <c r="R712">
        <v>4.0999999999999996</v>
      </c>
      <c r="S712" t="s">
        <v>2310</v>
      </c>
      <c r="V712">
        <f t="shared" si="33"/>
        <v>0</v>
      </c>
      <c r="W712">
        <f t="shared" si="34"/>
        <v>0</v>
      </c>
      <c r="X712" t="str">
        <f t="shared" si="35"/>
        <v>MATCH</v>
      </c>
    </row>
    <row r="713" spans="1:24" x14ac:dyDescent="0.3">
      <c r="A713">
        <v>60</v>
      </c>
      <c r="B713" t="s">
        <v>18</v>
      </c>
      <c r="C713">
        <v>742973.53</v>
      </c>
      <c r="D713" t="s">
        <v>1433</v>
      </c>
      <c r="E713">
        <v>742973.53</v>
      </c>
      <c r="F713">
        <v>0</v>
      </c>
      <c r="G713" t="s">
        <v>1434</v>
      </c>
      <c r="H713">
        <v>0</v>
      </c>
      <c r="I713">
        <v>742973.53</v>
      </c>
      <c r="J713">
        <v>1</v>
      </c>
      <c r="K713">
        <v>0</v>
      </c>
      <c r="L713">
        <v>12</v>
      </c>
      <c r="M713">
        <v>0</v>
      </c>
      <c r="N713">
        <v>1</v>
      </c>
      <c r="O713">
        <v>742973.53</v>
      </c>
      <c r="P713">
        <v>5</v>
      </c>
      <c r="Q713">
        <v>4</v>
      </c>
      <c r="R713">
        <v>3.8000000000000003</v>
      </c>
      <c r="S713" t="s">
        <v>2310</v>
      </c>
      <c r="V713">
        <f t="shared" si="33"/>
        <v>0</v>
      </c>
      <c r="W713">
        <f t="shared" si="34"/>
        <v>0</v>
      </c>
      <c r="X713" t="str">
        <f t="shared" si="35"/>
        <v>MATCH</v>
      </c>
    </row>
    <row r="714" spans="1:24" x14ac:dyDescent="0.3">
      <c r="A714">
        <v>60</v>
      </c>
      <c r="B714" t="s">
        <v>15</v>
      </c>
      <c r="C714">
        <v>581421.85</v>
      </c>
      <c r="D714" t="s">
        <v>1435</v>
      </c>
      <c r="E714">
        <v>581421.85</v>
      </c>
      <c r="F714">
        <v>0</v>
      </c>
      <c r="G714" t="s">
        <v>1436</v>
      </c>
      <c r="H714">
        <v>0</v>
      </c>
      <c r="I714">
        <v>0</v>
      </c>
      <c r="J714">
        <v>1</v>
      </c>
      <c r="K714">
        <v>0</v>
      </c>
      <c r="L714">
        <v>12</v>
      </c>
      <c r="M714">
        <v>0</v>
      </c>
      <c r="N714">
        <v>1</v>
      </c>
      <c r="O714">
        <v>581421.85</v>
      </c>
      <c r="P714">
        <v>5</v>
      </c>
      <c r="Q714">
        <v>5</v>
      </c>
      <c r="R714">
        <v>4.0999999999999996</v>
      </c>
      <c r="S714" t="s">
        <v>2310</v>
      </c>
      <c r="V714">
        <f t="shared" si="33"/>
        <v>0</v>
      </c>
      <c r="W714">
        <f t="shared" si="34"/>
        <v>0</v>
      </c>
      <c r="X714" t="str">
        <f t="shared" si="35"/>
        <v>MATCH</v>
      </c>
    </row>
    <row r="715" spans="1:24" x14ac:dyDescent="0.3">
      <c r="A715">
        <v>60</v>
      </c>
      <c r="B715" t="s">
        <v>18</v>
      </c>
      <c r="C715">
        <v>581421.85</v>
      </c>
      <c r="D715" t="s">
        <v>1437</v>
      </c>
      <c r="E715">
        <v>581421.85</v>
      </c>
      <c r="F715">
        <v>0</v>
      </c>
      <c r="G715" t="s">
        <v>1438</v>
      </c>
      <c r="H715">
        <v>407848.96000000002</v>
      </c>
      <c r="I715">
        <v>989270.81</v>
      </c>
      <c r="J715">
        <v>1</v>
      </c>
      <c r="K715">
        <v>0</v>
      </c>
      <c r="L715">
        <v>12</v>
      </c>
      <c r="M715">
        <v>0</v>
      </c>
      <c r="N715">
        <v>1</v>
      </c>
      <c r="O715">
        <v>581421.85</v>
      </c>
      <c r="P715">
        <v>5</v>
      </c>
      <c r="Q715">
        <v>4</v>
      </c>
      <c r="R715">
        <v>3.8000000000000003</v>
      </c>
      <c r="S715" t="s">
        <v>2310</v>
      </c>
      <c r="V715">
        <f t="shared" si="33"/>
        <v>0</v>
      </c>
      <c r="W715">
        <f t="shared" si="34"/>
        <v>0</v>
      </c>
      <c r="X715" t="str">
        <f t="shared" si="35"/>
        <v>MATCH</v>
      </c>
    </row>
    <row r="716" spans="1:24" x14ac:dyDescent="0.3">
      <c r="A716">
        <v>61</v>
      </c>
      <c r="B716" t="s">
        <v>15</v>
      </c>
      <c r="C716">
        <v>475368.94</v>
      </c>
      <c r="D716" t="s">
        <v>1439</v>
      </c>
      <c r="E716">
        <v>475368.94</v>
      </c>
      <c r="F716">
        <v>0</v>
      </c>
      <c r="G716" t="s">
        <v>1440</v>
      </c>
      <c r="H716">
        <v>0</v>
      </c>
      <c r="I716">
        <v>0</v>
      </c>
      <c r="J716">
        <v>1</v>
      </c>
      <c r="K716">
        <v>0</v>
      </c>
      <c r="L716">
        <v>13</v>
      </c>
      <c r="M716">
        <v>0</v>
      </c>
      <c r="N716">
        <v>1</v>
      </c>
      <c r="O716">
        <v>475368.94</v>
      </c>
      <c r="P716">
        <v>5</v>
      </c>
      <c r="Q716">
        <v>5</v>
      </c>
      <c r="R716">
        <v>4.0999999999999996</v>
      </c>
      <c r="S716" t="s">
        <v>2310</v>
      </c>
      <c r="V716">
        <f t="shared" si="33"/>
        <v>0</v>
      </c>
      <c r="W716">
        <f t="shared" si="34"/>
        <v>0</v>
      </c>
      <c r="X716" t="str">
        <f t="shared" si="35"/>
        <v>MATCH</v>
      </c>
    </row>
    <row r="717" spans="1:24" x14ac:dyDescent="0.3">
      <c r="A717">
        <v>61</v>
      </c>
      <c r="B717" t="s">
        <v>18</v>
      </c>
      <c r="C717">
        <v>475368.94</v>
      </c>
      <c r="D717" t="s">
        <v>1441</v>
      </c>
      <c r="E717">
        <v>475368.94</v>
      </c>
      <c r="F717">
        <v>0</v>
      </c>
      <c r="G717" t="s">
        <v>1442</v>
      </c>
      <c r="H717">
        <v>1348026.73</v>
      </c>
      <c r="I717">
        <v>1823395.67</v>
      </c>
      <c r="J717">
        <v>1</v>
      </c>
      <c r="K717">
        <v>0</v>
      </c>
      <c r="L717">
        <v>13</v>
      </c>
      <c r="M717">
        <v>0</v>
      </c>
      <c r="N717">
        <v>1</v>
      </c>
      <c r="O717">
        <v>475368.94</v>
      </c>
      <c r="P717">
        <v>5</v>
      </c>
      <c r="Q717">
        <v>4</v>
      </c>
      <c r="R717">
        <v>3.8000000000000003</v>
      </c>
      <c r="S717" t="s">
        <v>2310</v>
      </c>
      <c r="V717">
        <f t="shared" si="33"/>
        <v>0</v>
      </c>
      <c r="W717">
        <f t="shared" si="34"/>
        <v>0</v>
      </c>
      <c r="X717" t="str">
        <f t="shared" si="35"/>
        <v>MATCH</v>
      </c>
    </row>
    <row r="718" spans="1:24" x14ac:dyDescent="0.3">
      <c r="A718">
        <v>61</v>
      </c>
      <c r="B718" t="s">
        <v>15</v>
      </c>
      <c r="C718">
        <v>1735466.52</v>
      </c>
      <c r="D718" t="s">
        <v>1443</v>
      </c>
      <c r="E718">
        <v>1735466.52</v>
      </c>
      <c r="F718">
        <v>0</v>
      </c>
      <c r="G718" t="s">
        <v>1444</v>
      </c>
      <c r="H718">
        <v>0</v>
      </c>
      <c r="I718">
        <v>0</v>
      </c>
      <c r="J718">
        <v>1</v>
      </c>
      <c r="K718">
        <v>0</v>
      </c>
      <c r="L718">
        <v>13</v>
      </c>
      <c r="M718">
        <v>0</v>
      </c>
      <c r="N718">
        <v>1</v>
      </c>
      <c r="O718">
        <v>1735466.52</v>
      </c>
      <c r="P718">
        <v>5</v>
      </c>
      <c r="Q718">
        <v>5</v>
      </c>
      <c r="R718">
        <v>4.0999999999999996</v>
      </c>
      <c r="S718" t="s">
        <v>2310</v>
      </c>
      <c r="V718">
        <f t="shared" si="33"/>
        <v>0</v>
      </c>
      <c r="W718">
        <f t="shared" si="34"/>
        <v>0</v>
      </c>
      <c r="X718" t="str">
        <f t="shared" si="35"/>
        <v>MATCH</v>
      </c>
    </row>
    <row r="719" spans="1:24" x14ac:dyDescent="0.3">
      <c r="A719">
        <v>61</v>
      </c>
      <c r="B719" t="s">
        <v>18</v>
      </c>
      <c r="C719">
        <v>1735466.52</v>
      </c>
      <c r="D719" t="s">
        <v>1445</v>
      </c>
      <c r="E719">
        <v>1735466.52</v>
      </c>
      <c r="F719">
        <v>0</v>
      </c>
      <c r="G719" t="s">
        <v>1446</v>
      </c>
      <c r="H719">
        <v>0</v>
      </c>
      <c r="I719">
        <v>1735466.52</v>
      </c>
      <c r="J719">
        <v>1</v>
      </c>
      <c r="K719">
        <v>0</v>
      </c>
      <c r="L719">
        <v>13</v>
      </c>
      <c r="M719">
        <v>0</v>
      </c>
      <c r="N719">
        <v>1</v>
      </c>
      <c r="O719">
        <v>1735466.52</v>
      </c>
      <c r="P719">
        <v>5</v>
      </c>
      <c r="Q719">
        <v>4</v>
      </c>
      <c r="R719">
        <v>3.8000000000000003</v>
      </c>
      <c r="S719" t="s">
        <v>2310</v>
      </c>
      <c r="V719">
        <f t="shared" si="33"/>
        <v>0</v>
      </c>
      <c r="W719">
        <f t="shared" si="34"/>
        <v>0</v>
      </c>
      <c r="X719" t="str">
        <f t="shared" si="35"/>
        <v>MATCH</v>
      </c>
    </row>
    <row r="720" spans="1:24" x14ac:dyDescent="0.3">
      <c r="A720">
        <v>61</v>
      </c>
      <c r="B720" t="s">
        <v>15</v>
      </c>
      <c r="C720">
        <v>37720.99</v>
      </c>
      <c r="D720" t="s">
        <v>1447</v>
      </c>
      <c r="E720">
        <v>37720.99</v>
      </c>
      <c r="F720">
        <v>0</v>
      </c>
      <c r="G720" t="s">
        <v>1448</v>
      </c>
      <c r="H720">
        <v>0</v>
      </c>
      <c r="I720">
        <v>0</v>
      </c>
      <c r="J720">
        <v>1</v>
      </c>
      <c r="K720">
        <v>0</v>
      </c>
      <c r="L720">
        <v>13</v>
      </c>
      <c r="M720">
        <v>0</v>
      </c>
      <c r="N720">
        <v>1</v>
      </c>
      <c r="O720">
        <v>37720.99</v>
      </c>
      <c r="P720">
        <v>2</v>
      </c>
      <c r="Q720">
        <v>5</v>
      </c>
      <c r="R720">
        <v>2.6</v>
      </c>
      <c r="S720" t="s">
        <v>2312</v>
      </c>
      <c r="V720">
        <f t="shared" si="33"/>
        <v>0</v>
      </c>
      <c r="W720">
        <f t="shared" si="34"/>
        <v>0</v>
      </c>
      <c r="X720" t="str">
        <f t="shared" si="35"/>
        <v>MATCH</v>
      </c>
    </row>
    <row r="721" spans="1:24" x14ac:dyDescent="0.3">
      <c r="A721">
        <v>61</v>
      </c>
      <c r="B721" t="s">
        <v>18</v>
      </c>
      <c r="C721">
        <v>37720.99</v>
      </c>
      <c r="D721" t="s">
        <v>1449</v>
      </c>
      <c r="E721">
        <v>37720.99</v>
      </c>
      <c r="F721">
        <v>0</v>
      </c>
      <c r="G721" t="s">
        <v>1450</v>
      </c>
      <c r="H721">
        <v>288804.07</v>
      </c>
      <c r="I721">
        <v>326525.06</v>
      </c>
      <c r="J721">
        <v>1</v>
      </c>
      <c r="K721">
        <v>0</v>
      </c>
      <c r="L721">
        <v>13</v>
      </c>
      <c r="M721">
        <v>0</v>
      </c>
      <c r="N721">
        <v>1</v>
      </c>
      <c r="O721">
        <v>37720.99</v>
      </c>
      <c r="P721">
        <v>2</v>
      </c>
      <c r="Q721">
        <v>4</v>
      </c>
      <c r="R721">
        <v>2.3000000000000003</v>
      </c>
      <c r="S721" t="s">
        <v>2312</v>
      </c>
      <c r="V721">
        <f t="shared" si="33"/>
        <v>0</v>
      </c>
      <c r="W721">
        <f t="shared" si="34"/>
        <v>0</v>
      </c>
      <c r="X721" t="str">
        <f t="shared" si="35"/>
        <v>MATCH</v>
      </c>
    </row>
    <row r="722" spans="1:24" x14ac:dyDescent="0.3">
      <c r="A722">
        <v>61</v>
      </c>
      <c r="B722" t="s">
        <v>15</v>
      </c>
      <c r="C722">
        <v>1372301.24</v>
      </c>
      <c r="D722" t="s">
        <v>1451</v>
      </c>
      <c r="E722">
        <v>1372301.24</v>
      </c>
      <c r="F722">
        <v>0</v>
      </c>
      <c r="G722" t="s">
        <v>1452</v>
      </c>
      <c r="H722">
        <v>0</v>
      </c>
      <c r="I722">
        <v>0</v>
      </c>
      <c r="J722">
        <v>1</v>
      </c>
      <c r="K722">
        <v>0</v>
      </c>
      <c r="L722">
        <v>13</v>
      </c>
      <c r="M722">
        <v>0</v>
      </c>
      <c r="N722">
        <v>1</v>
      </c>
      <c r="O722">
        <v>1372301.24</v>
      </c>
      <c r="P722">
        <v>5</v>
      </c>
      <c r="Q722">
        <v>5</v>
      </c>
      <c r="R722">
        <v>4.0999999999999996</v>
      </c>
      <c r="S722" t="s">
        <v>2310</v>
      </c>
      <c r="V722">
        <f t="shared" si="33"/>
        <v>0</v>
      </c>
      <c r="W722">
        <f t="shared" si="34"/>
        <v>0</v>
      </c>
      <c r="X722" t="str">
        <f t="shared" si="35"/>
        <v>MATCH</v>
      </c>
    </row>
    <row r="723" spans="1:24" x14ac:dyDescent="0.3">
      <c r="A723">
        <v>61</v>
      </c>
      <c r="B723" t="s">
        <v>18</v>
      </c>
      <c r="C723">
        <v>1372301.24</v>
      </c>
      <c r="D723" t="s">
        <v>1453</v>
      </c>
      <c r="E723">
        <v>1372301.24</v>
      </c>
      <c r="F723">
        <v>0</v>
      </c>
      <c r="G723" t="s">
        <v>1454</v>
      </c>
      <c r="H723">
        <v>0</v>
      </c>
      <c r="I723">
        <v>1372301.24</v>
      </c>
      <c r="J723">
        <v>1</v>
      </c>
      <c r="K723">
        <v>0</v>
      </c>
      <c r="L723">
        <v>13</v>
      </c>
      <c r="M723">
        <v>0</v>
      </c>
      <c r="N723">
        <v>1</v>
      </c>
      <c r="O723">
        <v>1372301.24</v>
      </c>
      <c r="P723">
        <v>5</v>
      </c>
      <c r="Q723">
        <v>4</v>
      </c>
      <c r="R723">
        <v>3.8000000000000003</v>
      </c>
      <c r="S723" t="s">
        <v>2310</v>
      </c>
      <c r="V723">
        <f t="shared" si="33"/>
        <v>0</v>
      </c>
      <c r="W723">
        <f t="shared" si="34"/>
        <v>0</v>
      </c>
      <c r="X723" t="str">
        <f t="shared" si="35"/>
        <v>MATCH</v>
      </c>
    </row>
    <row r="724" spans="1:24" x14ac:dyDescent="0.3">
      <c r="A724">
        <v>61</v>
      </c>
      <c r="B724" t="s">
        <v>15</v>
      </c>
      <c r="C724">
        <v>332138.32</v>
      </c>
      <c r="D724" t="s">
        <v>1455</v>
      </c>
      <c r="E724">
        <v>332138.32</v>
      </c>
      <c r="F724">
        <v>0</v>
      </c>
      <c r="G724" t="s">
        <v>1456</v>
      </c>
      <c r="H724">
        <v>0</v>
      </c>
      <c r="I724">
        <v>0</v>
      </c>
      <c r="J724">
        <v>1</v>
      </c>
      <c r="K724">
        <v>0</v>
      </c>
      <c r="L724">
        <v>13</v>
      </c>
      <c r="M724">
        <v>0</v>
      </c>
      <c r="N724">
        <v>1</v>
      </c>
      <c r="O724">
        <v>332138.32</v>
      </c>
      <c r="P724">
        <v>5</v>
      </c>
      <c r="Q724">
        <v>5</v>
      </c>
      <c r="R724">
        <v>4.0999999999999996</v>
      </c>
      <c r="S724" t="s">
        <v>2310</v>
      </c>
      <c r="V724">
        <f t="shared" si="33"/>
        <v>0</v>
      </c>
      <c r="W724">
        <f t="shared" si="34"/>
        <v>0</v>
      </c>
      <c r="X724" t="str">
        <f t="shared" si="35"/>
        <v>MATCH</v>
      </c>
    </row>
    <row r="725" spans="1:24" x14ac:dyDescent="0.3">
      <c r="A725">
        <v>61</v>
      </c>
      <c r="B725" t="s">
        <v>18</v>
      </c>
      <c r="C725">
        <v>332138.32</v>
      </c>
      <c r="D725" t="s">
        <v>1457</v>
      </c>
      <c r="E725">
        <v>332138.32</v>
      </c>
      <c r="F725">
        <v>0</v>
      </c>
      <c r="G725" t="s">
        <v>1458</v>
      </c>
      <c r="H725">
        <v>52021.34</v>
      </c>
      <c r="I725">
        <v>384159.66</v>
      </c>
      <c r="J725">
        <v>1</v>
      </c>
      <c r="K725">
        <v>0</v>
      </c>
      <c r="L725">
        <v>13</v>
      </c>
      <c r="M725">
        <v>0</v>
      </c>
      <c r="N725">
        <v>1</v>
      </c>
      <c r="O725">
        <v>332138.32</v>
      </c>
      <c r="P725">
        <v>5</v>
      </c>
      <c r="Q725">
        <v>4</v>
      </c>
      <c r="R725">
        <v>3.8000000000000003</v>
      </c>
      <c r="S725" t="s">
        <v>2310</v>
      </c>
      <c r="V725">
        <f t="shared" si="33"/>
        <v>0</v>
      </c>
      <c r="W725">
        <f t="shared" si="34"/>
        <v>0</v>
      </c>
      <c r="X725" t="str">
        <f t="shared" si="35"/>
        <v>MATCH</v>
      </c>
    </row>
    <row r="726" spans="1:24" x14ac:dyDescent="0.3">
      <c r="A726">
        <v>61</v>
      </c>
      <c r="B726" t="s">
        <v>15</v>
      </c>
      <c r="C726">
        <v>55062.46</v>
      </c>
      <c r="D726" t="s">
        <v>1459</v>
      </c>
      <c r="E726">
        <v>55062.46</v>
      </c>
      <c r="F726">
        <v>0</v>
      </c>
      <c r="G726" t="s">
        <v>1460</v>
      </c>
      <c r="H726">
        <v>0</v>
      </c>
      <c r="I726">
        <v>0</v>
      </c>
      <c r="J726">
        <v>1</v>
      </c>
      <c r="K726">
        <v>0</v>
      </c>
      <c r="L726">
        <v>13</v>
      </c>
      <c r="M726">
        <v>0</v>
      </c>
      <c r="N726">
        <v>1</v>
      </c>
      <c r="O726">
        <v>55062.46</v>
      </c>
      <c r="P726">
        <v>3</v>
      </c>
      <c r="Q726">
        <v>5</v>
      </c>
      <c r="R726">
        <v>3.1</v>
      </c>
      <c r="S726" t="s">
        <v>2310</v>
      </c>
      <c r="V726">
        <f t="shared" si="33"/>
        <v>0</v>
      </c>
      <c r="W726">
        <f t="shared" si="34"/>
        <v>0</v>
      </c>
      <c r="X726" t="str">
        <f t="shared" si="35"/>
        <v>MATCH</v>
      </c>
    </row>
    <row r="727" spans="1:24" x14ac:dyDescent="0.3">
      <c r="A727">
        <v>61</v>
      </c>
      <c r="B727" t="s">
        <v>18</v>
      </c>
      <c r="C727">
        <v>55062.46</v>
      </c>
      <c r="D727" t="s">
        <v>1461</v>
      </c>
      <c r="E727">
        <v>55062.46</v>
      </c>
      <c r="F727">
        <v>0</v>
      </c>
      <c r="G727" t="s">
        <v>1462</v>
      </c>
      <c r="H727">
        <v>0</v>
      </c>
      <c r="I727">
        <v>55062.46</v>
      </c>
      <c r="J727">
        <v>1</v>
      </c>
      <c r="K727">
        <v>0</v>
      </c>
      <c r="L727">
        <v>13</v>
      </c>
      <c r="M727">
        <v>0</v>
      </c>
      <c r="N727">
        <v>1</v>
      </c>
      <c r="O727">
        <v>55062.46</v>
      </c>
      <c r="P727">
        <v>3</v>
      </c>
      <c r="Q727">
        <v>4</v>
      </c>
      <c r="R727">
        <v>2.8000000000000003</v>
      </c>
      <c r="S727" t="s">
        <v>2312</v>
      </c>
      <c r="V727">
        <f t="shared" si="33"/>
        <v>0</v>
      </c>
      <c r="W727">
        <f t="shared" si="34"/>
        <v>0</v>
      </c>
      <c r="X727" t="str">
        <f t="shared" si="35"/>
        <v>MATCH</v>
      </c>
    </row>
    <row r="728" spans="1:24" x14ac:dyDescent="0.3">
      <c r="A728">
        <v>61</v>
      </c>
      <c r="B728" t="s">
        <v>15</v>
      </c>
      <c r="C728">
        <v>1155128.9099999999</v>
      </c>
      <c r="D728" t="s">
        <v>1463</v>
      </c>
      <c r="E728">
        <v>1155128.9099999999</v>
      </c>
      <c r="F728">
        <v>0</v>
      </c>
      <c r="G728" t="s">
        <v>1464</v>
      </c>
      <c r="H728">
        <v>0</v>
      </c>
      <c r="I728">
        <v>0</v>
      </c>
      <c r="J728">
        <v>1</v>
      </c>
      <c r="K728">
        <v>0</v>
      </c>
      <c r="L728">
        <v>13</v>
      </c>
      <c r="M728">
        <v>0</v>
      </c>
      <c r="N728">
        <v>1</v>
      </c>
      <c r="O728">
        <v>1155128.9099999999</v>
      </c>
      <c r="P728">
        <v>5</v>
      </c>
      <c r="Q728">
        <v>5</v>
      </c>
      <c r="R728">
        <v>4.0999999999999996</v>
      </c>
      <c r="S728" t="s">
        <v>2310</v>
      </c>
      <c r="V728">
        <f t="shared" si="33"/>
        <v>0</v>
      </c>
      <c r="W728">
        <f t="shared" si="34"/>
        <v>0</v>
      </c>
      <c r="X728" t="str">
        <f t="shared" si="35"/>
        <v>MATCH</v>
      </c>
    </row>
    <row r="729" spans="1:24" x14ac:dyDescent="0.3">
      <c r="A729">
        <v>61</v>
      </c>
      <c r="B729" t="s">
        <v>18</v>
      </c>
      <c r="C729">
        <v>1155128.9099999999</v>
      </c>
      <c r="D729" t="s">
        <v>1465</v>
      </c>
      <c r="E729">
        <v>1155128.9099999999</v>
      </c>
      <c r="F729">
        <v>0</v>
      </c>
      <c r="G729" t="s">
        <v>1466</v>
      </c>
      <c r="H729">
        <v>0</v>
      </c>
      <c r="I729">
        <v>1155128.9099999999</v>
      </c>
      <c r="J729">
        <v>1</v>
      </c>
      <c r="K729">
        <v>0</v>
      </c>
      <c r="L729">
        <v>13</v>
      </c>
      <c r="M729">
        <v>0</v>
      </c>
      <c r="N729">
        <v>1</v>
      </c>
      <c r="O729">
        <v>1155128.9099999999</v>
      </c>
      <c r="P729">
        <v>5</v>
      </c>
      <c r="Q729">
        <v>4</v>
      </c>
      <c r="R729">
        <v>3.8000000000000003</v>
      </c>
      <c r="S729" t="s">
        <v>2310</v>
      </c>
      <c r="V729">
        <f t="shared" si="33"/>
        <v>0</v>
      </c>
      <c r="W729">
        <f t="shared" si="34"/>
        <v>0</v>
      </c>
      <c r="X729" t="str">
        <f t="shared" si="35"/>
        <v>MATCH</v>
      </c>
    </row>
    <row r="730" spans="1:24" x14ac:dyDescent="0.3">
      <c r="A730">
        <v>62</v>
      </c>
      <c r="B730" t="s">
        <v>15</v>
      </c>
      <c r="C730">
        <v>401529.35</v>
      </c>
      <c r="D730" t="s">
        <v>1467</v>
      </c>
      <c r="E730">
        <v>401529.35</v>
      </c>
      <c r="F730">
        <v>0</v>
      </c>
      <c r="G730" t="s">
        <v>1468</v>
      </c>
      <c r="H730">
        <v>0</v>
      </c>
      <c r="I730">
        <v>0</v>
      </c>
      <c r="J730">
        <v>1</v>
      </c>
      <c r="K730">
        <v>0</v>
      </c>
      <c r="L730">
        <v>14</v>
      </c>
      <c r="M730">
        <v>0</v>
      </c>
      <c r="N730">
        <v>1</v>
      </c>
      <c r="O730">
        <v>401529.35</v>
      </c>
      <c r="P730">
        <v>5</v>
      </c>
      <c r="Q730">
        <v>5</v>
      </c>
      <c r="R730">
        <v>4.0999999999999996</v>
      </c>
      <c r="S730" t="s">
        <v>2310</v>
      </c>
      <c r="V730">
        <f t="shared" si="33"/>
        <v>0</v>
      </c>
      <c r="W730">
        <f t="shared" si="34"/>
        <v>0</v>
      </c>
      <c r="X730" t="str">
        <f t="shared" si="35"/>
        <v>MATCH</v>
      </c>
    </row>
    <row r="731" spans="1:24" x14ac:dyDescent="0.3">
      <c r="A731">
        <v>62</v>
      </c>
      <c r="B731" t="s">
        <v>18</v>
      </c>
      <c r="C731">
        <v>401529.35</v>
      </c>
      <c r="D731" t="s">
        <v>1469</v>
      </c>
      <c r="E731">
        <v>401529.35</v>
      </c>
      <c r="F731">
        <v>0</v>
      </c>
      <c r="G731" t="s">
        <v>1470</v>
      </c>
      <c r="H731">
        <v>4162.42</v>
      </c>
      <c r="I731">
        <v>405691.77</v>
      </c>
      <c r="J731">
        <v>1</v>
      </c>
      <c r="K731">
        <v>0</v>
      </c>
      <c r="L731">
        <v>14</v>
      </c>
      <c r="M731">
        <v>0</v>
      </c>
      <c r="N731">
        <v>1</v>
      </c>
      <c r="O731">
        <v>401529.35</v>
      </c>
      <c r="P731">
        <v>5</v>
      </c>
      <c r="Q731">
        <v>4</v>
      </c>
      <c r="R731">
        <v>3.8000000000000003</v>
      </c>
      <c r="S731" t="s">
        <v>2310</v>
      </c>
      <c r="V731">
        <f t="shared" si="33"/>
        <v>0</v>
      </c>
      <c r="W731">
        <f t="shared" si="34"/>
        <v>0</v>
      </c>
      <c r="X731" t="str">
        <f t="shared" si="35"/>
        <v>MATCH</v>
      </c>
    </row>
    <row r="732" spans="1:24" x14ac:dyDescent="0.3">
      <c r="A732">
        <v>62</v>
      </c>
      <c r="B732" t="s">
        <v>15</v>
      </c>
      <c r="C732">
        <v>722380.88</v>
      </c>
      <c r="D732" t="s">
        <v>1471</v>
      </c>
      <c r="E732">
        <v>722380.88</v>
      </c>
      <c r="F732">
        <v>0</v>
      </c>
      <c r="G732" t="s">
        <v>1472</v>
      </c>
      <c r="H732">
        <v>0</v>
      </c>
      <c r="I732">
        <v>0</v>
      </c>
      <c r="J732">
        <v>1</v>
      </c>
      <c r="K732">
        <v>0</v>
      </c>
      <c r="L732">
        <v>14</v>
      </c>
      <c r="M732">
        <v>0</v>
      </c>
      <c r="N732">
        <v>1</v>
      </c>
      <c r="O732">
        <v>722380.88</v>
      </c>
      <c r="P732">
        <v>5</v>
      </c>
      <c r="Q732">
        <v>5</v>
      </c>
      <c r="R732">
        <v>4.0999999999999996</v>
      </c>
      <c r="S732" t="s">
        <v>2310</v>
      </c>
      <c r="V732">
        <f t="shared" si="33"/>
        <v>0</v>
      </c>
      <c r="W732">
        <f t="shared" si="34"/>
        <v>0</v>
      </c>
      <c r="X732" t="str">
        <f t="shared" si="35"/>
        <v>MATCH</v>
      </c>
    </row>
    <row r="733" spans="1:24" x14ac:dyDescent="0.3">
      <c r="A733">
        <v>62</v>
      </c>
      <c r="B733" t="s">
        <v>18</v>
      </c>
      <c r="C733">
        <v>722380.88</v>
      </c>
      <c r="D733" t="s">
        <v>1473</v>
      </c>
      <c r="E733">
        <v>722380.88</v>
      </c>
      <c r="F733">
        <v>0</v>
      </c>
      <c r="G733" t="s">
        <v>1474</v>
      </c>
      <c r="H733">
        <v>331969.08</v>
      </c>
      <c r="I733">
        <v>1054349.95</v>
      </c>
      <c r="J733">
        <v>1</v>
      </c>
      <c r="K733">
        <v>0</v>
      </c>
      <c r="L733">
        <v>14</v>
      </c>
      <c r="M733">
        <v>0</v>
      </c>
      <c r="N733">
        <v>1</v>
      </c>
      <c r="O733">
        <v>722380.88</v>
      </c>
      <c r="P733">
        <v>5</v>
      </c>
      <c r="Q733">
        <v>4</v>
      </c>
      <c r="R733">
        <v>3.8000000000000003</v>
      </c>
      <c r="S733" t="s">
        <v>2310</v>
      </c>
      <c r="V733">
        <f t="shared" si="33"/>
        <v>0</v>
      </c>
      <c r="W733">
        <f t="shared" si="34"/>
        <v>0</v>
      </c>
      <c r="X733" t="str">
        <f t="shared" si="35"/>
        <v>MATCH</v>
      </c>
    </row>
    <row r="734" spans="1:24" x14ac:dyDescent="0.3">
      <c r="A734">
        <v>62</v>
      </c>
      <c r="B734" t="s">
        <v>15</v>
      </c>
      <c r="C734">
        <v>724414.43</v>
      </c>
      <c r="D734" t="s">
        <v>1475</v>
      </c>
      <c r="E734">
        <v>724414.43</v>
      </c>
      <c r="F734">
        <v>0</v>
      </c>
      <c r="G734" t="s">
        <v>1476</v>
      </c>
      <c r="H734">
        <v>0</v>
      </c>
      <c r="I734">
        <v>0</v>
      </c>
      <c r="J734">
        <v>1</v>
      </c>
      <c r="K734">
        <v>0</v>
      </c>
      <c r="L734">
        <v>14</v>
      </c>
      <c r="M734">
        <v>0</v>
      </c>
      <c r="N734">
        <v>1</v>
      </c>
      <c r="O734">
        <v>724414.43</v>
      </c>
      <c r="P734">
        <v>5</v>
      </c>
      <c r="Q734">
        <v>5</v>
      </c>
      <c r="R734">
        <v>4.0999999999999996</v>
      </c>
      <c r="S734" t="s">
        <v>2310</v>
      </c>
      <c r="V734">
        <f t="shared" si="33"/>
        <v>0</v>
      </c>
      <c r="W734">
        <f t="shared" si="34"/>
        <v>0</v>
      </c>
      <c r="X734" t="str">
        <f t="shared" si="35"/>
        <v>MATCH</v>
      </c>
    </row>
    <row r="735" spans="1:24" x14ac:dyDescent="0.3">
      <c r="A735">
        <v>62</v>
      </c>
      <c r="B735" t="s">
        <v>18</v>
      </c>
      <c r="C735">
        <v>724414.43</v>
      </c>
      <c r="D735" t="s">
        <v>1477</v>
      </c>
      <c r="E735">
        <v>724414.43</v>
      </c>
      <c r="F735">
        <v>0</v>
      </c>
      <c r="G735" t="s">
        <v>1478</v>
      </c>
      <c r="H735">
        <v>223853.38</v>
      </c>
      <c r="I735">
        <v>948267.81</v>
      </c>
      <c r="J735">
        <v>1</v>
      </c>
      <c r="K735">
        <v>0</v>
      </c>
      <c r="L735">
        <v>14</v>
      </c>
      <c r="M735">
        <v>0</v>
      </c>
      <c r="N735">
        <v>1</v>
      </c>
      <c r="O735">
        <v>724414.43</v>
      </c>
      <c r="P735">
        <v>5</v>
      </c>
      <c r="Q735">
        <v>4</v>
      </c>
      <c r="R735">
        <v>3.8000000000000003</v>
      </c>
      <c r="S735" t="s">
        <v>2310</v>
      </c>
      <c r="V735">
        <f t="shared" si="33"/>
        <v>0</v>
      </c>
      <c r="W735">
        <f t="shared" si="34"/>
        <v>0</v>
      </c>
      <c r="X735" t="str">
        <f t="shared" si="35"/>
        <v>MATCH</v>
      </c>
    </row>
    <row r="736" spans="1:24" x14ac:dyDescent="0.3">
      <c r="A736">
        <v>62</v>
      </c>
      <c r="B736" t="s">
        <v>15</v>
      </c>
      <c r="C736">
        <v>407833.62</v>
      </c>
      <c r="D736" t="s">
        <v>1479</v>
      </c>
      <c r="E736">
        <v>407833.62</v>
      </c>
      <c r="F736">
        <v>0</v>
      </c>
      <c r="G736" t="s">
        <v>1480</v>
      </c>
      <c r="H736">
        <v>0</v>
      </c>
      <c r="I736">
        <v>0</v>
      </c>
      <c r="J736">
        <v>1</v>
      </c>
      <c r="K736">
        <v>0</v>
      </c>
      <c r="L736">
        <v>14</v>
      </c>
      <c r="M736">
        <v>0</v>
      </c>
      <c r="N736">
        <v>1</v>
      </c>
      <c r="O736">
        <v>407833.62</v>
      </c>
      <c r="P736">
        <v>5</v>
      </c>
      <c r="Q736">
        <v>5</v>
      </c>
      <c r="R736">
        <v>4.0999999999999996</v>
      </c>
      <c r="S736" t="s">
        <v>2310</v>
      </c>
      <c r="V736">
        <f t="shared" si="33"/>
        <v>0</v>
      </c>
      <c r="W736">
        <f t="shared" si="34"/>
        <v>0</v>
      </c>
      <c r="X736" t="str">
        <f t="shared" si="35"/>
        <v>MATCH</v>
      </c>
    </row>
    <row r="737" spans="1:24" x14ac:dyDescent="0.3">
      <c r="A737">
        <v>62</v>
      </c>
      <c r="B737" t="s">
        <v>18</v>
      </c>
      <c r="C737">
        <v>407833.62</v>
      </c>
      <c r="D737" t="s">
        <v>1481</v>
      </c>
      <c r="E737">
        <v>407833.62</v>
      </c>
      <c r="F737">
        <v>0</v>
      </c>
      <c r="G737" t="s">
        <v>1482</v>
      </c>
      <c r="H737">
        <v>0</v>
      </c>
      <c r="I737">
        <v>407833.62</v>
      </c>
      <c r="J737">
        <v>1</v>
      </c>
      <c r="K737">
        <v>0</v>
      </c>
      <c r="L737">
        <v>14</v>
      </c>
      <c r="M737">
        <v>0</v>
      </c>
      <c r="N737">
        <v>1</v>
      </c>
      <c r="O737">
        <v>407833.62</v>
      </c>
      <c r="P737">
        <v>5</v>
      </c>
      <c r="Q737">
        <v>4</v>
      </c>
      <c r="R737">
        <v>3.8000000000000003</v>
      </c>
      <c r="S737" t="s">
        <v>2310</v>
      </c>
      <c r="V737">
        <f t="shared" si="33"/>
        <v>0</v>
      </c>
      <c r="W737">
        <f t="shared" si="34"/>
        <v>0</v>
      </c>
      <c r="X737" t="str">
        <f t="shared" si="35"/>
        <v>MATCH</v>
      </c>
    </row>
    <row r="738" spans="1:24" x14ac:dyDescent="0.3">
      <c r="A738">
        <v>63</v>
      </c>
      <c r="B738" t="s">
        <v>15</v>
      </c>
      <c r="C738">
        <v>148188.84</v>
      </c>
      <c r="D738" t="s">
        <v>1483</v>
      </c>
      <c r="E738">
        <v>148188.84</v>
      </c>
      <c r="F738">
        <v>0</v>
      </c>
      <c r="G738" t="s">
        <v>1484</v>
      </c>
      <c r="H738">
        <v>0</v>
      </c>
      <c r="I738">
        <v>0</v>
      </c>
      <c r="J738">
        <v>1</v>
      </c>
      <c r="K738">
        <v>0</v>
      </c>
      <c r="L738">
        <v>15</v>
      </c>
      <c r="M738">
        <v>0</v>
      </c>
      <c r="N738">
        <v>1</v>
      </c>
      <c r="O738">
        <v>148188.84</v>
      </c>
      <c r="P738">
        <v>4</v>
      </c>
      <c r="Q738">
        <v>5</v>
      </c>
      <c r="R738">
        <v>3.6</v>
      </c>
      <c r="S738" t="s">
        <v>2310</v>
      </c>
      <c r="V738">
        <f t="shared" si="33"/>
        <v>0</v>
      </c>
      <c r="W738">
        <f t="shared" si="34"/>
        <v>0</v>
      </c>
      <c r="X738" t="str">
        <f t="shared" si="35"/>
        <v>MATCH</v>
      </c>
    </row>
    <row r="739" spans="1:24" x14ac:dyDescent="0.3">
      <c r="A739">
        <v>63</v>
      </c>
      <c r="B739" t="s">
        <v>18</v>
      </c>
      <c r="C739">
        <v>148188.84</v>
      </c>
      <c r="D739" t="s">
        <v>1485</v>
      </c>
      <c r="E739">
        <v>148188.84</v>
      </c>
      <c r="F739">
        <v>0</v>
      </c>
      <c r="G739" t="s">
        <v>1486</v>
      </c>
      <c r="H739">
        <v>194134.25</v>
      </c>
      <c r="I739">
        <v>342323.08</v>
      </c>
      <c r="J739">
        <v>1</v>
      </c>
      <c r="K739">
        <v>0</v>
      </c>
      <c r="L739">
        <v>15</v>
      </c>
      <c r="M739">
        <v>0</v>
      </c>
      <c r="N739">
        <v>1</v>
      </c>
      <c r="O739">
        <v>148188.84</v>
      </c>
      <c r="P739">
        <v>4</v>
      </c>
      <c r="Q739">
        <v>4</v>
      </c>
      <c r="R739">
        <v>3.3000000000000003</v>
      </c>
      <c r="S739" t="s">
        <v>2310</v>
      </c>
      <c r="V739">
        <f t="shared" si="33"/>
        <v>0</v>
      </c>
      <c r="W739">
        <f t="shared" si="34"/>
        <v>0</v>
      </c>
      <c r="X739" t="str">
        <f t="shared" si="35"/>
        <v>MATCH</v>
      </c>
    </row>
    <row r="740" spans="1:24" x14ac:dyDescent="0.3">
      <c r="A740">
        <v>63</v>
      </c>
      <c r="B740" t="s">
        <v>15</v>
      </c>
      <c r="C740">
        <v>1693962.01</v>
      </c>
      <c r="D740" t="s">
        <v>1487</v>
      </c>
      <c r="E740">
        <v>1693962.01</v>
      </c>
      <c r="F740">
        <v>0</v>
      </c>
      <c r="G740" t="s">
        <v>1488</v>
      </c>
      <c r="H740">
        <v>0</v>
      </c>
      <c r="I740">
        <v>0</v>
      </c>
      <c r="J740">
        <v>1</v>
      </c>
      <c r="K740">
        <v>0</v>
      </c>
      <c r="L740">
        <v>15</v>
      </c>
      <c r="M740">
        <v>0</v>
      </c>
      <c r="N740">
        <v>1</v>
      </c>
      <c r="O740">
        <v>1693962.01</v>
      </c>
      <c r="P740">
        <v>5</v>
      </c>
      <c r="Q740">
        <v>5</v>
      </c>
      <c r="R740">
        <v>4.0999999999999996</v>
      </c>
      <c r="S740" t="s">
        <v>2310</v>
      </c>
      <c r="V740">
        <f t="shared" si="33"/>
        <v>0</v>
      </c>
      <c r="W740">
        <f t="shared" si="34"/>
        <v>0</v>
      </c>
      <c r="X740" t="str">
        <f t="shared" si="35"/>
        <v>MATCH</v>
      </c>
    </row>
    <row r="741" spans="1:24" x14ac:dyDescent="0.3">
      <c r="A741">
        <v>63</v>
      </c>
      <c r="B741" t="s">
        <v>18</v>
      </c>
      <c r="C741">
        <v>1693962.01</v>
      </c>
      <c r="D741" t="s">
        <v>1489</v>
      </c>
      <c r="E741">
        <v>1693962.01</v>
      </c>
      <c r="F741">
        <v>0</v>
      </c>
      <c r="G741" t="s">
        <v>1490</v>
      </c>
      <c r="H741">
        <v>98505.53</v>
      </c>
      <c r="I741">
        <v>1792467.54</v>
      </c>
      <c r="J741">
        <v>1</v>
      </c>
      <c r="K741">
        <v>0</v>
      </c>
      <c r="L741">
        <v>15</v>
      </c>
      <c r="M741">
        <v>0</v>
      </c>
      <c r="N741">
        <v>1</v>
      </c>
      <c r="O741">
        <v>1693962.01</v>
      </c>
      <c r="P741">
        <v>5</v>
      </c>
      <c r="Q741">
        <v>4</v>
      </c>
      <c r="R741">
        <v>3.8000000000000003</v>
      </c>
      <c r="S741" t="s">
        <v>2310</v>
      </c>
      <c r="V741">
        <f t="shared" si="33"/>
        <v>0</v>
      </c>
      <c r="W741">
        <f t="shared" si="34"/>
        <v>0</v>
      </c>
      <c r="X741" t="str">
        <f t="shared" si="35"/>
        <v>MATCH</v>
      </c>
    </row>
    <row r="742" spans="1:24" x14ac:dyDescent="0.3">
      <c r="A742">
        <v>63</v>
      </c>
      <c r="B742" t="s">
        <v>15</v>
      </c>
      <c r="C742">
        <v>14017.38</v>
      </c>
      <c r="D742" t="s">
        <v>1491</v>
      </c>
      <c r="E742">
        <v>14017.38</v>
      </c>
      <c r="F742">
        <v>0</v>
      </c>
      <c r="G742" t="s">
        <v>1492</v>
      </c>
      <c r="H742">
        <v>0</v>
      </c>
      <c r="I742">
        <v>0</v>
      </c>
      <c r="J742">
        <v>1</v>
      </c>
      <c r="K742">
        <v>0</v>
      </c>
      <c r="L742">
        <v>15</v>
      </c>
      <c r="M742">
        <v>0</v>
      </c>
      <c r="N742">
        <v>1</v>
      </c>
      <c r="O742">
        <v>14017.38</v>
      </c>
      <c r="P742">
        <v>2</v>
      </c>
      <c r="Q742">
        <v>5</v>
      </c>
      <c r="R742">
        <v>2.6</v>
      </c>
      <c r="S742" t="s">
        <v>2312</v>
      </c>
      <c r="V742">
        <f t="shared" si="33"/>
        <v>0</v>
      </c>
      <c r="W742">
        <f t="shared" si="34"/>
        <v>0</v>
      </c>
      <c r="X742" t="str">
        <f t="shared" si="35"/>
        <v>MATCH</v>
      </c>
    </row>
    <row r="743" spans="1:24" x14ac:dyDescent="0.3">
      <c r="A743">
        <v>63</v>
      </c>
      <c r="B743" t="s">
        <v>18</v>
      </c>
      <c r="C743">
        <v>14017.38</v>
      </c>
      <c r="D743" t="s">
        <v>1493</v>
      </c>
      <c r="E743">
        <v>14017.38</v>
      </c>
      <c r="F743">
        <v>0</v>
      </c>
      <c r="G743" t="s">
        <v>1494</v>
      </c>
      <c r="H743">
        <v>0</v>
      </c>
      <c r="I743">
        <v>14017.38</v>
      </c>
      <c r="J743">
        <v>1</v>
      </c>
      <c r="K743">
        <v>0</v>
      </c>
      <c r="L743">
        <v>15</v>
      </c>
      <c r="M743">
        <v>0</v>
      </c>
      <c r="N743">
        <v>1</v>
      </c>
      <c r="O743">
        <v>14017.38</v>
      </c>
      <c r="P743">
        <v>2</v>
      </c>
      <c r="Q743">
        <v>4</v>
      </c>
      <c r="R743">
        <v>2.3000000000000003</v>
      </c>
      <c r="S743" t="s">
        <v>2312</v>
      </c>
      <c r="V743">
        <f t="shared" si="33"/>
        <v>0</v>
      </c>
      <c r="W743">
        <f t="shared" si="34"/>
        <v>0</v>
      </c>
      <c r="X743" t="str">
        <f t="shared" si="35"/>
        <v>MATCH</v>
      </c>
    </row>
    <row r="744" spans="1:24" x14ac:dyDescent="0.3">
      <c r="A744">
        <v>63</v>
      </c>
      <c r="B744" t="s">
        <v>15</v>
      </c>
      <c r="C744">
        <v>197226.65</v>
      </c>
      <c r="D744" t="s">
        <v>1495</v>
      </c>
      <c r="E744">
        <v>197226.65</v>
      </c>
      <c r="F744">
        <v>0</v>
      </c>
      <c r="G744" t="s">
        <v>1496</v>
      </c>
      <c r="H744">
        <v>0</v>
      </c>
      <c r="I744">
        <v>0</v>
      </c>
      <c r="J744">
        <v>1</v>
      </c>
      <c r="K744">
        <v>0</v>
      </c>
      <c r="L744">
        <v>15</v>
      </c>
      <c r="M744">
        <v>0</v>
      </c>
      <c r="N744">
        <v>1</v>
      </c>
      <c r="O744">
        <v>197226.65</v>
      </c>
      <c r="P744">
        <v>4</v>
      </c>
      <c r="Q744">
        <v>5</v>
      </c>
      <c r="R744">
        <v>3.6</v>
      </c>
      <c r="S744" t="s">
        <v>2310</v>
      </c>
      <c r="V744">
        <f t="shared" si="33"/>
        <v>0</v>
      </c>
      <c r="W744">
        <f t="shared" si="34"/>
        <v>0</v>
      </c>
      <c r="X744" t="str">
        <f t="shared" si="35"/>
        <v>MATCH</v>
      </c>
    </row>
    <row r="745" spans="1:24" x14ac:dyDescent="0.3">
      <c r="A745">
        <v>63</v>
      </c>
      <c r="B745" t="s">
        <v>18</v>
      </c>
      <c r="C745">
        <v>197226.65</v>
      </c>
      <c r="D745" t="s">
        <v>1497</v>
      </c>
      <c r="E745">
        <v>197226.65</v>
      </c>
      <c r="F745">
        <v>0</v>
      </c>
      <c r="G745" t="s">
        <v>1498</v>
      </c>
      <c r="H745">
        <v>0</v>
      </c>
      <c r="I745">
        <v>197226.65</v>
      </c>
      <c r="J745">
        <v>1</v>
      </c>
      <c r="K745">
        <v>0</v>
      </c>
      <c r="L745">
        <v>15</v>
      </c>
      <c r="M745">
        <v>0</v>
      </c>
      <c r="N745">
        <v>1</v>
      </c>
      <c r="O745">
        <v>197226.65</v>
      </c>
      <c r="P745">
        <v>4</v>
      </c>
      <c r="Q745">
        <v>4</v>
      </c>
      <c r="R745">
        <v>3.3000000000000003</v>
      </c>
      <c r="S745" t="s">
        <v>2310</v>
      </c>
      <c r="V745">
        <f t="shared" si="33"/>
        <v>0</v>
      </c>
      <c r="W745">
        <f t="shared" si="34"/>
        <v>0</v>
      </c>
      <c r="X745" t="str">
        <f t="shared" si="35"/>
        <v>MATCH</v>
      </c>
    </row>
    <row r="746" spans="1:24" x14ac:dyDescent="0.3">
      <c r="A746">
        <v>64</v>
      </c>
      <c r="B746" t="s">
        <v>15</v>
      </c>
      <c r="C746">
        <v>31574.65</v>
      </c>
      <c r="D746" t="s">
        <v>1499</v>
      </c>
      <c r="E746">
        <v>31574.65</v>
      </c>
      <c r="F746">
        <v>0</v>
      </c>
      <c r="G746" t="s">
        <v>1500</v>
      </c>
      <c r="H746">
        <v>0</v>
      </c>
      <c r="I746">
        <v>0</v>
      </c>
      <c r="J746">
        <v>1</v>
      </c>
      <c r="K746">
        <v>0</v>
      </c>
      <c r="L746">
        <v>16</v>
      </c>
      <c r="M746">
        <v>0</v>
      </c>
      <c r="N746">
        <v>1</v>
      </c>
      <c r="O746">
        <v>31574.65</v>
      </c>
      <c r="P746">
        <v>2</v>
      </c>
      <c r="Q746">
        <v>5</v>
      </c>
      <c r="R746">
        <v>2.6</v>
      </c>
      <c r="S746" t="s">
        <v>2312</v>
      </c>
      <c r="V746">
        <f t="shared" si="33"/>
        <v>0</v>
      </c>
      <c r="W746">
        <f t="shared" si="34"/>
        <v>0</v>
      </c>
      <c r="X746" t="str">
        <f t="shared" si="35"/>
        <v>MATCH</v>
      </c>
    </row>
    <row r="747" spans="1:24" x14ac:dyDescent="0.3">
      <c r="A747">
        <v>64</v>
      </c>
      <c r="B747" t="s">
        <v>18</v>
      </c>
      <c r="C747">
        <v>31574.65</v>
      </c>
      <c r="D747" t="s">
        <v>1501</v>
      </c>
      <c r="E747">
        <v>31574.65</v>
      </c>
      <c r="F747">
        <v>0</v>
      </c>
      <c r="G747" t="s">
        <v>1502</v>
      </c>
      <c r="H747">
        <v>199385.83</v>
      </c>
      <c r="I747">
        <v>230960.48</v>
      </c>
      <c r="J747">
        <v>1</v>
      </c>
      <c r="K747">
        <v>0</v>
      </c>
      <c r="L747">
        <v>16</v>
      </c>
      <c r="M747">
        <v>0</v>
      </c>
      <c r="N747">
        <v>1</v>
      </c>
      <c r="O747">
        <v>31574.65</v>
      </c>
      <c r="P747">
        <v>2</v>
      </c>
      <c r="Q747">
        <v>4</v>
      </c>
      <c r="R747">
        <v>2.3000000000000003</v>
      </c>
      <c r="S747" t="s">
        <v>2312</v>
      </c>
      <c r="V747">
        <f t="shared" si="33"/>
        <v>0</v>
      </c>
      <c r="W747">
        <f t="shared" si="34"/>
        <v>0</v>
      </c>
      <c r="X747" t="str">
        <f t="shared" si="35"/>
        <v>MATCH</v>
      </c>
    </row>
    <row r="748" spans="1:24" x14ac:dyDescent="0.3">
      <c r="A748">
        <v>64</v>
      </c>
      <c r="B748" t="s">
        <v>15</v>
      </c>
      <c r="C748">
        <v>37796.75</v>
      </c>
      <c r="D748" t="s">
        <v>1503</v>
      </c>
      <c r="E748">
        <v>37796.75</v>
      </c>
      <c r="F748">
        <v>0</v>
      </c>
      <c r="G748" t="s">
        <v>1504</v>
      </c>
      <c r="H748">
        <v>0</v>
      </c>
      <c r="I748">
        <v>0</v>
      </c>
      <c r="J748">
        <v>1</v>
      </c>
      <c r="K748">
        <v>0</v>
      </c>
      <c r="L748">
        <v>16</v>
      </c>
      <c r="M748">
        <v>0</v>
      </c>
      <c r="N748">
        <v>1</v>
      </c>
      <c r="O748">
        <v>37796.75</v>
      </c>
      <c r="P748">
        <v>2</v>
      </c>
      <c r="Q748">
        <v>5</v>
      </c>
      <c r="R748">
        <v>2.6</v>
      </c>
      <c r="S748" t="s">
        <v>2312</v>
      </c>
      <c r="V748">
        <f t="shared" si="33"/>
        <v>0</v>
      </c>
      <c r="W748">
        <f t="shared" si="34"/>
        <v>0</v>
      </c>
      <c r="X748" t="str">
        <f t="shared" si="35"/>
        <v>MATCH</v>
      </c>
    </row>
    <row r="749" spans="1:24" x14ac:dyDescent="0.3">
      <c r="A749">
        <v>64</v>
      </c>
      <c r="B749" t="s">
        <v>18</v>
      </c>
      <c r="C749">
        <v>37796.75</v>
      </c>
      <c r="D749" t="s">
        <v>1505</v>
      </c>
      <c r="E749">
        <v>37796.75</v>
      </c>
      <c r="F749">
        <v>0</v>
      </c>
      <c r="G749" t="s">
        <v>1506</v>
      </c>
      <c r="H749">
        <v>211905.39</v>
      </c>
      <c r="I749">
        <v>249702.14</v>
      </c>
      <c r="J749">
        <v>1</v>
      </c>
      <c r="K749">
        <v>0</v>
      </c>
      <c r="L749">
        <v>16</v>
      </c>
      <c r="M749">
        <v>0</v>
      </c>
      <c r="N749">
        <v>1</v>
      </c>
      <c r="O749">
        <v>37796.75</v>
      </c>
      <c r="P749">
        <v>2</v>
      </c>
      <c r="Q749">
        <v>4</v>
      </c>
      <c r="R749">
        <v>2.3000000000000003</v>
      </c>
      <c r="S749" t="s">
        <v>2312</v>
      </c>
      <c r="V749">
        <f t="shared" si="33"/>
        <v>0</v>
      </c>
      <c r="W749">
        <f t="shared" si="34"/>
        <v>0</v>
      </c>
      <c r="X749" t="str">
        <f t="shared" si="35"/>
        <v>MATCH</v>
      </c>
    </row>
    <row r="750" spans="1:24" x14ac:dyDescent="0.3">
      <c r="A750">
        <v>64</v>
      </c>
      <c r="B750" t="s">
        <v>15</v>
      </c>
      <c r="C750">
        <v>17051.689999999999</v>
      </c>
      <c r="D750" t="s">
        <v>1507</v>
      </c>
      <c r="E750">
        <v>17051.689999999999</v>
      </c>
      <c r="F750">
        <v>0</v>
      </c>
      <c r="G750" t="s">
        <v>1508</v>
      </c>
      <c r="H750">
        <v>0</v>
      </c>
      <c r="I750">
        <v>0</v>
      </c>
      <c r="J750">
        <v>1</v>
      </c>
      <c r="K750">
        <v>0</v>
      </c>
      <c r="L750">
        <v>16</v>
      </c>
      <c r="M750">
        <v>0</v>
      </c>
      <c r="N750">
        <v>1</v>
      </c>
      <c r="O750">
        <v>17051.689999999999</v>
      </c>
      <c r="P750">
        <v>2</v>
      </c>
      <c r="Q750">
        <v>5</v>
      </c>
      <c r="R750">
        <v>2.6</v>
      </c>
      <c r="S750" t="s">
        <v>2312</v>
      </c>
      <c r="V750">
        <f t="shared" si="33"/>
        <v>0</v>
      </c>
      <c r="W750">
        <f t="shared" si="34"/>
        <v>0</v>
      </c>
      <c r="X750" t="str">
        <f t="shared" si="35"/>
        <v>MATCH</v>
      </c>
    </row>
    <row r="751" spans="1:24" x14ac:dyDescent="0.3">
      <c r="A751">
        <v>64</v>
      </c>
      <c r="B751" t="s">
        <v>18</v>
      </c>
      <c r="C751">
        <v>17051.689999999999</v>
      </c>
      <c r="D751" t="s">
        <v>1509</v>
      </c>
      <c r="E751">
        <v>17051.689999999999</v>
      </c>
      <c r="F751">
        <v>0</v>
      </c>
      <c r="G751" t="s">
        <v>1510</v>
      </c>
      <c r="H751">
        <v>289129.2</v>
      </c>
      <c r="I751">
        <v>306180.89</v>
      </c>
      <c r="J751">
        <v>1</v>
      </c>
      <c r="K751">
        <v>0</v>
      </c>
      <c r="L751">
        <v>16</v>
      </c>
      <c r="M751">
        <v>0</v>
      </c>
      <c r="N751">
        <v>1</v>
      </c>
      <c r="O751">
        <v>17051.689999999999</v>
      </c>
      <c r="P751">
        <v>2</v>
      </c>
      <c r="Q751">
        <v>4</v>
      </c>
      <c r="R751">
        <v>2.3000000000000003</v>
      </c>
      <c r="S751" t="s">
        <v>2312</v>
      </c>
      <c r="V751">
        <f t="shared" si="33"/>
        <v>0</v>
      </c>
      <c r="W751">
        <f t="shared" si="34"/>
        <v>0</v>
      </c>
      <c r="X751" t="str">
        <f t="shared" si="35"/>
        <v>MATCH</v>
      </c>
    </row>
    <row r="752" spans="1:24" x14ac:dyDescent="0.3">
      <c r="A752">
        <v>64</v>
      </c>
      <c r="B752" t="s">
        <v>15</v>
      </c>
      <c r="C752">
        <v>960306.85</v>
      </c>
      <c r="D752" t="s">
        <v>1511</v>
      </c>
      <c r="E752">
        <v>960306.85</v>
      </c>
      <c r="F752">
        <v>0</v>
      </c>
      <c r="G752" t="s">
        <v>1512</v>
      </c>
      <c r="H752">
        <v>0</v>
      </c>
      <c r="I752">
        <v>0</v>
      </c>
      <c r="J752">
        <v>1</v>
      </c>
      <c r="K752">
        <v>0</v>
      </c>
      <c r="L752">
        <v>16</v>
      </c>
      <c r="M752">
        <v>0</v>
      </c>
      <c r="N752">
        <v>1</v>
      </c>
      <c r="O752">
        <v>960306.85</v>
      </c>
      <c r="P752">
        <v>5</v>
      </c>
      <c r="Q752">
        <v>5</v>
      </c>
      <c r="R752">
        <v>4.0999999999999996</v>
      </c>
      <c r="S752" t="s">
        <v>2310</v>
      </c>
      <c r="V752">
        <f t="shared" si="33"/>
        <v>0</v>
      </c>
      <c r="W752">
        <f t="shared" si="34"/>
        <v>0</v>
      </c>
      <c r="X752" t="str">
        <f t="shared" si="35"/>
        <v>MATCH</v>
      </c>
    </row>
    <row r="753" spans="1:24" x14ac:dyDescent="0.3">
      <c r="A753">
        <v>64</v>
      </c>
      <c r="B753" t="s">
        <v>18</v>
      </c>
      <c r="C753">
        <v>960306.85</v>
      </c>
      <c r="D753" t="s">
        <v>1513</v>
      </c>
      <c r="E753">
        <v>960306.85</v>
      </c>
      <c r="F753">
        <v>0</v>
      </c>
      <c r="G753" t="s">
        <v>1514</v>
      </c>
      <c r="H753">
        <v>0</v>
      </c>
      <c r="I753">
        <v>960306.85</v>
      </c>
      <c r="J753">
        <v>1</v>
      </c>
      <c r="K753">
        <v>0</v>
      </c>
      <c r="L753">
        <v>16</v>
      </c>
      <c r="M753">
        <v>0</v>
      </c>
      <c r="N753">
        <v>1</v>
      </c>
      <c r="O753">
        <v>960306.85</v>
      </c>
      <c r="P753">
        <v>5</v>
      </c>
      <c r="Q753">
        <v>4</v>
      </c>
      <c r="R753">
        <v>3.8000000000000003</v>
      </c>
      <c r="S753" t="s">
        <v>2310</v>
      </c>
      <c r="V753">
        <f t="shared" si="33"/>
        <v>0</v>
      </c>
      <c r="W753">
        <f t="shared" si="34"/>
        <v>0</v>
      </c>
      <c r="X753" t="str">
        <f t="shared" si="35"/>
        <v>MATCH</v>
      </c>
    </row>
    <row r="754" spans="1:24" x14ac:dyDescent="0.3">
      <c r="A754">
        <v>64</v>
      </c>
      <c r="B754" t="s">
        <v>15</v>
      </c>
      <c r="C754">
        <v>3097121.75</v>
      </c>
      <c r="D754" t="s">
        <v>1515</v>
      </c>
      <c r="E754">
        <v>3097121.75</v>
      </c>
      <c r="F754">
        <v>0</v>
      </c>
      <c r="G754" t="s">
        <v>1516</v>
      </c>
      <c r="H754">
        <v>0</v>
      </c>
      <c r="I754">
        <v>0</v>
      </c>
      <c r="J754">
        <v>1</v>
      </c>
      <c r="K754">
        <v>0</v>
      </c>
      <c r="L754">
        <v>16</v>
      </c>
      <c r="M754">
        <v>0</v>
      </c>
      <c r="N754">
        <v>1</v>
      </c>
      <c r="O754">
        <v>3097121.75</v>
      </c>
      <c r="P754">
        <v>5</v>
      </c>
      <c r="Q754">
        <v>5</v>
      </c>
      <c r="R754">
        <v>4.0999999999999996</v>
      </c>
      <c r="S754" t="s">
        <v>2310</v>
      </c>
      <c r="V754">
        <f t="shared" si="33"/>
        <v>0</v>
      </c>
      <c r="W754">
        <f t="shared" si="34"/>
        <v>0</v>
      </c>
      <c r="X754" t="str">
        <f t="shared" si="35"/>
        <v>MATCH</v>
      </c>
    </row>
    <row r="755" spans="1:24" x14ac:dyDescent="0.3">
      <c r="A755">
        <v>64</v>
      </c>
      <c r="B755" t="s">
        <v>18</v>
      </c>
      <c r="C755">
        <v>3097121.75</v>
      </c>
      <c r="D755" t="s">
        <v>1517</v>
      </c>
      <c r="E755">
        <v>3097121.75</v>
      </c>
      <c r="F755">
        <v>0</v>
      </c>
      <c r="G755" t="s">
        <v>1518</v>
      </c>
      <c r="H755">
        <v>0</v>
      </c>
      <c r="I755">
        <v>3097121.75</v>
      </c>
      <c r="J755">
        <v>1</v>
      </c>
      <c r="K755">
        <v>0</v>
      </c>
      <c r="L755">
        <v>16</v>
      </c>
      <c r="M755">
        <v>0</v>
      </c>
      <c r="N755">
        <v>1</v>
      </c>
      <c r="O755">
        <v>3097121.75</v>
      </c>
      <c r="P755">
        <v>5</v>
      </c>
      <c r="Q755">
        <v>4</v>
      </c>
      <c r="R755">
        <v>3.8000000000000003</v>
      </c>
      <c r="S755" t="s">
        <v>2310</v>
      </c>
      <c r="V755">
        <f t="shared" si="33"/>
        <v>0</v>
      </c>
      <c r="W755">
        <f t="shared" si="34"/>
        <v>0</v>
      </c>
      <c r="X755" t="str">
        <f t="shared" si="35"/>
        <v>MATCH</v>
      </c>
    </row>
    <row r="756" spans="1:24" x14ac:dyDescent="0.3">
      <c r="A756">
        <v>64</v>
      </c>
      <c r="B756" t="s">
        <v>15</v>
      </c>
      <c r="C756">
        <v>436317.49</v>
      </c>
      <c r="D756" t="s">
        <v>1519</v>
      </c>
      <c r="E756">
        <v>436317.49</v>
      </c>
      <c r="F756">
        <v>0</v>
      </c>
      <c r="G756" t="s">
        <v>1520</v>
      </c>
      <c r="H756">
        <v>0</v>
      </c>
      <c r="I756">
        <v>0</v>
      </c>
      <c r="J756">
        <v>1</v>
      </c>
      <c r="K756">
        <v>0</v>
      </c>
      <c r="L756">
        <v>16</v>
      </c>
      <c r="M756">
        <v>0</v>
      </c>
      <c r="N756">
        <v>1</v>
      </c>
      <c r="O756">
        <v>436317.49</v>
      </c>
      <c r="P756">
        <v>5</v>
      </c>
      <c r="Q756">
        <v>5</v>
      </c>
      <c r="R756">
        <v>4.0999999999999996</v>
      </c>
      <c r="S756" t="s">
        <v>2310</v>
      </c>
      <c r="V756">
        <f t="shared" si="33"/>
        <v>0</v>
      </c>
      <c r="W756">
        <f t="shared" si="34"/>
        <v>0</v>
      </c>
      <c r="X756" t="str">
        <f t="shared" si="35"/>
        <v>MATCH</v>
      </c>
    </row>
    <row r="757" spans="1:24" x14ac:dyDescent="0.3">
      <c r="A757">
        <v>64</v>
      </c>
      <c r="B757" t="s">
        <v>18</v>
      </c>
      <c r="C757">
        <v>436317.49</v>
      </c>
      <c r="D757" t="s">
        <v>1521</v>
      </c>
      <c r="E757">
        <v>436317.49</v>
      </c>
      <c r="F757">
        <v>0</v>
      </c>
      <c r="G757" t="s">
        <v>1522</v>
      </c>
      <c r="H757">
        <v>195948.3</v>
      </c>
      <c r="I757">
        <v>632265.79</v>
      </c>
      <c r="J757">
        <v>1</v>
      </c>
      <c r="K757">
        <v>0</v>
      </c>
      <c r="L757">
        <v>16</v>
      </c>
      <c r="M757">
        <v>0</v>
      </c>
      <c r="N757">
        <v>1</v>
      </c>
      <c r="O757">
        <v>436317.49</v>
      </c>
      <c r="P757">
        <v>5</v>
      </c>
      <c r="Q757">
        <v>4</v>
      </c>
      <c r="R757">
        <v>3.8000000000000003</v>
      </c>
      <c r="S757" t="s">
        <v>2310</v>
      </c>
      <c r="V757">
        <f t="shared" si="33"/>
        <v>0</v>
      </c>
      <c r="W757">
        <f t="shared" si="34"/>
        <v>0</v>
      </c>
      <c r="X757" t="str">
        <f t="shared" si="35"/>
        <v>MATCH</v>
      </c>
    </row>
    <row r="758" spans="1:24" x14ac:dyDescent="0.3">
      <c r="A758">
        <v>64</v>
      </c>
      <c r="B758" t="s">
        <v>15</v>
      </c>
      <c r="C758">
        <v>104957.85</v>
      </c>
      <c r="D758" t="s">
        <v>1523</v>
      </c>
      <c r="E758">
        <v>104957.85</v>
      </c>
      <c r="F758">
        <v>0</v>
      </c>
      <c r="G758" t="s">
        <v>1524</v>
      </c>
      <c r="H758">
        <v>0</v>
      </c>
      <c r="I758">
        <v>0</v>
      </c>
      <c r="J758">
        <v>1</v>
      </c>
      <c r="K758">
        <v>0</v>
      </c>
      <c r="L758">
        <v>16</v>
      </c>
      <c r="M758">
        <v>0</v>
      </c>
      <c r="N758">
        <v>1</v>
      </c>
      <c r="O758">
        <v>104957.85</v>
      </c>
      <c r="P758">
        <v>4</v>
      </c>
      <c r="Q758">
        <v>5</v>
      </c>
      <c r="R758">
        <v>3.6</v>
      </c>
      <c r="S758" t="s">
        <v>2310</v>
      </c>
      <c r="V758">
        <f t="shared" si="33"/>
        <v>0</v>
      </c>
      <c r="W758">
        <f t="shared" si="34"/>
        <v>0</v>
      </c>
      <c r="X758" t="str">
        <f t="shared" si="35"/>
        <v>MATCH</v>
      </c>
    </row>
    <row r="759" spans="1:24" x14ac:dyDescent="0.3">
      <c r="A759">
        <v>64</v>
      </c>
      <c r="B759" t="s">
        <v>18</v>
      </c>
      <c r="C759">
        <v>104957.85</v>
      </c>
      <c r="D759" t="s">
        <v>1525</v>
      </c>
      <c r="E759">
        <v>104957.85</v>
      </c>
      <c r="F759">
        <v>0</v>
      </c>
      <c r="G759" t="s">
        <v>1526</v>
      </c>
      <c r="H759">
        <v>29237.79</v>
      </c>
      <c r="I759">
        <v>134195.64000000001</v>
      </c>
      <c r="J759">
        <v>1</v>
      </c>
      <c r="K759">
        <v>0</v>
      </c>
      <c r="L759">
        <v>16</v>
      </c>
      <c r="M759">
        <v>0</v>
      </c>
      <c r="N759">
        <v>1</v>
      </c>
      <c r="O759">
        <v>104957.85</v>
      </c>
      <c r="P759">
        <v>4</v>
      </c>
      <c r="Q759">
        <v>4</v>
      </c>
      <c r="R759">
        <v>3.3000000000000003</v>
      </c>
      <c r="S759" t="s">
        <v>2310</v>
      </c>
      <c r="V759">
        <f t="shared" si="33"/>
        <v>0</v>
      </c>
      <c r="W759">
        <f t="shared" si="34"/>
        <v>0</v>
      </c>
      <c r="X759" t="str">
        <f t="shared" si="35"/>
        <v>MATCH</v>
      </c>
    </row>
    <row r="760" spans="1:24" x14ac:dyDescent="0.3">
      <c r="A760">
        <v>64</v>
      </c>
      <c r="B760" t="s">
        <v>15</v>
      </c>
      <c r="C760">
        <v>841052.98</v>
      </c>
      <c r="D760" t="s">
        <v>1527</v>
      </c>
      <c r="E760">
        <v>841052.98</v>
      </c>
      <c r="F760">
        <v>0</v>
      </c>
      <c r="G760" t="s">
        <v>1528</v>
      </c>
      <c r="H760">
        <v>0</v>
      </c>
      <c r="I760">
        <v>0</v>
      </c>
      <c r="J760">
        <v>1</v>
      </c>
      <c r="K760">
        <v>0</v>
      </c>
      <c r="L760">
        <v>16</v>
      </c>
      <c r="M760">
        <v>0</v>
      </c>
      <c r="N760">
        <v>1</v>
      </c>
      <c r="O760">
        <v>841052.98</v>
      </c>
      <c r="P760">
        <v>5</v>
      </c>
      <c r="Q760">
        <v>5</v>
      </c>
      <c r="R760">
        <v>4.0999999999999996</v>
      </c>
      <c r="S760" t="s">
        <v>2310</v>
      </c>
      <c r="V760">
        <f t="shared" si="33"/>
        <v>0</v>
      </c>
      <c r="W760">
        <f t="shared" si="34"/>
        <v>0</v>
      </c>
      <c r="X760" t="str">
        <f t="shared" si="35"/>
        <v>MATCH</v>
      </c>
    </row>
    <row r="761" spans="1:24" x14ac:dyDescent="0.3">
      <c r="A761">
        <v>64</v>
      </c>
      <c r="B761" t="s">
        <v>18</v>
      </c>
      <c r="C761">
        <v>841052.98</v>
      </c>
      <c r="D761" t="s">
        <v>1529</v>
      </c>
      <c r="E761">
        <v>841052.98</v>
      </c>
      <c r="F761">
        <v>0</v>
      </c>
      <c r="G761" t="s">
        <v>1530</v>
      </c>
      <c r="H761">
        <v>0</v>
      </c>
      <c r="I761">
        <v>841052.98</v>
      </c>
      <c r="J761">
        <v>1</v>
      </c>
      <c r="K761">
        <v>0</v>
      </c>
      <c r="L761">
        <v>16</v>
      </c>
      <c r="M761">
        <v>0</v>
      </c>
      <c r="N761">
        <v>1</v>
      </c>
      <c r="O761">
        <v>841052.98</v>
      </c>
      <c r="P761">
        <v>5</v>
      </c>
      <c r="Q761">
        <v>4</v>
      </c>
      <c r="R761">
        <v>3.8000000000000003</v>
      </c>
      <c r="S761" t="s">
        <v>2310</v>
      </c>
      <c r="V761">
        <f t="shared" si="33"/>
        <v>0</v>
      </c>
      <c r="W761">
        <f t="shared" si="34"/>
        <v>0</v>
      </c>
      <c r="X761" t="str">
        <f t="shared" si="35"/>
        <v>MATCH</v>
      </c>
    </row>
    <row r="762" spans="1:24" x14ac:dyDescent="0.3">
      <c r="A762">
        <v>64</v>
      </c>
      <c r="B762" t="s">
        <v>15</v>
      </c>
      <c r="C762">
        <v>1814483.97</v>
      </c>
      <c r="D762" t="s">
        <v>1531</v>
      </c>
      <c r="E762">
        <v>1814483.97</v>
      </c>
      <c r="F762">
        <v>0</v>
      </c>
      <c r="G762" t="s">
        <v>1532</v>
      </c>
      <c r="H762">
        <v>0</v>
      </c>
      <c r="I762">
        <v>0</v>
      </c>
      <c r="J762">
        <v>1</v>
      </c>
      <c r="K762">
        <v>0</v>
      </c>
      <c r="L762">
        <v>16</v>
      </c>
      <c r="M762">
        <v>0</v>
      </c>
      <c r="N762">
        <v>1</v>
      </c>
      <c r="O762">
        <v>1814483.97</v>
      </c>
      <c r="P762">
        <v>5</v>
      </c>
      <c r="Q762">
        <v>5</v>
      </c>
      <c r="R762">
        <v>4.0999999999999996</v>
      </c>
      <c r="S762" t="s">
        <v>2310</v>
      </c>
      <c r="V762">
        <f t="shared" si="33"/>
        <v>0</v>
      </c>
      <c r="W762">
        <f t="shared" si="34"/>
        <v>0</v>
      </c>
      <c r="X762" t="str">
        <f t="shared" si="35"/>
        <v>MATCH</v>
      </c>
    </row>
    <row r="763" spans="1:24" x14ac:dyDescent="0.3">
      <c r="A763">
        <v>64</v>
      </c>
      <c r="B763" t="s">
        <v>18</v>
      </c>
      <c r="C763">
        <v>1814483.97</v>
      </c>
      <c r="D763" t="s">
        <v>1533</v>
      </c>
      <c r="E763">
        <v>1814483.97</v>
      </c>
      <c r="F763">
        <v>0</v>
      </c>
      <c r="G763" t="s">
        <v>1534</v>
      </c>
      <c r="H763">
        <v>0</v>
      </c>
      <c r="I763">
        <v>1814483.97</v>
      </c>
      <c r="J763">
        <v>1</v>
      </c>
      <c r="K763">
        <v>0</v>
      </c>
      <c r="L763">
        <v>16</v>
      </c>
      <c r="M763">
        <v>0</v>
      </c>
      <c r="N763">
        <v>1</v>
      </c>
      <c r="O763">
        <v>1814483.97</v>
      </c>
      <c r="P763">
        <v>5</v>
      </c>
      <c r="Q763">
        <v>4</v>
      </c>
      <c r="R763">
        <v>3.8000000000000003</v>
      </c>
      <c r="S763" t="s">
        <v>2310</v>
      </c>
      <c r="V763">
        <f t="shared" si="33"/>
        <v>0</v>
      </c>
      <c r="W763">
        <f t="shared" si="34"/>
        <v>0</v>
      </c>
      <c r="X763" t="str">
        <f t="shared" si="35"/>
        <v>MATCH</v>
      </c>
    </row>
    <row r="764" spans="1:24" x14ac:dyDescent="0.3">
      <c r="A764">
        <v>65</v>
      </c>
      <c r="B764" t="s">
        <v>15</v>
      </c>
      <c r="C764">
        <v>701168.78</v>
      </c>
      <c r="D764" t="s">
        <v>1535</v>
      </c>
      <c r="E764">
        <v>701168.78</v>
      </c>
      <c r="F764">
        <v>0</v>
      </c>
      <c r="G764" t="s">
        <v>1536</v>
      </c>
      <c r="H764">
        <v>0</v>
      </c>
      <c r="I764">
        <v>0</v>
      </c>
      <c r="J764">
        <v>1</v>
      </c>
      <c r="K764">
        <v>0</v>
      </c>
      <c r="L764">
        <v>17</v>
      </c>
      <c r="M764">
        <v>0</v>
      </c>
      <c r="N764">
        <v>1</v>
      </c>
      <c r="O764">
        <v>701168.78</v>
      </c>
      <c r="P764">
        <v>5</v>
      </c>
      <c r="Q764">
        <v>5</v>
      </c>
      <c r="R764">
        <v>4.0999999999999996</v>
      </c>
      <c r="S764" t="s">
        <v>2310</v>
      </c>
      <c r="V764">
        <f t="shared" si="33"/>
        <v>0</v>
      </c>
      <c r="W764">
        <f t="shared" si="34"/>
        <v>0</v>
      </c>
      <c r="X764" t="str">
        <f t="shared" si="35"/>
        <v>MATCH</v>
      </c>
    </row>
    <row r="765" spans="1:24" x14ac:dyDescent="0.3">
      <c r="A765">
        <v>65</v>
      </c>
      <c r="B765" t="s">
        <v>18</v>
      </c>
      <c r="C765">
        <v>701168.78</v>
      </c>
      <c r="D765" t="s">
        <v>1537</v>
      </c>
      <c r="E765">
        <v>701168.78</v>
      </c>
      <c r="F765">
        <v>0</v>
      </c>
      <c r="G765" t="s">
        <v>1538</v>
      </c>
      <c r="H765">
        <v>841462.58</v>
      </c>
      <c r="I765">
        <v>1542631.35</v>
      </c>
      <c r="J765">
        <v>1</v>
      </c>
      <c r="K765">
        <v>0</v>
      </c>
      <c r="L765">
        <v>17</v>
      </c>
      <c r="M765">
        <v>0</v>
      </c>
      <c r="N765">
        <v>1</v>
      </c>
      <c r="O765">
        <v>701168.78</v>
      </c>
      <c r="P765">
        <v>5</v>
      </c>
      <c r="Q765">
        <v>4</v>
      </c>
      <c r="R765">
        <v>3.8000000000000003</v>
      </c>
      <c r="S765" t="s">
        <v>2310</v>
      </c>
      <c r="V765">
        <f t="shared" si="33"/>
        <v>0</v>
      </c>
      <c r="W765">
        <f t="shared" si="34"/>
        <v>0</v>
      </c>
      <c r="X765" t="str">
        <f t="shared" si="35"/>
        <v>MATCH</v>
      </c>
    </row>
    <row r="766" spans="1:24" x14ac:dyDescent="0.3">
      <c r="A766">
        <v>65</v>
      </c>
      <c r="B766" t="s">
        <v>15</v>
      </c>
      <c r="C766">
        <v>446032.95</v>
      </c>
      <c r="D766" t="s">
        <v>1539</v>
      </c>
      <c r="E766">
        <v>446032.95</v>
      </c>
      <c r="F766">
        <v>0</v>
      </c>
      <c r="G766" t="s">
        <v>1540</v>
      </c>
      <c r="H766">
        <v>0</v>
      </c>
      <c r="I766">
        <v>0</v>
      </c>
      <c r="J766">
        <v>1</v>
      </c>
      <c r="K766">
        <v>0</v>
      </c>
      <c r="L766">
        <v>17</v>
      </c>
      <c r="M766">
        <v>0</v>
      </c>
      <c r="N766">
        <v>1</v>
      </c>
      <c r="O766">
        <v>446032.95</v>
      </c>
      <c r="P766">
        <v>5</v>
      </c>
      <c r="Q766">
        <v>5</v>
      </c>
      <c r="R766">
        <v>4.0999999999999996</v>
      </c>
      <c r="S766" t="s">
        <v>2310</v>
      </c>
      <c r="V766">
        <f t="shared" si="33"/>
        <v>0</v>
      </c>
      <c r="W766">
        <f t="shared" si="34"/>
        <v>0</v>
      </c>
      <c r="X766" t="str">
        <f t="shared" si="35"/>
        <v>MATCH</v>
      </c>
    </row>
    <row r="767" spans="1:24" x14ac:dyDescent="0.3">
      <c r="A767">
        <v>65</v>
      </c>
      <c r="B767" t="s">
        <v>18</v>
      </c>
      <c r="C767">
        <v>446032.95</v>
      </c>
      <c r="D767" t="s">
        <v>1541</v>
      </c>
      <c r="E767">
        <v>446032.95</v>
      </c>
      <c r="F767">
        <v>0</v>
      </c>
      <c r="G767" t="s">
        <v>1542</v>
      </c>
      <c r="H767">
        <v>205977.41</v>
      </c>
      <c r="I767">
        <v>652010.36</v>
      </c>
      <c r="J767">
        <v>1</v>
      </c>
      <c r="K767">
        <v>0</v>
      </c>
      <c r="L767">
        <v>17</v>
      </c>
      <c r="M767">
        <v>0</v>
      </c>
      <c r="N767">
        <v>1</v>
      </c>
      <c r="O767">
        <v>446032.95</v>
      </c>
      <c r="P767">
        <v>5</v>
      </c>
      <c r="Q767">
        <v>4</v>
      </c>
      <c r="R767">
        <v>3.8000000000000003</v>
      </c>
      <c r="S767" t="s">
        <v>2310</v>
      </c>
      <c r="V767">
        <f t="shared" si="33"/>
        <v>0</v>
      </c>
      <c r="W767">
        <f t="shared" si="34"/>
        <v>0</v>
      </c>
      <c r="X767" t="str">
        <f t="shared" si="35"/>
        <v>MATCH</v>
      </c>
    </row>
    <row r="768" spans="1:24" x14ac:dyDescent="0.3">
      <c r="A768">
        <v>65</v>
      </c>
      <c r="B768" t="s">
        <v>15</v>
      </c>
      <c r="C768">
        <v>385556.82</v>
      </c>
      <c r="D768" t="s">
        <v>1543</v>
      </c>
      <c r="E768">
        <v>385556.82</v>
      </c>
      <c r="F768">
        <v>0</v>
      </c>
      <c r="G768" t="s">
        <v>1544</v>
      </c>
      <c r="H768">
        <v>0</v>
      </c>
      <c r="I768">
        <v>0</v>
      </c>
      <c r="J768">
        <v>1</v>
      </c>
      <c r="K768">
        <v>0</v>
      </c>
      <c r="L768">
        <v>17</v>
      </c>
      <c r="M768">
        <v>0</v>
      </c>
      <c r="N768">
        <v>1</v>
      </c>
      <c r="O768">
        <v>385556.82</v>
      </c>
      <c r="P768">
        <v>5</v>
      </c>
      <c r="Q768">
        <v>5</v>
      </c>
      <c r="R768">
        <v>4.0999999999999996</v>
      </c>
      <c r="S768" t="s">
        <v>2310</v>
      </c>
      <c r="V768">
        <f t="shared" si="33"/>
        <v>0</v>
      </c>
      <c r="W768">
        <f t="shared" si="34"/>
        <v>0</v>
      </c>
      <c r="X768" t="str">
        <f t="shared" si="35"/>
        <v>MATCH</v>
      </c>
    </row>
    <row r="769" spans="1:24" x14ac:dyDescent="0.3">
      <c r="A769">
        <v>65</v>
      </c>
      <c r="B769" t="s">
        <v>18</v>
      </c>
      <c r="C769">
        <v>385556.82</v>
      </c>
      <c r="D769" t="s">
        <v>1545</v>
      </c>
      <c r="E769">
        <v>385556.82</v>
      </c>
      <c r="F769">
        <v>0</v>
      </c>
      <c r="G769" t="s">
        <v>1546</v>
      </c>
      <c r="H769">
        <v>60032.11</v>
      </c>
      <c r="I769">
        <v>445588.93</v>
      </c>
      <c r="J769">
        <v>1</v>
      </c>
      <c r="K769">
        <v>0</v>
      </c>
      <c r="L769">
        <v>17</v>
      </c>
      <c r="M769">
        <v>0</v>
      </c>
      <c r="N769">
        <v>1</v>
      </c>
      <c r="O769">
        <v>385556.82</v>
      </c>
      <c r="P769">
        <v>5</v>
      </c>
      <c r="Q769">
        <v>4</v>
      </c>
      <c r="R769">
        <v>3.8000000000000003</v>
      </c>
      <c r="S769" t="s">
        <v>2310</v>
      </c>
      <c r="V769">
        <f t="shared" si="33"/>
        <v>0</v>
      </c>
      <c r="W769">
        <f t="shared" si="34"/>
        <v>0</v>
      </c>
      <c r="X769" t="str">
        <f t="shared" si="35"/>
        <v>MATCH</v>
      </c>
    </row>
    <row r="770" spans="1:24" x14ac:dyDescent="0.3">
      <c r="A770">
        <v>65</v>
      </c>
      <c r="B770" t="s">
        <v>15</v>
      </c>
      <c r="C770">
        <v>3760068.04</v>
      </c>
      <c r="D770" t="s">
        <v>1547</v>
      </c>
      <c r="E770">
        <v>3760068.04</v>
      </c>
      <c r="F770">
        <v>0</v>
      </c>
      <c r="G770" t="s">
        <v>1548</v>
      </c>
      <c r="H770">
        <v>0</v>
      </c>
      <c r="I770">
        <v>0</v>
      </c>
      <c r="J770">
        <v>1</v>
      </c>
      <c r="K770">
        <v>0</v>
      </c>
      <c r="L770">
        <v>17</v>
      </c>
      <c r="M770">
        <v>0</v>
      </c>
      <c r="N770">
        <v>1</v>
      </c>
      <c r="O770">
        <v>3760068.04</v>
      </c>
      <c r="P770">
        <v>5</v>
      </c>
      <c r="Q770">
        <v>5</v>
      </c>
      <c r="R770">
        <v>4.0999999999999996</v>
      </c>
      <c r="S770" t="s">
        <v>2310</v>
      </c>
      <c r="V770">
        <f t="shared" si="33"/>
        <v>0</v>
      </c>
      <c r="W770">
        <f t="shared" si="34"/>
        <v>0</v>
      </c>
      <c r="X770" t="str">
        <f t="shared" si="35"/>
        <v>MATCH</v>
      </c>
    </row>
    <row r="771" spans="1:24" x14ac:dyDescent="0.3">
      <c r="A771">
        <v>65</v>
      </c>
      <c r="B771" t="s">
        <v>18</v>
      </c>
      <c r="C771">
        <v>3760068.04</v>
      </c>
      <c r="D771" t="s">
        <v>1549</v>
      </c>
      <c r="E771">
        <v>3760068.04</v>
      </c>
      <c r="F771">
        <v>0</v>
      </c>
      <c r="G771" t="s">
        <v>1550</v>
      </c>
      <c r="H771">
        <v>622555.65</v>
      </c>
      <c r="I771">
        <v>4382623.6900000004</v>
      </c>
      <c r="J771">
        <v>1</v>
      </c>
      <c r="K771">
        <v>0</v>
      </c>
      <c r="L771">
        <v>17</v>
      </c>
      <c r="M771">
        <v>0</v>
      </c>
      <c r="N771">
        <v>1</v>
      </c>
      <c r="O771">
        <v>3760068.04</v>
      </c>
      <c r="P771">
        <v>5</v>
      </c>
      <c r="Q771">
        <v>4</v>
      </c>
      <c r="R771">
        <v>3.8000000000000003</v>
      </c>
      <c r="S771" t="s">
        <v>2310</v>
      </c>
      <c r="V771">
        <f t="shared" ref="V771:V834" si="36">E771-C771</f>
        <v>0</v>
      </c>
      <c r="W771">
        <f t="shared" ref="W771:W834" si="37">ABS(F771-V771)</f>
        <v>0</v>
      </c>
      <c r="X771" t="str">
        <f t="shared" ref="X771:X834" si="38">IF(W771&lt;1,"MATCH","BREAK")</f>
        <v>MATCH</v>
      </c>
    </row>
    <row r="772" spans="1:24" x14ac:dyDescent="0.3">
      <c r="A772">
        <v>65</v>
      </c>
      <c r="B772" t="s">
        <v>15</v>
      </c>
      <c r="C772">
        <v>1282971.57</v>
      </c>
      <c r="D772" t="s">
        <v>1551</v>
      </c>
      <c r="E772">
        <v>1282971.57</v>
      </c>
      <c r="F772">
        <v>0</v>
      </c>
      <c r="G772" t="s">
        <v>1552</v>
      </c>
      <c r="H772">
        <v>0</v>
      </c>
      <c r="I772">
        <v>0</v>
      </c>
      <c r="J772">
        <v>1</v>
      </c>
      <c r="K772">
        <v>0</v>
      </c>
      <c r="L772">
        <v>17</v>
      </c>
      <c r="M772">
        <v>0</v>
      </c>
      <c r="N772">
        <v>1</v>
      </c>
      <c r="O772">
        <v>1282971.57</v>
      </c>
      <c r="P772">
        <v>5</v>
      </c>
      <c r="Q772">
        <v>5</v>
      </c>
      <c r="R772">
        <v>4.0999999999999996</v>
      </c>
      <c r="S772" t="s">
        <v>2310</v>
      </c>
      <c r="V772">
        <f t="shared" si="36"/>
        <v>0</v>
      </c>
      <c r="W772">
        <f t="shared" si="37"/>
        <v>0</v>
      </c>
      <c r="X772" t="str">
        <f t="shared" si="38"/>
        <v>MATCH</v>
      </c>
    </row>
    <row r="773" spans="1:24" x14ac:dyDescent="0.3">
      <c r="A773">
        <v>65</v>
      </c>
      <c r="B773" t="s">
        <v>18</v>
      </c>
      <c r="C773">
        <v>1282971.57</v>
      </c>
      <c r="D773" t="s">
        <v>1553</v>
      </c>
      <c r="E773">
        <v>1282971.57</v>
      </c>
      <c r="F773">
        <v>0</v>
      </c>
      <c r="G773" t="s">
        <v>1554</v>
      </c>
      <c r="H773">
        <v>392604.6</v>
      </c>
      <c r="I773">
        <v>1675576.17</v>
      </c>
      <c r="J773">
        <v>1</v>
      </c>
      <c r="K773">
        <v>0</v>
      </c>
      <c r="L773">
        <v>17</v>
      </c>
      <c r="M773">
        <v>0</v>
      </c>
      <c r="N773">
        <v>1</v>
      </c>
      <c r="O773">
        <v>1282971.57</v>
      </c>
      <c r="P773">
        <v>5</v>
      </c>
      <c r="Q773">
        <v>4</v>
      </c>
      <c r="R773">
        <v>3.8000000000000003</v>
      </c>
      <c r="S773" t="s">
        <v>2310</v>
      </c>
      <c r="V773">
        <f t="shared" si="36"/>
        <v>0</v>
      </c>
      <c r="W773">
        <f t="shared" si="37"/>
        <v>0</v>
      </c>
      <c r="X773" t="str">
        <f t="shared" si="38"/>
        <v>MATCH</v>
      </c>
    </row>
    <row r="774" spans="1:24" x14ac:dyDescent="0.3">
      <c r="A774">
        <v>65</v>
      </c>
      <c r="B774" t="s">
        <v>15</v>
      </c>
      <c r="C774">
        <v>881811.11</v>
      </c>
      <c r="D774" t="s">
        <v>1555</v>
      </c>
      <c r="E774">
        <v>881811.11</v>
      </c>
      <c r="F774">
        <v>0</v>
      </c>
      <c r="G774" t="s">
        <v>1556</v>
      </c>
      <c r="H774">
        <v>0</v>
      </c>
      <c r="I774">
        <v>0</v>
      </c>
      <c r="J774">
        <v>1</v>
      </c>
      <c r="K774">
        <v>0</v>
      </c>
      <c r="L774">
        <v>17</v>
      </c>
      <c r="M774">
        <v>0</v>
      </c>
      <c r="N774">
        <v>1</v>
      </c>
      <c r="O774">
        <v>881811.11</v>
      </c>
      <c r="P774">
        <v>5</v>
      </c>
      <c r="Q774">
        <v>5</v>
      </c>
      <c r="R774">
        <v>4.0999999999999996</v>
      </c>
      <c r="S774" t="s">
        <v>2310</v>
      </c>
      <c r="V774">
        <f t="shared" si="36"/>
        <v>0</v>
      </c>
      <c r="W774">
        <f t="shared" si="37"/>
        <v>0</v>
      </c>
      <c r="X774" t="str">
        <f t="shared" si="38"/>
        <v>MATCH</v>
      </c>
    </row>
    <row r="775" spans="1:24" x14ac:dyDescent="0.3">
      <c r="A775">
        <v>65</v>
      </c>
      <c r="B775" t="s">
        <v>18</v>
      </c>
      <c r="C775">
        <v>881811.11</v>
      </c>
      <c r="D775" t="s">
        <v>1557</v>
      </c>
      <c r="E775">
        <v>881811.11</v>
      </c>
      <c r="F775">
        <v>0</v>
      </c>
      <c r="G775" t="s">
        <v>1558</v>
      </c>
      <c r="H775">
        <v>141736.75</v>
      </c>
      <c r="I775">
        <v>1023547.85</v>
      </c>
      <c r="J775">
        <v>1</v>
      </c>
      <c r="K775">
        <v>0</v>
      </c>
      <c r="L775">
        <v>17</v>
      </c>
      <c r="M775">
        <v>0</v>
      </c>
      <c r="N775">
        <v>1</v>
      </c>
      <c r="O775">
        <v>881811.11</v>
      </c>
      <c r="P775">
        <v>5</v>
      </c>
      <c r="Q775">
        <v>4</v>
      </c>
      <c r="R775">
        <v>3.8000000000000003</v>
      </c>
      <c r="S775" t="s">
        <v>2310</v>
      </c>
      <c r="V775">
        <f t="shared" si="36"/>
        <v>0</v>
      </c>
      <c r="W775">
        <f t="shared" si="37"/>
        <v>0</v>
      </c>
      <c r="X775" t="str">
        <f t="shared" si="38"/>
        <v>MATCH</v>
      </c>
    </row>
    <row r="776" spans="1:24" x14ac:dyDescent="0.3">
      <c r="A776">
        <v>65</v>
      </c>
      <c r="B776" t="s">
        <v>15</v>
      </c>
      <c r="C776">
        <v>174923.28</v>
      </c>
      <c r="D776" t="s">
        <v>1559</v>
      </c>
      <c r="E776">
        <v>174923.28</v>
      </c>
      <c r="F776">
        <v>0</v>
      </c>
      <c r="G776" t="s">
        <v>1560</v>
      </c>
      <c r="H776">
        <v>0</v>
      </c>
      <c r="I776">
        <v>0</v>
      </c>
      <c r="J776">
        <v>1</v>
      </c>
      <c r="K776">
        <v>0</v>
      </c>
      <c r="L776">
        <v>17</v>
      </c>
      <c r="M776">
        <v>0</v>
      </c>
      <c r="N776">
        <v>1</v>
      </c>
      <c r="O776">
        <v>174923.28</v>
      </c>
      <c r="P776">
        <v>4</v>
      </c>
      <c r="Q776">
        <v>5</v>
      </c>
      <c r="R776">
        <v>3.6</v>
      </c>
      <c r="S776" t="s">
        <v>2310</v>
      </c>
      <c r="V776">
        <f t="shared" si="36"/>
        <v>0</v>
      </c>
      <c r="W776">
        <f t="shared" si="37"/>
        <v>0</v>
      </c>
      <c r="X776" t="str">
        <f t="shared" si="38"/>
        <v>MATCH</v>
      </c>
    </row>
    <row r="777" spans="1:24" x14ac:dyDescent="0.3">
      <c r="A777">
        <v>65</v>
      </c>
      <c r="B777" t="s">
        <v>18</v>
      </c>
      <c r="C777">
        <v>174923.28</v>
      </c>
      <c r="D777" t="s">
        <v>1561</v>
      </c>
      <c r="E777">
        <v>174923.28</v>
      </c>
      <c r="F777">
        <v>0</v>
      </c>
      <c r="G777" t="s">
        <v>1562</v>
      </c>
      <c r="H777">
        <v>0</v>
      </c>
      <c r="I777">
        <v>174923.28</v>
      </c>
      <c r="J777">
        <v>1</v>
      </c>
      <c r="K777">
        <v>0</v>
      </c>
      <c r="L777">
        <v>17</v>
      </c>
      <c r="M777">
        <v>0</v>
      </c>
      <c r="N777">
        <v>1</v>
      </c>
      <c r="O777">
        <v>174923.28</v>
      </c>
      <c r="P777">
        <v>4</v>
      </c>
      <c r="Q777">
        <v>4</v>
      </c>
      <c r="R777">
        <v>3.3000000000000003</v>
      </c>
      <c r="S777" t="s">
        <v>2310</v>
      </c>
      <c r="V777">
        <f t="shared" si="36"/>
        <v>0</v>
      </c>
      <c r="W777">
        <f t="shared" si="37"/>
        <v>0</v>
      </c>
      <c r="X777" t="str">
        <f t="shared" si="38"/>
        <v>MATCH</v>
      </c>
    </row>
    <row r="778" spans="1:24" x14ac:dyDescent="0.3">
      <c r="A778">
        <v>65</v>
      </c>
      <c r="B778" t="s">
        <v>15</v>
      </c>
      <c r="C778">
        <v>403975.39</v>
      </c>
      <c r="D778" t="s">
        <v>1563</v>
      </c>
      <c r="E778">
        <v>403975.39</v>
      </c>
      <c r="F778">
        <v>0</v>
      </c>
      <c r="G778" t="s">
        <v>1564</v>
      </c>
      <c r="H778">
        <v>0</v>
      </c>
      <c r="I778">
        <v>0</v>
      </c>
      <c r="J778">
        <v>1</v>
      </c>
      <c r="K778">
        <v>0</v>
      </c>
      <c r="L778">
        <v>17</v>
      </c>
      <c r="M778">
        <v>0</v>
      </c>
      <c r="N778">
        <v>1</v>
      </c>
      <c r="O778">
        <v>403975.39</v>
      </c>
      <c r="P778">
        <v>5</v>
      </c>
      <c r="Q778">
        <v>5</v>
      </c>
      <c r="R778">
        <v>4.0999999999999996</v>
      </c>
      <c r="S778" t="s">
        <v>2310</v>
      </c>
      <c r="V778">
        <f t="shared" si="36"/>
        <v>0</v>
      </c>
      <c r="W778">
        <f t="shared" si="37"/>
        <v>0</v>
      </c>
      <c r="X778" t="str">
        <f t="shared" si="38"/>
        <v>MATCH</v>
      </c>
    </row>
    <row r="779" spans="1:24" x14ac:dyDescent="0.3">
      <c r="A779">
        <v>65</v>
      </c>
      <c r="B779" t="s">
        <v>18</v>
      </c>
      <c r="C779">
        <v>403975.39</v>
      </c>
      <c r="D779" t="s">
        <v>1565</v>
      </c>
      <c r="E779">
        <v>403975.39</v>
      </c>
      <c r="F779">
        <v>0</v>
      </c>
      <c r="G779" t="s">
        <v>1566</v>
      </c>
      <c r="H779">
        <v>0</v>
      </c>
      <c r="I779">
        <v>403975.39</v>
      </c>
      <c r="J779">
        <v>1</v>
      </c>
      <c r="K779">
        <v>0</v>
      </c>
      <c r="L779">
        <v>17</v>
      </c>
      <c r="M779">
        <v>0</v>
      </c>
      <c r="N779">
        <v>1</v>
      </c>
      <c r="O779">
        <v>403975.39</v>
      </c>
      <c r="P779">
        <v>5</v>
      </c>
      <c r="Q779">
        <v>4</v>
      </c>
      <c r="R779">
        <v>3.8000000000000003</v>
      </c>
      <c r="S779" t="s">
        <v>2310</v>
      </c>
      <c r="V779">
        <f t="shared" si="36"/>
        <v>0</v>
      </c>
      <c r="W779">
        <f t="shared" si="37"/>
        <v>0</v>
      </c>
      <c r="X779" t="str">
        <f t="shared" si="38"/>
        <v>MATCH</v>
      </c>
    </row>
    <row r="780" spans="1:24" x14ac:dyDescent="0.3">
      <c r="A780">
        <v>65</v>
      </c>
      <c r="B780" t="s">
        <v>15</v>
      </c>
      <c r="C780">
        <v>126690.14</v>
      </c>
      <c r="D780" t="s">
        <v>1567</v>
      </c>
      <c r="E780">
        <v>126690.14</v>
      </c>
      <c r="F780">
        <v>0</v>
      </c>
      <c r="G780" t="s">
        <v>1568</v>
      </c>
      <c r="H780">
        <v>0</v>
      </c>
      <c r="I780">
        <v>0</v>
      </c>
      <c r="J780">
        <v>1</v>
      </c>
      <c r="K780">
        <v>0</v>
      </c>
      <c r="L780">
        <v>17</v>
      </c>
      <c r="M780">
        <v>0</v>
      </c>
      <c r="N780">
        <v>1</v>
      </c>
      <c r="O780">
        <v>126690.14</v>
      </c>
      <c r="P780">
        <v>4</v>
      </c>
      <c r="Q780">
        <v>5</v>
      </c>
      <c r="R780">
        <v>3.6</v>
      </c>
      <c r="S780" t="s">
        <v>2310</v>
      </c>
      <c r="V780">
        <f t="shared" si="36"/>
        <v>0</v>
      </c>
      <c r="W780">
        <f t="shared" si="37"/>
        <v>0</v>
      </c>
      <c r="X780" t="str">
        <f t="shared" si="38"/>
        <v>MATCH</v>
      </c>
    </row>
    <row r="781" spans="1:24" x14ac:dyDescent="0.3">
      <c r="A781">
        <v>65</v>
      </c>
      <c r="B781" t="s">
        <v>18</v>
      </c>
      <c r="C781">
        <v>126690.14</v>
      </c>
      <c r="D781" t="s">
        <v>1569</v>
      </c>
      <c r="E781">
        <v>126690.14</v>
      </c>
      <c r="F781">
        <v>0</v>
      </c>
      <c r="G781" t="s">
        <v>1570</v>
      </c>
      <c r="H781">
        <v>353834.29</v>
      </c>
      <c r="I781">
        <v>480524.43</v>
      </c>
      <c r="J781">
        <v>1</v>
      </c>
      <c r="K781">
        <v>0</v>
      </c>
      <c r="L781">
        <v>17</v>
      </c>
      <c r="M781">
        <v>0</v>
      </c>
      <c r="N781">
        <v>1</v>
      </c>
      <c r="O781">
        <v>126690.14</v>
      </c>
      <c r="P781">
        <v>4</v>
      </c>
      <c r="Q781">
        <v>4</v>
      </c>
      <c r="R781">
        <v>3.3000000000000003</v>
      </c>
      <c r="S781" t="s">
        <v>2310</v>
      </c>
      <c r="V781">
        <f t="shared" si="36"/>
        <v>0</v>
      </c>
      <c r="W781">
        <f t="shared" si="37"/>
        <v>0</v>
      </c>
      <c r="X781" t="str">
        <f t="shared" si="38"/>
        <v>MATCH</v>
      </c>
    </row>
    <row r="782" spans="1:24" x14ac:dyDescent="0.3">
      <c r="A782">
        <v>65</v>
      </c>
      <c r="B782" t="s">
        <v>15</v>
      </c>
      <c r="C782">
        <v>215.83</v>
      </c>
      <c r="D782" t="s">
        <v>1571</v>
      </c>
      <c r="E782">
        <v>215.83</v>
      </c>
      <c r="F782">
        <v>0</v>
      </c>
      <c r="G782" t="s">
        <v>1572</v>
      </c>
      <c r="H782">
        <v>0</v>
      </c>
      <c r="I782">
        <v>0</v>
      </c>
      <c r="J782">
        <v>1</v>
      </c>
      <c r="K782">
        <v>0</v>
      </c>
      <c r="L782">
        <v>17</v>
      </c>
      <c r="M782">
        <v>0</v>
      </c>
      <c r="N782">
        <v>1</v>
      </c>
      <c r="O782">
        <v>215.83</v>
      </c>
      <c r="P782">
        <v>1</v>
      </c>
      <c r="Q782">
        <v>5</v>
      </c>
      <c r="R782">
        <v>2.1</v>
      </c>
      <c r="S782" t="s">
        <v>2312</v>
      </c>
      <c r="V782">
        <f t="shared" si="36"/>
        <v>0</v>
      </c>
      <c r="W782">
        <f t="shared" si="37"/>
        <v>0</v>
      </c>
      <c r="X782" t="str">
        <f t="shared" si="38"/>
        <v>MATCH</v>
      </c>
    </row>
    <row r="783" spans="1:24" x14ac:dyDescent="0.3">
      <c r="A783">
        <v>65</v>
      </c>
      <c r="B783" t="s">
        <v>18</v>
      </c>
      <c r="C783">
        <v>215.83</v>
      </c>
      <c r="D783" t="s">
        <v>1573</v>
      </c>
      <c r="E783">
        <v>215.83</v>
      </c>
      <c r="F783">
        <v>0</v>
      </c>
      <c r="G783" t="s">
        <v>1574</v>
      </c>
      <c r="H783">
        <v>3563442.24</v>
      </c>
      <c r="I783">
        <v>3563658.07</v>
      </c>
      <c r="J783">
        <v>1</v>
      </c>
      <c r="K783">
        <v>0</v>
      </c>
      <c r="L783">
        <v>17</v>
      </c>
      <c r="M783">
        <v>0</v>
      </c>
      <c r="N783">
        <v>1</v>
      </c>
      <c r="O783">
        <v>215.83</v>
      </c>
      <c r="P783">
        <v>1</v>
      </c>
      <c r="Q783">
        <v>4</v>
      </c>
      <c r="R783">
        <v>1.8</v>
      </c>
      <c r="S783" t="s">
        <v>2311</v>
      </c>
      <c r="V783">
        <f t="shared" si="36"/>
        <v>0</v>
      </c>
      <c r="W783">
        <f t="shared" si="37"/>
        <v>0</v>
      </c>
      <c r="X783" t="str">
        <f t="shared" si="38"/>
        <v>MATCH</v>
      </c>
    </row>
    <row r="784" spans="1:24" x14ac:dyDescent="0.3">
      <c r="A784">
        <v>66</v>
      </c>
      <c r="B784" t="s">
        <v>15</v>
      </c>
      <c r="C784">
        <v>548269.98</v>
      </c>
      <c r="D784" t="s">
        <v>1575</v>
      </c>
      <c r="E784">
        <v>548269.98</v>
      </c>
      <c r="F784">
        <v>0</v>
      </c>
      <c r="G784" t="s">
        <v>1576</v>
      </c>
      <c r="H784">
        <v>0</v>
      </c>
      <c r="I784">
        <v>0</v>
      </c>
      <c r="J784">
        <v>1</v>
      </c>
      <c r="K784">
        <v>0</v>
      </c>
      <c r="L784">
        <v>18</v>
      </c>
      <c r="M784">
        <v>0</v>
      </c>
      <c r="N784">
        <v>1</v>
      </c>
      <c r="O784">
        <v>548269.98</v>
      </c>
      <c r="P784">
        <v>5</v>
      </c>
      <c r="Q784">
        <v>5</v>
      </c>
      <c r="R784">
        <v>4.0999999999999996</v>
      </c>
      <c r="S784" t="s">
        <v>2310</v>
      </c>
      <c r="V784">
        <f t="shared" si="36"/>
        <v>0</v>
      </c>
      <c r="W784">
        <f t="shared" si="37"/>
        <v>0</v>
      </c>
      <c r="X784" t="str">
        <f t="shared" si="38"/>
        <v>MATCH</v>
      </c>
    </row>
    <row r="785" spans="1:24" x14ac:dyDescent="0.3">
      <c r="A785">
        <v>66</v>
      </c>
      <c r="B785" t="s">
        <v>18</v>
      </c>
      <c r="C785">
        <v>548269.98</v>
      </c>
      <c r="D785" t="s">
        <v>1577</v>
      </c>
      <c r="E785">
        <v>548269.98</v>
      </c>
      <c r="F785">
        <v>0</v>
      </c>
      <c r="G785" t="s">
        <v>1578</v>
      </c>
      <c r="H785">
        <v>0</v>
      </c>
      <c r="I785">
        <v>548269.98</v>
      </c>
      <c r="J785">
        <v>1</v>
      </c>
      <c r="K785">
        <v>0</v>
      </c>
      <c r="L785">
        <v>18</v>
      </c>
      <c r="M785">
        <v>0</v>
      </c>
      <c r="N785">
        <v>1</v>
      </c>
      <c r="O785">
        <v>548269.98</v>
      </c>
      <c r="P785">
        <v>5</v>
      </c>
      <c r="Q785">
        <v>4</v>
      </c>
      <c r="R785">
        <v>3.8000000000000003</v>
      </c>
      <c r="S785" t="s">
        <v>2310</v>
      </c>
      <c r="V785">
        <f t="shared" si="36"/>
        <v>0</v>
      </c>
      <c r="W785">
        <f t="shared" si="37"/>
        <v>0</v>
      </c>
      <c r="X785" t="str">
        <f t="shared" si="38"/>
        <v>MATCH</v>
      </c>
    </row>
    <row r="786" spans="1:24" x14ac:dyDescent="0.3">
      <c r="A786">
        <v>66</v>
      </c>
      <c r="B786" t="s">
        <v>15</v>
      </c>
      <c r="C786">
        <v>150405.20000000001</v>
      </c>
      <c r="D786" t="s">
        <v>1579</v>
      </c>
      <c r="E786">
        <v>150405.20000000001</v>
      </c>
      <c r="F786">
        <v>0</v>
      </c>
      <c r="G786" t="s">
        <v>1580</v>
      </c>
      <c r="H786">
        <v>0</v>
      </c>
      <c r="I786">
        <v>0</v>
      </c>
      <c r="J786">
        <v>1</v>
      </c>
      <c r="K786">
        <v>0</v>
      </c>
      <c r="L786">
        <v>18</v>
      </c>
      <c r="M786">
        <v>0</v>
      </c>
      <c r="N786">
        <v>1</v>
      </c>
      <c r="O786">
        <v>150405.20000000001</v>
      </c>
      <c r="P786">
        <v>4</v>
      </c>
      <c r="Q786">
        <v>5</v>
      </c>
      <c r="R786">
        <v>3.6</v>
      </c>
      <c r="S786" t="s">
        <v>2310</v>
      </c>
      <c r="V786">
        <f t="shared" si="36"/>
        <v>0</v>
      </c>
      <c r="W786">
        <f t="shared" si="37"/>
        <v>0</v>
      </c>
      <c r="X786" t="str">
        <f t="shared" si="38"/>
        <v>MATCH</v>
      </c>
    </row>
    <row r="787" spans="1:24" x14ac:dyDescent="0.3">
      <c r="A787">
        <v>66</v>
      </c>
      <c r="B787" t="s">
        <v>18</v>
      </c>
      <c r="C787">
        <v>150405.20000000001</v>
      </c>
      <c r="D787" t="s">
        <v>1581</v>
      </c>
      <c r="E787">
        <v>150405.20000000001</v>
      </c>
      <c r="F787">
        <v>0</v>
      </c>
      <c r="G787" t="s">
        <v>1582</v>
      </c>
      <c r="H787">
        <v>170707.62</v>
      </c>
      <c r="I787">
        <v>321112.82</v>
      </c>
      <c r="J787">
        <v>1</v>
      </c>
      <c r="K787">
        <v>0</v>
      </c>
      <c r="L787">
        <v>18</v>
      </c>
      <c r="M787">
        <v>0</v>
      </c>
      <c r="N787">
        <v>1</v>
      </c>
      <c r="O787">
        <v>150405.20000000001</v>
      </c>
      <c r="P787">
        <v>4</v>
      </c>
      <c r="Q787">
        <v>4</v>
      </c>
      <c r="R787">
        <v>3.3000000000000003</v>
      </c>
      <c r="S787" t="s">
        <v>2310</v>
      </c>
      <c r="V787">
        <f t="shared" si="36"/>
        <v>0</v>
      </c>
      <c r="W787">
        <f t="shared" si="37"/>
        <v>0</v>
      </c>
      <c r="X787" t="str">
        <f t="shared" si="38"/>
        <v>MATCH</v>
      </c>
    </row>
    <row r="788" spans="1:24" x14ac:dyDescent="0.3">
      <c r="A788">
        <v>66</v>
      </c>
      <c r="B788" t="s">
        <v>15</v>
      </c>
      <c r="C788">
        <v>813133.35</v>
      </c>
      <c r="D788" t="s">
        <v>1583</v>
      </c>
      <c r="E788">
        <v>813133.35</v>
      </c>
      <c r="F788">
        <v>0</v>
      </c>
      <c r="G788" t="s">
        <v>1584</v>
      </c>
      <c r="H788">
        <v>0</v>
      </c>
      <c r="I788">
        <v>0</v>
      </c>
      <c r="J788">
        <v>1</v>
      </c>
      <c r="K788">
        <v>0</v>
      </c>
      <c r="L788">
        <v>18</v>
      </c>
      <c r="M788">
        <v>0</v>
      </c>
      <c r="N788">
        <v>1</v>
      </c>
      <c r="O788">
        <v>813133.35</v>
      </c>
      <c r="P788">
        <v>5</v>
      </c>
      <c r="Q788">
        <v>5</v>
      </c>
      <c r="R788">
        <v>4.0999999999999996</v>
      </c>
      <c r="S788" t="s">
        <v>2310</v>
      </c>
      <c r="V788">
        <f t="shared" si="36"/>
        <v>0</v>
      </c>
      <c r="W788">
        <f t="shared" si="37"/>
        <v>0</v>
      </c>
      <c r="X788" t="str">
        <f t="shared" si="38"/>
        <v>MATCH</v>
      </c>
    </row>
    <row r="789" spans="1:24" x14ac:dyDescent="0.3">
      <c r="A789">
        <v>66</v>
      </c>
      <c r="B789" t="s">
        <v>18</v>
      </c>
      <c r="C789">
        <v>813133.35</v>
      </c>
      <c r="D789" t="s">
        <v>1585</v>
      </c>
      <c r="E789">
        <v>813133.35</v>
      </c>
      <c r="F789">
        <v>0</v>
      </c>
      <c r="G789" t="s">
        <v>1586</v>
      </c>
      <c r="H789">
        <v>0</v>
      </c>
      <c r="I789">
        <v>813133.35</v>
      </c>
      <c r="J789">
        <v>1</v>
      </c>
      <c r="K789">
        <v>0</v>
      </c>
      <c r="L789">
        <v>18</v>
      </c>
      <c r="M789">
        <v>0</v>
      </c>
      <c r="N789">
        <v>1</v>
      </c>
      <c r="O789">
        <v>813133.35</v>
      </c>
      <c r="P789">
        <v>5</v>
      </c>
      <c r="Q789">
        <v>4</v>
      </c>
      <c r="R789">
        <v>3.8000000000000003</v>
      </c>
      <c r="S789" t="s">
        <v>2310</v>
      </c>
      <c r="V789">
        <f t="shared" si="36"/>
        <v>0</v>
      </c>
      <c r="W789">
        <f t="shared" si="37"/>
        <v>0</v>
      </c>
      <c r="X789" t="str">
        <f t="shared" si="38"/>
        <v>MATCH</v>
      </c>
    </row>
    <row r="790" spans="1:24" x14ac:dyDescent="0.3">
      <c r="A790">
        <v>66</v>
      </c>
      <c r="B790" t="s">
        <v>15</v>
      </c>
      <c r="C790">
        <v>2096634.43</v>
      </c>
      <c r="D790" t="s">
        <v>1587</v>
      </c>
      <c r="E790">
        <v>2096634.43</v>
      </c>
      <c r="F790">
        <v>0</v>
      </c>
      <c r="G790" t="s">
        <v>1588</v>
      </c>
      <c r="H790">
        <v>0</v>
      </c>
      <c r="I790">
        <v>0</v>
      </c>
      <c r="J790">
        <v>1</v>
      </c>
      <c r="K790">
        <v>0</v>
      </c>
      <c r="L790">
        <v>18</v>
      </c>
      <c r="M790">
        <v>0</v>
      </c>
      <c r="N790">
        <v>1</v>
      </c>
      <c r="O790">
        <v>2096634.43</v>
      </c>
      <c r="P790">
        <v>5</v>
      </c>
      <c r="Q790">
        <v>5</v>
      </c>
      <c r="R790">
        <v>4.0999999999999996</v>
      </c>
      <c r="S790" t="s">
        <v>2310</v>
      </c>
      <c r="V790">
        <f t="shared" si="36"/>
        <v>0</v>
      </c>
      <c r="W790">
        <f t="shared" si="37"/>
        <v>0</v>
      </c>
      <c r="X790" t="str">
        <f t="shared" si="38"/>
        <v>MATCH</v>
      </c>
    </row>
    <row r="791" spans="1:24" x14ac:dyDescent="0.3">
      <c r="A791">
        <v>66</v>
      </c>
      <c r="B791" t="s">
        <v>18</v>
      </c>
      <c r="C791">
        <v>2096634.43</v>
      </c>
      <c r="D791" t="s">
        <v>1589</v>
      </c>
      <c r="E791">
        <v>2096634.43</v>
      </c>
      <c r="F791">
        <v>0</v>
      </c>
      <c r="G791" t="s">
        <v>1590</v>
      </c>
      <c r="H791">
        <v>183429.98</v>
      </c>
      <c r="I791">
        <v>2280064.41</v>
      </c>
      <c r="J791">
        <v>1</v>
      </c>
      <c r="K791">
        <v>0</v>
      </c>
      <c r="L791">
        <v>18</v>
      </c>
      <c r="M791">
        <v>0</v>
      </c>
      <c r="N791">
        <v>1</v>
      </c>
      <c r="O791">
        <v>2096634.43</v>
      </c>
      <c r="P791">
        <v>5</v>
      </c>
      <c r="Q791">
        <v>4</v>
      </c>
      <c r="R791">
        <v>3.8000000000000003</v>
      </c>
      <c r="S791" t="s">
        <v>2310</v>
      </c>
      <c r="V791">
        <f t="shared" si="36"/>
        <v>0</v>
      </c>
      <c r="W791">
        <f t="shared" si="37"/>
        <v>0</v>
      </c>
      <c r="X791" t="str">
        <f t="shared" si="38"/>
        <v>MATCH</v>
      </c>
    </row>
    <row r="792" spans="1:24" x14ac:dyDescent="0.3">
      <c r="A792">
        <v>66</v>
      </c>
      <c r="B792" t="s">
        <v>15</v>
      </c>
      <c r="C792">
        <v>272791.44</v>
      </c>
      <c r="D792" t="s">
        <v>1591</v>
      </c>
      <c r="E792">
        <v>272791.44</v>
      </c>
      <c r="F792">
        <v>0</v>
      </c>
      <c r="G792" t="s">
        <v>1592</v>
      </c>
      <c r="H792">
        <v>0</v>
      </c>
      <c r="I792">
        <v>0</v>
      </c>
      <c r="J792">
        <v>1</v>
      </c>
      <c r="K792">
        <v>0</v>
      </c>
      <c r="L792">
        <v>18</v>
      </c>
      <c r="M792">
        <v>0</v>
      </c>
      <c r="N792">
        <v>1</v>
      </c>
      <c r="O792">
        <v>272791.44</v>
      </c>
      <c r="P792">
        <v>5</v>
      </c>
      <c r="Q792">
        <v>5</v>
      </c>
      <c r="R792">
        <v>4.0999999999999996</v>
      </c>
      <c r="S792" t="s">
        <v>2310</v>
      </c>
      <c r="V792">
        <f t="shared" si="36"/>
        <v>0</v>
      </c>
      <c r="W792">
        <f t="shared" si="37"/>
        <v>0</v>
      </c>
      <c r="X792" t="str">
        <f t="shared" si="38"/>
        <v>MATCH</v>
      </c>
    </row>
    <row r="793" spans="1:24" x14ac:dyDescent="0.3">
      <c r="A793">
        <v>66</v>
      </c>
      <c r="B793" t="s">
        <v>18</v>
      </c>
      <c r="C793">
        <v>272791.44</v>
      </c>
      <c r="D793" t="s">
        <v>1593</v>
      </c>
      <c r="E793">
        <v>272791.44</v>
      </c>
      <c r="F793">
        <v>0</v>
      </c>
      <c r="G793" t="s">
        <v>1594</v>
      </c>
      <c r="H793">
        <v>715267.02</v>
      </c>
      <c r="I793">
        <v>988058.46</v>
      </c>
      <c r="J793">
        <v>1</v>
      </c>
      <c r="K793">
        <v>0</v>
      </c>
      <c r="L793">
        <v>18</v>
      </c>
      <c r="M793">
        <v>0</v>
      </c>
      <c r="N793">
        <v>1</v>
      </c>
      <c r="O793">
        <v>272791.44</v>
      </c>
      <c r="P793">
        <v>5</v>
      </c>
      <c r="Q793">
        <v>4</v>
      </c>
      <c r="R793">
        <v>3.8000000000000003</v>
      </c>
      <c r="S793" t="s">
        <v>2310</v>
      </c>
      <c r="V793">
        <f t="shared" si="36"/>
        <v>0</v>
      </c>
      <c r="W793">
        <f t="shared" si="37"/>
        <v>0</v>
      </c>
      <c r="X793" t="str">
        <f t="shared" si="38"/>
        <v>MATCH</v>
      </c>
    </row>
    <row r="794" spans="1:24" x14ac:dyDescent="0.3">
      <c r="A794">
        <v>66</v>
      </c>
      <c r="B794" t="s">
        <v>15</v>
      </c>
      <c r="C794">
        <v>7169129.9400000004</v>
      </c>
      <c r="D794" t="s">
        <v>1595</v>
      </c>
      <c r="E794">
        <v>7169129.9400000004</v>
      </c>
      <c r="F794">
        <v>0</v>
      </c>
      <c r="G794" t="s">
        <v>1596</v>
      </c>
      <c r="H794">
        <v>0</v>
      </c>
      <c r="I794">
        <v>0</v>
      </c>
      <c r="J794">
        <v>1</v>
      </c>
      <c r="K794">
        <v>0</v>
      </c>
      <c r="L794">
        <v>18</v>
      </c>
      <c r="M794">
        <v>0</v>
      </c>
      <c r="N794">
        <v>1</v>
      </c>
      <c r="O794">
        <v>7169129.9400000004</v>
      </c>
      <c r="P794">
        <v>5</v>
      </c>
      <c r="Q794">
        <v>5</v>
      </c>
      <c r="R794">
        <v>4.0999999999999996</v>
      </c>
      <c r="S794" t="s">
        <v>2310</v>
      </c>
      <c r="V794">
        <f t="shared" si="36"/>
        <v>0</v>
      </c>
      <c r="W794">
        <f t="shared" si="37"/>
        <v>0</v>
      </c>
      <c r="X794" t="str">
        <f t="shared" si="38"/>
        <v>MATCH</v>
      </c>
    </row>
    <row r="795" spans="1:24" x14ac:dyDescent="0.3">
      <c r="A795">
        <v>66</v>
      </c>
      <c r="B795" t="s">
        <v>18</v>
      </c>
      <c r="C795">
        <v>7169129.9400000004</v>
      </c>
      <c r="D795" t="s">
        <v>1597</v>
      </c>
      <c r="E795">
        <v>7169129.9400000004</v>
      </c>
      <c r="F795">
        <v>0</v>
      </c>
      <c r="G795" t="s">
        <v>1598</v>
      </c>
      <c r="H795">
        <v>0</v>
      </c>
      <c r="I795">
        <v>7169129.9400000004</v>
      </c>
      <c r="J795">
        <v>1</v>
      </c>
      <c r="K795">
        <v>0</v>
      </c>
      <c r="L795">
        <v>18</v>
      </c>
      <c r="M795">
        <v>0</v>
      </c>
      <c r="N795">
        <v>1</v>
      </c>
      <c r="O795">
        <v>7169129.9400000004</v>
      </c>
      <c r="P795">
        <v>5</v>
      </c>
      <c r="Q795">
        <v>4</v>
      </c>
      <c r="R795">
        <v>3.8000000000000003</v>
      </c>
      <c r="S795" t="s">
        <v>2310</v>
      </c>
      <c r="V795">
        <f t="shared" si="36"/>
        <v>0</v>
      </c>
      <c r="W795">
        <f t="shared" si="37"/>
        <v>0</v>
      </c>
      <c r="X795" t="str">
        <f t="shared" si="38"/>
        <v>MATCH</v>
      </c>
    </row>
    <row r="796" spans="1:24" x14ac:dyDescent="0.3">
      <c r="A796">
        <v>66</v>
      </c>
      <c r="B796" t="s">
        <v>15</v>
      </c>
      <c r="C796">
        <v>107188.41</v>
      </c>
      <c r="D796" t="s">
        <v>1599</v>
      </c>
      <c r="E796">
        <v>107188.41</v>
      </c>
      <c r="F796">
        <v>0</v>
      </c>
      <c r="G796" t="s">
        <v>1600</v>
      </c>
      <c r="H796">
        <v>0</v>
      </c>
      <c r="I796">
        <v>0</v>
      </c>
      <c r="J796">
        <v>1</v>
      </c>
      <c r="K796">
        <v>0</v>
      </c>
      <c r="L796">
        <v>18</v>
      </c>
      <c r="M796">
        <v>0</v>
      </c>
      <c r="N796">
        <v>1</v>
      </c>
      <c r="O796">
        <v>107188.41</v>
      </c>
      <c r="P796">
        <v>4</v>
      </c>
      <c r="Q796">
        <v>5</v>
      </c>
      <c r="R796">
        <v>3.6</v>
      </c>
      <c r="S796" t="s">
        <v>2310</v>
      </c>
      <c r="V796">
        <f t="shared" si="36"/>
        <v>0</v>
      </c>
      <c r="W796">
        <f t="shared" si="37"/>
        <v>0</v>
      </c>
      <c r="X796" t="str">
        <f t="shared" si="38"/>
        <v>MATCH</v>
      </c>
    </row>
    <row r="797" spans="1:24" x14ac:dyDescent="0.3">
      <c r="A797">
        <v>66</v>
      </c>
      <c r="B797" t="s">
        <v>18</v>
      </c>
      <c r="C797">
        <v>107188.41</v>
      </c>
      <c r="D797" t="s">
        <v>1601</v>
      </c>
      <c r="E797">
        <v>107188.41</v>
      </c>
      <c r="F797">
        <v>0</v>
      </c>
      <c r="G797" t="s">
        <v>1602</v>
      </c>
      <c r="H797">
        <v>696135.43</v>
      </c>
      <c r="I797">
        <v>803323.83</v>
      </c>
      <c r="J797">
        <v>1</v>
      </c>
      <c r="K797">
        <v>0</v>
      </c>
      <c r="L797">
        <v>18</v>
      </c>
      <c r="M797">
        <v>0</v>
      </c>
      <c r="N797">
        <v>1</v>
      </c>
      <c r="O797">
        <v>107188.41</v>
      </c>
      <c r="P797">
        <v>4</v>
      </c>
      <c r="Q797">
        <v>4</v>
      </c>
      <c r="R797">
        <v>3.3000000000000003</v>
      </c>
      <c r="S797" t="s">
        <v>2310</v>
      </c>
      <c r="V797">
        <f t="shared" si="36"/>
        <v>0</v>
      </c>
      <c r="W797">
        <f t="shared" si="37"/>
        <v>0</v>
      </c>
      <c r="X797" t="str">
        <f t="shared" si="38"/>
        <v>MATCH</v>
      </c>
    </row>
    <row r="798" spans="1:24" x14ac:dyDescent="0.3">
      <c r="A798">
        <v>66</v>
      </c>
      <c r="B798" t="s">
        <v>15</v>
      </c>
      <c r="C798">
        <v>3444943.59</v>
      </c>
      <c r="D798" t="s">
        <v>1603</v>
      </c>
      <c r="E798">
        <v>3444943.59</v>
      </c>
      <c r="F798">
        <v>0</v>
      </c>
      <c r="G798" t="s">
        <v>1604</v>
      </c>
      <c r="H798">
        <v>0</v>
      </c>
      <c r="I798">
        <v>0</v>
      </c>
      <c r="J798">
        <v>1</v>
      </c>
      <c r="K798">
        <v>0</v>
      </c>
      <c r="L798">
        <v>18</v>
      </c>
      <c r="M798">
        <v>0</v>
      </c>
      <c r="N798">
        <v>1</v>
      </c>
      <c r="O798">
        <v>3444943.59</v>
      </c>
      <c r="P798">
        <v>5</v>
      </c>
      <c r="Q798">
        <v>5</v>
      </c>
      <c r="R798">
        <v>4.0999999999999996</v>
      </c>
      <c r="S798" t="s">
        <v>2310</v>
      </c>
      <c r="V798">
        <f t="shared" si="36"/>
        <v>0</v>
      </c>
      <c r="W798">
        <f t="shared" si="37"/>
        <v>0</v>
      </c>
      <c r="X798" t="str">
        <f t="shared" si="38"/>
        <v>MATCH</v>
      </c>
    </row>
    <row r="799" spans="1:24" x14ac:dyDescent="0.3">
      <c r="A799">
        <v>66</v>
      </c>
      <c r="B799" t="s">
        <v>18</v>
      </c>
      <c r="C799">
        <v>3444943.59</v>
      </c>
      <c r="D799" t="s">
        <v>1605</v>
      </c>
      <c r="E799">
        <v>3444943.59</v>
      </c>
      <c r="F799">
        <v>0</v>
      </c>
      <c r="G799" t="s">
        <v>1606</v>
      </c>
      <c r="H799">
        <v>217174.65</v>
      </c>
      <c r="I799">
        <v>3662118.24</v>
      </c>
      <c r="J799">
        <v>1</v>
      </c>
      <c r="K799">
        <v>0</v>
      </c>
      <c r="L799">
        <v>18</v>
      </c>
      <c r="M799">
        <v>0</v>
      </c>
      <c r="N799">
        <v>1</v>
      </c>
      <c r="O799">
        <v>3444943.59</v>
      </c>
      <c r="P799">
        <v>5</v>
      </c>
      <c r="Q799">
        <v>4</v>
      </c>
      <c r="R799">
        <v>3.8000000000000003</v>
      </c>
      <c r="S799" t="s">
        <v>2310</v>
      </c>
      <c r="V799">
        <f t="shared" si="36"/>
        <v>0</v>
      </c>
      <c r="W799">
        <f t="shared" si="37"/>
        <v>0</v>
      </c>
      <c r="X799" t="str">
        <f t="shared" si="38"/>
        <v>MATCH</v>
      </c>
    </row>
    <row r="800" spans="1:24" x14ac:dyDescent="0.3">
      <c r="A800">
        <v>66</v>
      </c>
      <c r="B800" t="s">
        <v>15</v>
      </c>
      <c r="C800">
        <v>126715.84</v>
      </c>
      <c r="D800" t="s">
        <v>1607</v>
      </c>
      <c r="E800">
        <v>126715.84</v>
      </c>
      <c r="F800">
        <v>0</v>
      </c>
      <c r="G800" t="s">
        <v>1608</v>
      </c>
      <c r="H800">
        <v>0</v>
      </c>
      <c r="I800">
        <v>0</v>
      </c>
      <c r="J800">
        <v>1</v>
      </c>
      <c r="K800">
        <v>0</v>
      </c>
      <c r="L800">
        <v>18</v>
      </c>
      <c r="M800">
        <v>0</v>
      </c>
      <c r="N800">
        <v>1</v>
      </c>
      <c r="O800">
        <v>126715.84</v>
      </c>
      <c r="P800">
        <v>4</v>
      </c>
      <c r="Q800">
        <v>5</v>
      </c>
      <c r="R800">
        <v>3.6</v>
      </c>
      <c r="S800" t="s">
        <v>2310</v>
      </c>
      <c r="V800">
        <f t="shared" si="36"/>
        <v>0</v>
      </c>
      <c r="W800">
        <f t="shared" si="37"/>
        <v>0</v>
      </c>
      <c r="X800" t="str">
        <f t="shared" si="38"/>
        <v>MATCH</v>
      </c>
    </row>
    <row r="801" spans="1:24" x14ac:dyDescent="0.3">
      <c r="A801">
        <v>66</v>
      </c>
      <c r="B801" t="s">
        <v>18</v>
      </c>
      <c r="C801">
        <v>126715.84</v>
      </c>
      <c r="D801" t="s">
        <v>1609</v>
      </c>
      <c r="E801">
        <v>126715.84</v>
      </c>
      <c r="F801">
        <v>0</v>
      </c>
      <c r="G801" t="s">
        <v>1610</v>
      </c>
      <c r="H801">
        <v>273157.93</v>
      </c>
      <c r="I801">
        <v>399873.77</v>
      </c>
      <c r="J801">
        <v>1</v>
      </c>
      <c r="K801">
        <v>0</v>
      </c>
      <c r="L801">
        <v>18</v>
      </c>
      <c r="M801">
        <v>0</v>
      </c>
      <c r="N801">
        <v>1</v>
      </c>
      <c r="O801">
        <v>126715.84</v>
      </c>
      <c r="P801">
        <v>4</v>
      </c>
      <c r="Q801">
        <v>4</v>
      </c>
      <c r="R801">
        <v>3.3000000000000003</v>
      </c>
      <c r="S801" t="s">
        <v>2310</v>
      </c>
      <c r="V801">
        <f t="shared" si="36"/>
        <v>0</v>
      </c>
      <c r="W801">
        <f t="shared" si="37"/>
        <v>0</v>
      </c>
      <c r="X801" t="str">
        <f t="shared" si="38"/>
        <v>MATCH</v>
      </c>
    </row>
    <row r="802" spans="1:24" x14ac:dyDescent="0.3">
      <c r="A802">
        <v>66</v>
      </c>
      <c r="B802" t="s">
        <v>15</v>
      </c>
      <c r="C802">
        <v>4631432.03</v>
      </c>
      <c r="D802" t="s">
        <v>1611</v>
      </c>
      <c r="E802">
        <v>4631432.03</v>
      </c>
      <c r="F802">
        <v>0</v>
      </c>
      <c r="G802" t="s">
        <v>1612</v>
      </c>
      <c r="H802">
        <v>0</v>
      </c>
      <c r="I802">
        <v>0</v>
      </c>
      <c r="J802">
        <v>1</v>
      </c>
      <c r="K802">
        <v>0</v>
      </c>
      <c r="L802">
        <v>18</v>
      </c>
      <c r="M802">
        <v>0</v>
      </c>
      <c r="N802">
        <v>1</v>
      </c>
      <c r="O802">
        <v>4631432.03</v>
      </c>
      <c r="P802">
        <v>5</v>
      </c>
      <c r="Q802">
        <v>5</v>
      </c>
      <c r="R802">
        <v>4.0999999999999996</v>
      </c>
      <c r="S802" t="s">
        <v>2310</v>
      </c>
      <c r="V802">
        <f t="shared" si="36"/>
        <v>0</v>
      </c>
      <c r="W802">
        <f t="shared" si="37"/>
        <v>0</v>
      </c>
      <c r="X802" t="str">
        <f t="shared" si="38"/>
        <v>MATCH</v>
      </c>
    </row>
    <row r="803" spans="1:24" x14ac:dyDescent="0.3">
      <c r="A803">
        <v>66</v>
      </c>
      <c r="B803" t="s">
        <v>18</v>
      </c>
      <c r="C803">
        <v>4631432.03</v>
      </c>
      <c r="D803" t="s">
        <v>1613</v>
      </c>
      <c r="E803">
        <v>4631432.03</v>
      </c>
      <c r="F803">
        <v>0</v>
      </c>
      <c r="G803" t="s">
        <v>1614</v>
      </c>
      <c r="H803">
        <v>122727.22</v>
      </c>
      <c r="I803">
        <v>4754159.25</v>
      </c>
      <c r="J803">
        <v>1</v>
      </c>
      <c r="K803">
        <v>0</v>
      </c>
      <c r="L803">
        <v>18</v>
      </c>
      <c r="M803">
        <v>0</v>
      </c>
      <c r="N803">
        <v>1</v>
      </c>
      <c r="O803">
        <v>4631432.03</v>
      </c>
      <c r="P803">
        <v>5</v>
      </c>
      <c r="Q803">
        <v>4</v>
      </c>
      <c r="R803">
        <v>3.8000000000000003</v>
      </c>
      <c r="S803" t="s">
        <v>2310</v>
      </c>
      <c r="V803">
        <f t="shared" si="36"/>
        <v>0</v>
      </c>
      <c r="W803">
        <f t="shared" si="37"/>
        <v>0</v>
      </c>
      <c r="X803" t="str">
        <f t="shared" si="38"/>
        <v>MATCH</v>
      </c>
    </row>
    <row r="804" spans="1:24" x14ac:dyDescent="0.3">
      <c r="A804">
        <v>66</v>
      </c>
      <c r="B804" t="s">
        <v>15</v>
      </c>
      <c r="C804">
        <v>2322909.69</v>
      </c>
      <c r="D804" t="s">
        <v>1615</v>
      </c>
      <c r="E804">
        <v>2322909.69</v>
      </c>
      <c r="F804">
        <v>0</v>
      </c>
      <c r="G804" t="s">
        <v>1616</v>
      </c>
      <c r="H804">
        <v>0</v>
      </c>
      <c r="I804">
        <v>0</v>
      </c>
      <c r="J804">
        <v>1</v>
      </c>
      <c r="K804">
        <v>0</v>
      </c>
      <c r="L804">
        <v>18</v>
      </c>
      <c r="M804">
        <v>0</v>
      </c>
      <c r="N804">
        <v>1</v>
      </c>
      <c r="O804">
        <v>2322909.69</v>
      </c>
      <c r="P804">
        <v>5</v>
      </c>
      <c r="Q804">
        <v>5</v>
      </c>
      <c r="R804">
        <v>4.0999999999999996</v>
      </c>
      <c r="S804" t="s">
        <v>2310</v>
      </c>
      <c r="V804">
        <f t="shared" si="36"/>
        <v>0</v>
      </c>
      <c r="W804">
        <f t="shared" si="37"/>
        <v>0</v>
      </c>
      <c r="X804" t="str">
        <f t="shared" si="38"/>
        <v>MATCH</v>
      </c>
    </row>
    <row r="805" spans="1:24" x14ac:dyDescent="0.3">
      <c r="A805">
        <v>66</v>
      </c>
      <c r="B805" t="s">
        <v>18</v>
      </c>
      <c r="C805">
        <v>2322909.69</v>
      </c>
      <c r="D805" t="s">
        <v>1617</v>
      </c>
      <c r="E805">
        <v>2322909.69</v>
      </c>
      <c r="F805">
        <v>0</v>
      </c>
      <c r="G805" t="s">
        <v>1618</v>
      </c>
      <c r="H805">
        <v>875613.05</v>
      </c>
      <c r="I805">
        <v>3198522.74</v>
      </c>
      <c r="J805">
        <v>1</v>
      </c>
      <c r="K805">
        <v>0</v>
      </c>
      <c r="L805">
        <v>18</v>
      </c>
      <c r="M805">
        <v>0</v>
      </c>
      <c r="N805">
        <v>1</v>
      </c>
      <c r="O805">
        <v>2322909.69</v>
      </c>
      <c r="P805">
        <v>5</v>
      </c>
      <c r="Q805">
        <v>4</v>
      </c>
      <c r="R805">
        <v>3.8000000000000003</v>
      </c>
      <c r="S805" t="s">
        <v>2310</v>
      </c>
      <c r="V805">
        <f t="shared" si="36"/>
        <v>0</v>
      </c>
      <c r="W805">
        <f t="shared" si="37"/>
        <v>0</v>
      </c>
      <c r="X805" t="str">
        <f t="shared" si="38"/>
        <v>MATCH</v>
      </c>
    </row>
    <row r="806" spans="1:24" x14ac:dyDescent="0.3">
      <c r="A806">
        <v>66</v>
      </c>
      <c r="B806" t="s">
        <v>15</v>
      </c>
      <c r="C806">
        <v>79441.66</v>
      </c>
      <c r="D806" t="s">
        <v>1619</v>
      </c>
      <c r="E806">
        <v>79441.66</v>
      </c>
      <c r="F806">
        <v>0</v>
      </c>
      <c r="G806" t="s">
        <v>1620</v>
      </c>
      <c r="H806">
        <v>0</v>
      </c>
      <c r="I806">
        <v>0</v>
      </c>
      <c r="J806">
        <v>1</v>
      </c>
      <c r="K806">
        <v>0</v>
      </c>
      <c r="L806">
        <v>18</v>
      </c>
      <c r="M806">
        <v>0</v>
      </c>
      <c r="N806">
        <v>1</v>
      </c>
      <c r="O806">
        <v>79441.66</v>
      </c>
      <c r="P806">
        <v>3</v>
      </c>
      <c r="Q806">
        <v>5</v>
      </c>
      <c r="R806">
        <v>3.1</v>
      </c>
      <c r="S806" t="s">
        <v>2310</v>
      </c>
      <c r="V806">
        <f t="shared" si="36"/>
        <v>0</v>
      </c>
      <c r="W806">
        <f t="shared" si="37"/>
        <v>0</v>
      </c>
      <c r="X806" t="str">
        <f t="shared" si="38"/>
        <v>MATCH</v>
      </c>
    </row>
    <row r="807" spans="1:24" x14ac:dyDescent="0.3">
      <c r="A807">
        <v>66</v>
      </c>
      <c r="B807" t="s">
        <v>18</v>
      </c>
      <c r="C807">
        <v>79441.66</v>
      </c>
      <c r="D807" t="s">
        <v>1621</v>
      </c>
      <c r="E807">
        <v>79441.66</v>
      </c>
      <c r="F807">
        <v>0</v>
      </c>
      <c r="G807" t="s">
        <v>1622</v>
      </c>
      <c r="H807">
        <v>2051790.44</v>
      </c>
      <c r="I807">
        <v>2131232.1</v>
      </c>
      <c r="J807">
        <v>1</v>
      </c>
      <c r="K807">
        <v>0</v>
      </c>
      <c r="L807">
        <v>18</v>
      </c>
      <c r="M807">
        <v>0</v>
      </c>
      <c r="N807">
        <v>1</v>
      </c>
      <c r="O807">
        <v>79441.66</v>
      </c>
      <c r="P807">
        <v>3</v>
      </c>
      <c r="Q807">
        <v>4</v>
      </c>
      <c r="R807">
        <v>2.8000000000000003</v>
      </c>
      <c r="S807" t="s">
        <v>2312</v>
      </c>
      <c r="V807">
        <f t="shared" si="36"/>
        <v>0</v>
      </c>
      <c r="W807">
        <f t="shared" si="37"/>
        <v>0</v>
      </c>
      <c r="X807" t="str">
        <f t="shared" si="38"/>
        <v>MATCH</v>
      </c>
    </row>
    <row r="808" spans="1:24" x14ac:dyDescent="0.3">
      <c r="A808">
        <v>67</v>
      </c>
      <c r="B808" t="s">
        <v>15</v>
      </c>
      <c r="C808">
        <v>1028326.5</v>
      </c>
      <c r="D808" t="s">
        <v>1623</v>
      </c>
      <c r="E808">
        <v>1028326.5</v>
      </c>
      <c r="F808">
        <v>0</v>
      </c>
      <c r="G808" t="s">
        <v>1624</v>
      </c>
      <c r="H808">
        <v>0</v>
      </c>
      <c r="I808">
        <v>0</v>
      </c>
      <c r="J808">
        <v>1</v>
      </c>
      <c r="K808">
        <v>0</v>
      </c>
      <c r="L808">
        <v>19</v>
      </c>
      <c r="M808">
        <v>0</v>
      </c>
      <c r="N808">
        <v>1</v>
      </c>
      <c r="O808">
        <v>1028326.5</v>
      </c>
      <c r="P808">
        <v>5</v>
      </c>
      <c r="Q808">
        <v>5</v>
      </c>
      <c r="R808">
        <v>4.0999999999999996</v>
      </c>
      <c r="S808" t="s">
        <v>2310</v>
      </c>
      <c r="V808">
        <f t="shared" si="36"/>
        <v>0</v>
      </c>
      <c r="W808">
        <f t="shared" si="37"/>
        <v>0</v>
      </c>
      <c r="X808" t="str">
        <f t="shared" si="38"/>
        <v>MATCH</v>
      </c>
    </row>
    <row r="809" spans="1:24" x14ac:dyDescent="0.3">
      <c r="A809">
        <v>67</v>
      </c>
      <c r="B809" t="s">
        <v>18</v>
      </c>
      <c r="C809">
        <v>1028326.5</v>
      </c>
      <c r="D809" t="s">
        <v>1625</v>
      </c>
      <c r="E809">
        <v>1028326.5</v>
      </c>
      <c r="F809">
        <v>0</v>
      </c>
      <c r="G809" t="s">
        <v>1626</v>
      </c>
      <c r="H809">
        <v>0</v>
      </c>
      <c r="I809">
        <v>1028326.5</v>
      </c>
      <c r="J809">
        <v>1</v>
      </c>
      <c r="K809">
        <v>0</v>
      </c>
      <c r="L809">
        <v>19</v>
      </c>
      <c r="M809">
        <v>0</v>
      </c>
      <c r="N809">
        <v>1</v>
      </c>
      <c r="O809">
        <v>1028326.5</v>
      </c>
      <c r="P809">
        <v>5</v>
      </c>
      <c r="Q809">
        <v>4</v>
      </c>
      <c r="R809">
        <v>3.8000000000000003</v>
      </c>
      <c r="S809" t="s">
        <v>2310</v>
      </c>
      <c r="V809">
        <f t="shared" si="36"/>
        <v>0</v>
      </c>
      <c r="W809">
        <f t="shared" si="37"/>
        <v>0</v>
      </c>
      <c r="X809" t="str">
        <f t="shared" si="38"/>
        <v>MATCH</v>
      </c>
    </row>
    <row r="810" spans="1:24" x14ac:dyDescent="0.3">
      <c r="A810">
        <v>67</v>
      </c>
      <c r="B810" t="s">
        <v>15</v>
      </c>
      <c r="C810">
        <v>42513.08</v>
      </c>
      <c r="D810" t="s">
        <v>1627</v>
      </c>
      <c r="E810">
        <v>42513.08</v>
      </c>
      <c r="F810">
        <v>0</v>
      </c>
      <c r="G810" t="s">
        <v>1628</v>
      </c>
      <c r="H810">
        <v>0</v>
      </c>
      <c r="I810">
        <v>0</v>
      </c>
      <c r="J810">
        <v>1</v>
      </c>
      <c r="K810">
        <v>0</v>
      </c>
      <c r="L810">
        <v>19</v>
      </c>
      <c r="M810">
        <v>0</v>
      </c>
      <c r="N810">
        <v>1</v>
      </c>
      <c r="O810">
        <v>42513.08</v>
      </c>
      <c r="P810">
        <v>2</v>
      </c>
      <c r="Q810">
        <v>5</v>
      </c>
      <c r="R810">
        <v>2.6</v>
      </c>
      <c r="S810" t="s">
        <v>2312</v>
      </c>
      <c r="V810">
        <f t="shared" si="36"/>
        <v>0</v>
      </c>
      <c r="W810">
        <f t="shared" si="37"/>
        <v>0</v>
      </c>
      <c r="X810" t="str">
        <f t="shared" si="38"/>
        <v>MATCH</v>
      </c>
    </row>
    <row r="811" spans="1:24" x14ac:dyDescent="0.3">
      <c r="A811">
        <v>67</v>
      </c>
      <c r="B811" t="s">
        <v>18</v>
      </c>
      <c r="C811">
        <v>42513.08</v>
      </c>
      <c r="D811" t="s">
        <v>1629</v>
      </c>
      <c r="E811">
        <v>42513.08</v>
      </c>
      <c r="F811">
        <v>0</v>
      </c>
      <c r="G811" t="s">
        <v>1630</v>
      </c>
      <c r="H811">
        <v>0</v>
      </c>
      <c r="I811">
        <v>42513.08</v>
      </c>
      <c r="J811">
        <v>1</v>
      </c>
      <c r="K811">
        <v>0</v>
      </c>
      <c r="L811">
        <v>19</v>
      </c>
      <c r="M811">
        <v>0</v>
      </c>
      <c r="N811">
        <v>1</v>
      </c>
      <c r="O811">
        <v>42513.08</v>
      </c>
      <c r="P811">
        <v>2</v>
      </c>
      <c r="Q811">
        <v>4</v>
      </c>
      <c r="R811">
        <v>2.3000000000000003</v>
      </c>
      <c r="S811" t="s">
        <v>2312</v>
      </c>
      <c r="V811">
        <f t="shared" si="36"/>
        <v>0</v>
      </c>
      <c r="W811">
        <f t="shared" si="37"/>
        <v>0</v>
      </c>
      <c r="X811" t="str">
        <f t="shared" si="38"/>
        <v>MATCH</v>
      </c>
    </row>
    <row r="812" spans="1:24" x14ac:dyDescent="0.3">
      <c r="A812">
        <v>67</v>
      </c>
      <c r="B812" t="s">
        <v>15</v>
      </c>
      <c r="C812">
        <v>106460.7</v>
      </c>
      <c r="D812" t="s">
        <v>1631</v>
      </c>
      <c r="E812">
        <v>106460.7</v>
      </c>
      <c r="F812">
        <v>0</v>
      </c>
      <c r="G812" t="s">
        <v>1632</v>
      </c>
      <c r="H812">
        <v>0</v>
      </c>
      <c r="I812">
        <v>0</v>
      </c>
      <c r="J812">
        <v>1</v>
      </c>
      <c r="K812">
        <v>0</v>
      </c>
      <c r="L812">
        <v>19</v>
      </c>
      <c r="M812">
        <v>0</v>
      </c>
      <c r="N812">
        <v>1</v>
      </c>
      <c r="O812">
        <v>106460.7</v>
      </c>
      <c r="P812">
        <v>4</v>
      </c>
      <c r="Q812">
        <v>5</v>
      </c>
      <c r="R812">
        <v>3.6</v>
      </c>
      <c r="S812" t="s">
        <v>2310</v>
      </c>
      <c r="V812">
        <f t="shared" si="36"/>
        <v>0</v>
      </c>
      <c r="W812">
        <f t="shared" si="37"/>
        <v>0</v>
      </c>
      <c r="X812" t="str">
        <f t="shared" si="38"/>
        <v>MATCH</v>
      </c>
    </row>
    <row r="813" spans="1:24" x14ac:dyDescent="0.3">
      <c r="A813">
        <v>67</v>
      </c>
      <c r="B813" t="s">
        <v>18</v>
      </c>
      <c r="C813">
        <v>106460.7</v>
      </c>
      <c r="D813" t="s">
        <v>1633</v>
      </c>
      <c r="E813">
        <v>106460.7</v>
      </c>
      <c r="F813">
        <v>0</v>
      </c>
      <c r="G813" t="s">
        <v>1634</v>
      </c>
      <c r="H813">
        <v>1414263.15</v>
      </c>
      <c r="I813">
        <v>1520723.84</v>
      </c>
      <c r="J813">
        <v>1</v>
      </c>
      <c r="K813">
        <v>0</v>
      </c>
      <c r="L813">
        <v>19</v>
      </c>
      <c r="M813">
        <v>0</v>
      </c>
      <c r="N813">
        <v>1</v>
      </c>
      <c r="O813">
        <v>106460.7</v>
      </c>
      <c r="P813">
        <v>4</v>
      </c>
      <c r="Q813">
        <v>4</v>
      </c>
      <c r="R813">
        <v>3.3000000000000003</v>
      </c>
      <c r="S813" t="s">
        <v>2310</v>
      </c>
      <c r="V813">
        <f t="shared" si="36"/>
        <v>0</v>
      </c>
      <c r="W813">
        <f t="shared" si="37"/>
        <v>0</v>
      </c>
      <c r="X813" t="str">
        <f t="shared" si="38"/>
        <v>MATCH</v>
      </c>
    </row>
    <row r="814" spans="1:24" x14ac:dyDescent="0.3">
      <c r="A814">
        <v>68</v>
      </c>
      <c r="B814" t="s">
        <v>15</v>
      </c>
      <c r="C814">
        <v>915266.65</v>
      </c>
      <c r="D814" t="s">
        <v>1635</v>
      </c>
      <c r="E814">
        <v>915266.65</v>
      </c>
      <c r="F814">
        <v>0</v>
      </c>
      <c r="G814" t="s">
        <v>1636</v>
      </c>
      <c r="H814">
        <v>0</v>
      </c>
      <c r="I814">
        <v>0</v>
      </c>
      <c r="J814">
        <v>1</v>
      </c>
      <c r="K814">
        <v>0</v>
      </c>
      <c r="L814">
        <v>20</v>
      </c>
      <c r="M814">
        <v>0</v>
      </c>
      <c r="N814">
        <v>1</v>
      </c>
      <c r="O814">
        <v>915266.65</v>
      </c>
      <c r="P814">
        <v>5</v>
      </c>
      <c r="Q814">
        <v>5</v>
      </c>
      <c r="R814">
        <v>4.0999999999999996</v>
      </c>
      <c r="S814" t="s">
        <v>2310</v>
      </c>
      <c r="V814">
        <f t="shared" si="36"/>
        <v>0</v>
      </c>
      <c r="W814">
        <f t="shared" si="37"/>
        <v>0</v>
      </c>
      <c r="X814" t="str">
        <f t="shared" si="38"/>
        <v>MATCH</v>
      </c>
    </row>
    <row r="815" spans="1:24" x14ac:dyDescent="0.3">
      <c r="A815">
        <v>68</v>
      </c>
      <c r="B815" t="s">
        <v>18</v>
      </c>
      <c r="C815">
        <v>915266.65</v>
      </c>
      <c r="D815" t="s">
        <v>1637</v>
      </c>
      <c r="E815">
        <v>915266.65</v>
      </c>
      <c r="F815">
        <v>0</v>
      </c>
      <c r="G815" t="s">
        <v>1638</v>
      </c>
      <c r="H815">
        <v>2415414.35</v>
      </c>
      <c r="I815">
        <v>3330681</v>
      </c>
      <c r="J815">
        <v>1</v>
      </c>
      <c r="K815">
        <v>0</v>
      </c>
      <c r="L815">
        <v>20</v>
      </c>
      <c r="M815">
        <v>0</v>
      </c>
      <c r="N815">
        <v>1</v>
      </c>
      <c r="O815">
        <v>915266.65</v>
      </c>
      <c r="P815">
        <v>5</v>
      </c>
      <c r="Q815">
        <v>4</v>
      </c>
      <c r="R815">
        <v>3.8000000000000003</v>
      </c>
      <c r="S815" t="s">
        <v>2310</v>
      </c>
      <c r="V815">
        <f t="shared" si="36"/>
        <v>0</v>
      </c>
      <c r="W815">
        <f t="shared" si="37"/>
        <v>0</v>
      </c>
      <c r="X815" t="str">
        <f t="shared" si="38"/>
        <v>MATCH</v>
      </c>
    </row>
    <row r="816" spans="1:24" x14ac:dyDescent="0.3">
      <c r="A816">
        <v>68</v>
      </c>
      <c r="B816" t="s">
        <v>15</v>
      </c>
      <c r="C816">
        <v>5800988.1200000001</v>
      </c>
      <c r="D816" t="s">
        <v>1639</v>
      </c>
      <c r="E816">
        <v>5800988.1200000001</v>
      </c>
      <c r="F816">
        <v>0</v>
      </c>
      <c r="G816" t="s">
        <v>1640</v>
      </c>
      <c r="H816">
        <v>0</v>
      </c>
      <c r="I816">
        <v>0</v>
      </c>
      <c r="J816">
        <v>1</v>
      </c>
      <c r="K816">
        <v>0</v>
      </c>
      <c r="L816">
        <v>20</v>
      </c>
      <c r="M816">
        <v>0</v>
      </c>
      <c r="N816">
        <v>1</v>
      </c>
      <c r="O816">
        <v>5800988.1200000001</v>
      </c>
      <c r="P816">
        <v>5</v>
      </c>
      <c r="Q816">
        <v>5</v>
      </c>
      <c r="R816">
        <v>4.0999999999999996</v>
      </c>
      <c r="S816" t="s">
        <v>2310</v>
      </c>
      <c r="V816">
        <f t="shared" si="36"/>
        <v>0</v>
      </c>
      <c r="W816">
        <f t="shared" si="37"/>
        <v>0</v>
      </c>
      <c r="X816" t="str">
        <f t="shared" si="38"/>
        <v>MATCH</v>
      </c>
    </row>
    <row r="817" spans="1:24" x14ac:dyDescent="0.3">
      <c r="A817">
        <v>68</v>
      </c>
      <c r="B817" t="s">
        <v>18</v>
      </c>
      <c r="C817">
        <v>5800988.1200000001</v>
      </c>
      <c r="D817" t="s">
        <v>1641</v>
      </c>
      <c r="E817">
        <v>5800988.1200000001</v>
      </c>
      <c r="F817">
        <v>0</v>
      </c>
      <c r="G817" t="s">
        <v>1642</v>
      </c>
      <c r="H817">
        <v>0</v>
      </c>
      <c r="I817">
        <v>5800988.1200000001</v>
      </c>
      <c r="J817">
        <v>1</v>
      </c>
      <c r="K817">
        <v>0</v>
      </c>
      <c r="L817">
        <v>20</v>
      </c>
      <c r="M817">
        <v>0</v>
      </c>
      <c r="N817">
        <v>1</v>
      </c>
      <c r="O817">
        <v>5800988.1200000001</v>
      </c>
      <c r="P817">
        <v>5</v>
      </c>
      <c r="Q817">
        <v>4</v>
      </c>
      <c r="R817">
        <v>3.8000000000000003</v>
      </c>
      <c r="S817" t="s">
        <v>2310</v>
      </c>
      <c r="V817">
        <f t="shared" si="36"/>
        <v>0</v>
      </c>
      <c r="W817">
        <f t="shared" si="37"/>
        <v>0</v>
      </c>
      <c r="X817" t="str">
        <f t="shared" si="38"/>
        <v>MATCH</v>
      </c>
    </row>
    <row r="818" spans="1:24" x14ac:dyDescent="0.3">
      <c r="A818">
        <v>68</v>
      </c>
      <c r="B818" t="s">
        <v>15</v>
      </c>
      <c r="C818">
        <v>1858515.57</v>
      </c>
      <c r="D818" t="s">
        <v>1643</v>
      </c>
      <c r="E818">
        <v>1858515.57</v>
      </c>
      <c r="F818">
        <v>0</v>
      </c>
      <c r="G818" t="s">
        <v>1644</v>
      </c>
      <c r="H818">
        <v>0</v>
      </c>
      <c r="I818">
        <v>0</v>
      </c>
      <c r="J818">
        <v>1</v>
      </c>
      <c r="K818">
        <v>0</v>
      </c>
      <c r="L818">
        <v>20</v>
      </c>
      <c r="M818">
        <v>0</v>
      </c>
      <c r="N818">
        <v>1</v>
      </c>
      <c r="O818">
        <v>1858515.57</v>
      </c>
      <c r="P818">
        <v>5</v>
      </c>
      <c r="Q818">
        <v>5</v>
      </c>
      <c r="R818">
        <v>4.0999999999999996</v>
      </c>
      <c r="S818" t="s">
        <v>2310</v>
      </c>
      <c r="V818">
        <f t="shared" si="36"/>
        <v>0</v>
      </c>
      <c r="W818">
        <f t="shared" si="37"/>
        <v>0</v>
      </c>
      <c r="X818" t="str">
        <f t="shared" si="38"/>
        <v>MATCH</v>
      </c>
    </row>
    <row r="819" spans="1:24" x14ac:dyDescent="0.3">
      <c r="A819">
        <v>68</v>
      </c>
      <c r="B819" t="s">
        <v>18</v>
      </c>
      <c r="C819">
        <v>1858515.57</v>
      </c>
      <c r="D819" t="s">
        <v>1645</v>
      </c>
      <c r="E819">
        <v>1858515.57</v>
      </c>
      <c r="F819">
        <v>0</v>
      </c>
      <c r="G819" t="s">
        <v>1646</v>
      </c>
      <c r="H819">
        <v>887595.71</v>
      </c>
      <c r="I819">
        <v>2746111.29</v>
      </c>
      <c r="J819">
        <v>1</v>
      </c>
      <c r="K819">
        <v>0</v>
      </c>
      <c r="L819">
        <v>20</v>
      </c>
      <c r="M819">
        <v>0</v>
      </c>
      <c r="N819">
        <v>1</v>
      </c>
      <c r="O819">
        <v>1858515.57</v>
      </c>
      <c r="P819">
        <v>5</v>
      </c>
      <c r="Q819">
        <v>4</v>
      </c>
      <c r="R819">
        <v>3.8000000000000003</v>
      </c>
      <c r="S819" t="s">
        <v>2310</v>
      </c>
      <c r="V819">
        <f t="shared" si="36"/>
        <v>0</v>
      </c>
      <c r="W819">
        <f t="shared" si="37"/>
        <v>0</v>
      </c>
      <c r="X819" t="str">
        <f t="shared" si="38"/>
        <v>MATCH</v>
      </c>
    </row>
    <row r="820" spans="1:24" x14ac:dyDescent="0.3">
      <c r="A820">
        <v>68</v>
      </c>
      <c r="B820" t="s">
        <v>15</v>
      </c>
      <c r="C820">
        <v>3512572.72</v>
      </c>
      <c r="D820" t="s">
        <v>1647</v>
      </c>
      <c r="E820">
        <v>3512572.72</v>
      </c>
      <c r="F820">
        <v>0</v>
      </c>
      <c r="G820" t="s">
        <v>1648</v>
      </c>
      <c r="H820">
        <v>0</v>
      </c>
      <c r="I820">
        <v>0</v>
      </c>
      <c r="J820">
        <v>1</v>
      </c>
      <c r="K820">
        <v>0</v>
      </c>
      <c r="L820">
        <v>20</v>
      </c>
      <c r="M820">
        <v>0</v>
      </c>
      <c r="N820">
        <v>1</v>
      </c>
      <c r="O820">
        <v>3512572.72</v>
      </c>
      <c r="P820">
        <v>5</v>
      </c>
      <c r="Q820">
        <v>5</v>
      </c>
      <c r="R820">
        <v>4.0999999999999996</v>
      </c>
      <c r="S820" t="s">
        <v>2310</v>
      </c>
      <c r="V820">
        <f t="shared" si="36"/>
        <v>0</v>
      </c>
      <c r="W820">
        <f t="shared" si="37"/>
        <v>0</v>
      </c>
      <c r="X820" t="str">
        <f t="shared" si="38"/>
        <v>MATCH</v>
      </c>
    </row>
    <row r="821" spans="1:24" x14ac:dyDescent="0.3">
      <c r="A821">
        <v>68</v>
      </c>
      <c r="B821" t="s">
        <v>18</v>
      </c>
      <c r="C821">
        <v>3512572.72</v>
      </c>
      <c r="D821" t="s">
        <v>1649</v>
      </c>
      <c r="E821">
        <v>3512572.72</v>
      </c>
      <c r="F821">
        <v>0</v>
      </c>
      <c r="G821" t="s">
        <v>1650</v>
      </c>
      <c r="H821">
        <v>111846.62</v>
      </c>
      <c r="I821">
        <v>3624419.34</v>
      </c>
      <c r="J821">
        <v>1</v>
      </c>
      <c r="K821">
        <v>0</v>
      </c>
      <c r="L821">
        <v>20</v>
      </c>
      <c r="M821">
        <v>0</v>
      </c>
      <c r="N821">
        <v>1</v>
      </c>
      <c r="O821">
        <v>3512572.72</v>
      </c>
      <c r="P821">
        <v>5</v>
      </c>
      <c r="Q821">
        <v>4</v>
      </c>
      <c r="R821">
        <v>3.8000000000000003</v>
      </c>
      <c r="S821" t="s">
        <v>2310</v>
      </c>
      <c r="V821">
        <f t="shared" si="36"/>
        <v>0</v>
      </c>
      <c r="W821">
        <f t="shared" si="37"/>
        <v>0</v>
      </c>
      <c r="X821" t="str">
        <f t="shared" si="38"/>
        <v>MATCH</v>
      </c>
    </row>
    <row r="822" spans="1:24" x14ac:dyDescent="0.3">
      <c r="A822">
        <v>68</v>
      </c>
      <c r="B822" t="s">
        <v>15</v>
      </c>
      <c r="C822">
        <v>374178.28</v>
      </c>
      <c r="D822" t="s">
        <v>1651</v>
      </c>
      <c r="E822">
        <v>374178.28</v>
      </c>
      <c r="F822">
        <v>0</v>
      </c>
      <c r="G822" t="s">
        <v>1652</v>
      </c>
      <c r="H822">
        <v>0</v>
      </c>
      <c r="I822">
        <v>0</v>
      </c>
      <c r="J822">
        <v>1</v>
      </c>
      <c r="K822">
        <v>0</v>
      </c>
      <c r="L822">
        <v>20</v>
      </c>
      <c r="M822">
        <v>0</v>
      </c>
      <c r="N822">
        <v>1</v>
      </c>
      <c r="O822">
        <v>374178.28</v>
      </c>
      <c r="P822">
        <v>5</v>
      </c>
      <c r="Q822">
        <v>5</v>
      </c>
      <c r="R822">
        <v>4.0999999999999996</v>
      </c>
      <c r="S822" t="s">
        <v>2310</v>
      </c>
      <c r="V822">
        <f t="shared" si="36"/>
        <v>0</v>
      </c>
      <c r="W822">
        <f t="shared" si="37"/>
        <v>0</v>
      </c>
      <c r="X822" t="str">
        <f t="shared" si="38"/>
        <v>MATCH</v>
      </c>
    </row>
    <row r="823" spans="1:24" x14ac:dyDescent="0.3">
      <c r="A823">
        <v>68</v>
      </c>
      <c r="B823" t="s">
        <v>18</v>
      </c>
      <c r="C823">
        <v>374178.28</v>
      </c>
      <c r="D823" t="s">
        <v>1653</v>
      </c>
      <c r="E823">
        <v>374178.28</v>
      </c>
      <c r="F823">
        <v>0</v>
      </c>
      <c r="G823" t="s">
        <v>1654</v>
      </c>
      <c r="H823">
        <v>616364.56999999995</v>
      </c>
      <c r="I823">
        <v>990542.85</v>
      </c>
      <c r="J823">
        <v>1</v>
      </c>
      <c r="K823">
        <v>0</v>
      </c>
      <c r="L823">
        <v>20</v>
      </c>
      <c r="M823">
        <v>0</v>
      </c>
      <c r="N823">
        <v>1</v>
      </c>
      <c r="O823">
        <v>374178.28</v>
      </c>
      <c r="P823">
        <v>5</v>
      </c>
      <c r="Q823">
        <v>4</v>
      </c>
      <c r="R823">
        <v>3.8000000000000003</v>
      </c>
      <c r="S823" t="s">
        <v>2310</v>
      </c>
      <c r="V823">
        <f t="shared" si="36"/>
        <v>0</v>
      </c>
      <c r="W823">
        <f t="shared" si="37"/>
        <v>0</v>
      </c>
      <c r="X823" t="str">
        <f t="shared" si="38"/>
        <v>MATCH</v>
      </c>
    </row>
    <row r="824" spans="1:24" x14ac:dyDescent="0.3">
      <c r="A824">
        <v>68</v>
      </c>
      <c r="B824" t="s">
        <v>15</v>
      </c>
      <c r="C824">
        <v>2026529.56</v>
      </c>
      <c r="D824" t="s">
        <v>1655</v>
      </c>
      <c r="E824">
        <v>2026529.56</v>
      </c>
      <c r="F824">
        <v>0</v>
      </c>
      <c r="G824" t="s">
        <v>1656</v>
      </c>
      <c r="H824">
        <v>0</v>
      </c>
      <c r="I824">
        <v>0</v>
      </c>
      <c r="J824">
        <v>1</v>
      </c>
      <c r="K824">
        <v>0</v>
      </c>
      <c r="L824">
        <v>20</v>
      </c>
      <c r="M824">
        <v>0</v>
      </c>
      <c r="N824">
        <v>1</v>
      </c>
      <c r="O824">
        <v>2026529.56</v>
      </c>
      <c r="P824">
        <v>5</v>
      </c>
      <c r="Q824">
        <v>5</v>
      </c>
      <c r="R824">
        <v>4.0999999999999996</v>
      </c>
      <c r="S824" t="s">
        <v>2310</v>
      </c>
      <c r="V824">
        <f t="shared" si="36"/>
        <v>0</v>
      </c>
      <c r="W824">
        <f t="shared" si="37"/>
        <v>0</v>
      </c>
      <c r="X824" t="str">
        <f t="shared" si="38"/>
        <v>MATCH</v>
      </c>
    </row>
    <row r="825" spans="1:24" x14ac:dyDescent="0.3">
      <c r="A825">
        <v>68</v>
      </c>
      <c r="B825" t="s">
        <v>18</v>
      </c>
      <c r="C825">
        <v>2026529.56</v>
      </c>
      <c r="D825" t="s">
        <v>1657</v>
      </c>
      <c r="E825">
        <v>2026529.56</v>
      </c>
      <c r="F825">
        <v>0</v>
      </c>
      <c r="G825" t="s">
        <v>1658</v>
      </c>
      <c r="H825">
        <v>511526.05</v>
      </c>
      <c r="I825">
        <v>2538055.62</v>
      </c>
      <c r="J825">
        <v>1</v>
      </c>
      <c r="K825">
        <v>0</v>
      </c>
      <c r="L825">
        <v>20</v>
      </c>
      <c r="M825">
        <v>0</v>
      </c>
      <c r="N825">
        <v>1</v>
      </c>
      <c r="O825">
        <v>2026529.56</v>
      </c>
      <c r="P825">
        <v>5</v>
      </c>
      <c r="Q825">
        <v>4</v>
      </c>
      <c r="R825">
        <v>3.8000000000000003</v>
      </c>
      <c r="S825" t="s">
        <v>2310</v>
      </c>
      <c r="V825">
        <f t="shared" si="36"/>
        <v>0</v>
      </c>
      <c r="W825">
        <f t="shared" si="37"/>
        <v>0</v>
      </c>
      <c r="X825" t="str">
        <f t="shared" si="38"/>
        <v>MATCH</v>
      </c>
    </row>
    <row r="826" spans="1:24" x14ac:dyDescent="0.3">
      <c r="A826">
        <v>68</v>
      </c>
      <c r="B826" t="s">
        <v>15</v>
      </c>
      <c r="C826">
        <v>13890.42</v>
      </c>
      <c r="D826" t="s">
        <v>1659</v>
      </c>
      <c r="E826">
        <v>13890.42</v>
      </c>
      <c r="F826">
        <v>0</v>
      </c>
      <c r="G826" t="s">
        <v>1660</v>
      </c>
      <c r="H826">
        <v>0</v>
      </c>
      <c r="I826">
        <v>0</v>
      </c>
      <c r="J826">
        <v>1</v>
      </c>
      <c r="K826">
        <v>0</v>
      </c>
      <c r="L826">
        <v>20</v>
      </c>
      <c r="M826">
        <v>0</v>
      </c>
      <c r="N826">
        <v>1</v>
      </c>
      <c r="O826">
        <v>13890.42</v>
      </c>
      <c r="P826">
        <v>2</v>
      </c>
      <c r="Q826">
        <v>5</v>
      </c>
      <c r="R826">
        <v>2.6</v>
      </c>
      <c r="S826" t="s">
        <v>2312</v>
      </c>
      <c r="V826">
        <f t="shared" si="36"/>
        <v>0</v>
      </c>
      <c r="W826">
        <f t="shared" si="37"/>
        <v>0</v>
      </c>
      <c r="X826" t="str">
        <f t="shared" si="38"/>
        <v>MATCH</v>
      </c>
    </row>
    <row r="827" spans="1:24" x14ac:dyDescent="0.3">
      <c r="A827">
        <v>68</v>
      </c>
      <c r="B827" t="s">
        <v>18</v>
      </c>
      <c r="C827">
        <v>13890.42</v>
      </c>
      <c r="D827" t="s">
        <v>1661</v>
      </c>
      <c r="E827">
        <v>13890.42</v>
      </c>
      <c r="F827">
        <v>0</v>
      </c>
      <c r="G827" t="s">
        <v>1662</v>
      </c>
      <c r="H827">
        <v>0</v>
      </c>
      <c r="I827">
        <v>13890.42</v>
      </c>
      <c r="J827">
        <v>1</v>
      </c>
      <c r="K827">
        <v>0</v>
      </c>
      <c r="L827">
        <v>20</v>
      </c>
      <c r="M827">
        <v>0</v>
      </c>
      <c r="N827">
        <v>1</v>
      </c>
      <c r="O827">
        <v>13890.42</v>
      </c>
      <c r="P827">
        <v>2</v>
      </c>
      <c r="Q827">
        <v>4</v>
      </c>
      <c r="R827">
        <v>2.3000000000000003</v>
      </c>
      <c r="S827" t="s">
        <v>2312</v>
      </c>
      <c r="V827">
        <f t="shared" si="36"/>
        <v>0</v>
      </c>
      <c r="W827">
        <f t="shared" si="37"/>
        <v>0</v>
      </c>
      <c r="X827" t="str">
        <f t="shared" si="38"/>
        <v>MATCH</v>
      </c>
    </row>
    <row r="828" spans="1:24" x14ac:dyDescent="0.3">
      <c r="A828">
        <v>68</v>
      </c>
      <c r="B828" t="s">
        <v>15</v>
      </c>
      <c r="C828">
        <v>281743.12</v>
      </c>
      <c r="D828" t="s">
        <v>1663</v>
      </c>
      <c r="E828">
        <v>281743.12</v>
      </c>
      <c r="F828">
        <v>0</v>
      </c>
      <c r="G828" t="s">
        <v>1664</v>
      </c>
      <c r="H828">
        <v>0</v>
      </c>
      <c r="I828">
        <v>0</v>
      </c>
      <c r="J828">
        <v>1</v>
      </c>
      <c r="K828">
        <v>0</v>
      </c>
      <c r="L828">
        <v>20</v>
      </c>
      <c r="M828">
        <v>0</v>
      </c>
      <c r="N828">
        <v>1</v>
      </c>
      <c r="O828">
        <v>281743.12</v>
      </c>
      <c r="P828">
        <v>5</v>
      </c>
      <c r="Q828">
        <v>5</v>
      </c>
      <c r="R828">
        <v>4.0999999999999996</v>
      </c>
      <c r="S828" t="s">
        <v>2310</v>
      </c>
      <c r="V828">
        <f t="shared" si="36"/>
        <v>0</v>
      </c>
      <c r="W828">
        <f t="shared" si="37"/>
        <v>0</v>
      </c>
      <c r="X828" t="str">
        <f t="shared" si="38"/>
        <v>MATCH</v>
      </c>
    </row>
    <row r="829" spans="1:24" x14ac:dyDescent="0.3">
      <c r="A829">
        <v>68</v>
      </c>
      <c r="B829" t="s">
        <v>18</v>
      </c>
      <c r="C829">
        <v>281743.12</v>
      </c>
      <c r="D829" t="s">
        <v>1665</v>
      </c>
      <c r="E829">
        <v>281743.12</v>
      </c>
      <c r="F829">
        <v>0</v>
      </c>
      <c r="G829" t="s">
        <v>1666</v>
      </c>
      <c r="H829">
        <v>158099.98000000001</v>
      </c>
      <c r="I829">
        <v>439843.09</v>
      </c>
      <c r="J829">
        <v>1</v>
      </c>
      <c r="K829">
        <v>0</v>
      </c>
      <c r="L829">
        <v>20</v>
      </c>
      <c r="M829">
        <v>0</v>
      </c>
      <c r="N829">
        <v>1</v>
      </c>
      <c r="O829">
        <v>281743.12</v>
      </c>
      <c r="P829">
        <v>5</v>
      </c>
      <c r="Q829">
        <v>4</v>
      </c>
      <c r="R829">
        <v>3.8000000000000003</v>
      </c>
      <c r="S829" t="s">
        <v>2310</v>
      </c>
      <c r="V829">
        <f t="shared" si="36"/>
        <v>0</v>
      </c>
      <c r="W829">
        <f t="shared" si="37"/>
        <v>0</v>
      </c>
      <c r="X829" t="str">
        <f t="shared" si="38"/>
        <v>MATCH</v>
      </c>
    </row>
    <row r="830" spans="1:24" x14ac:dyDescent="0.3">
      <c r="A830">
        <v>68</v>
      </c>
      <c r="B830" t="s">
        <v>15</v>
      </c>
      <c r="C830">
        <v>157494.6</v>
      </c>
      <c r="D830" t="s">
        <v>1667</v>
      </c>
      <c r="E830">
        <v>157494.6</v>
      </c>
      <c r="F830">
        <v>0</v>
      </c>
      <c r="G830" t="s">
        <v>1668</v>
      </c>
      <c r="H830">
        <v>0</v>
      </c>
      <c r="I830">
        <v>0</v>
      </c>
      <c r="J830">
        <v>1</v>
      </c>
      <c r="K830">
        <v>0</v>
      </c>
      <c r="L830">
        <v>20</v>
      </c>
      <c r="M830">
        <v>0</v>
      </c>
      <c r="N830">
        <v>1</v>
      </c>
      <c r="O830">
        <v>157494.6</v>
      </c>
      <c r="P830">
        <v>4</v>
      </c>
      <c r="Q830">
        <v>5</v>
      </c>
      <c r="R830">
        <v>3.6</v>
      </c>
      <c r="S830" t="s">
        <v>2310</v>
      </c>
      <c r="V830">
        <f t="shared" si="36"/>
        <v>0</v>
      </c>
      <c r="W830">
        <f t="shared" si="37"/>
        <v>0</v>
      </c>
      <c r="X830" t="str">
        <f t="shared" si="38"/>
        <v>MATCH</v>
      </c>
    </row>
    <row r="831" spans="1:24" x14ac:dyDescent="0.3">
      <c r="A831">
        <v>68</v>
      </c>
      <c r="B831" t="s">
        <v>18</v>
      </c>
      <c r="C831">
        <v>157494.6</v>
      </c>
      <c r="D831" t="s">
        <v>1669</v>
      </c>
      <c r="E831">
        <v>157494.6</v>
      </c>
      <c r="F831">
        <v>0</v>
      </c>
      <c r="G831" t="s">
        <v>1670</v>
      </c>
      <c r="H831">
        <v>509029.31</v>
      </c>
      <c r="I831">
        <v>666523.92000000004</v>
      </c>
      <c r="J831">
        <v>1</v>
      </c>
      <c r="K831">
        <v>0</v>
      </c>
      <c r="L831">
        <v>20</v>
      </c>
      <c r="M831">
        <v>0</v>
      </c>
      <c r="N831">
        <v>1</v>
      </c>
      <c r="O831">
        <v>157494.6</v>
      </c>
      <c r="P831">
        <v>4</v>
      </c>
      <c r="Q831">
        <v>4</v>
      </c>
      <c r="R831">
        <v>3.3000000000000003</v>
      </c>
      <c r="S831" t="s">
        <v>2310</v>
      </c>
      <c r="V831">
        <f t="shared" si="36"/>
        <v>0</v>
      </c>
      <c r="W831">
        <f t="shared" si="37"/>
        <v>0</v>
      </c>
      <c r="X831" t="str">
        <f t="shared" si="38"/>
        <v>MATCH</v>
      </c>
    </row>
    <row r="832" spans="1:24" x14ac:dyDescent="0.3">
      <c r="A832">
        <v>69</v>
      </c>
      <c r="B832" t="s">
        <v>15</v>
      </c>
      <c r="C832">
        <v>19776.71</v>
      </c>
      <c r="D832" t="s">
        <v>1671</v>
      </c>
      <c r="E832">
        <v>19776.71</v>
      </c>
      <c r="F832">
        <v>0</v>
      </c>
      <c r="G832" t="s">
        <v>1672</v>
      </c>
      <c r="H832">
        <v>0</v>
      </c>
      <c r="I832">
        <v>0</v>
      </c>
      <c r="J832">
        <v>1</v>
      </c>
      <c r="K832">
        <v>0</v>
      </c>
      <c r="L832">
        <v>21</v>
      </c>
      <c r="M832">
        <v>0</v>
      </c>
      <c r="N832">
        <v>1</v>
      </c>
      <c r="O832">
        <v>19776.71</v>
      </c>
      <c r="P832">
        <v>2</v>
      </c>
      <c r="Q832">
        <v>5</v>
      </c>
      <c r="R832">
        <v>2.6</v>
      </c>
      <c r="S832" t="s">
        <v>2312</v>
      </c>
      <c r="V832">
        <f t="shared" si="36"/>
        <v>0</v>
      </c>
      <c r="W832">
        <f t="shared" si="37"/>
        <v>0</v>
      </c>
      <c r="X832" t="str">
        <f t="shared" si="38"/>
        <v>MATCH</v>
      </c>
    </row>
    <row r="833" spans="1:24" x14ac:dyDescent="0.3">
      <c r="A833">
        <v>69</v>
      </c>
      <c r="B833" t="s">
        <v>18</v>
      </c>
      <c r="C833">
        <v>19776.71</v>
      </c>
      <c r="D833" t="s">
        <v>1673</v>
      </c>
      <c r="E833">
        <v>19776.71</v>
      </c>
      <c r="F833">
        <v>0</v>
      </c>
      <c r="G833" t="s">
        <v>1674</v>
      </c>
      <c r="H833">
        <v>1138941.53</v>
      </c>
      <c r="I833">
        <v>1158718.24</v>
      </c>
      <c r="J833">
        <v>1</v>
      </c>
      <c r="K833">
        <v>0</v>
      </c>
      <c r="L833">
        <v>21</v>
      </c>
      <c r="M833">
        <v>0</v>
      </c>
      <c r="N833">
        <v>1</v>
      </c>
      <c r="O833">
        <v>19776.71</v>
      </c>
      <c r="P833">
        <v>2</v>
      </c>
      <c r="Q833">
        <v>4</v>
      </c>
      <c r="R833">
        <v>2.3000000000000003</v>
      </c>
      <c r="S833" t="s">
        <v>2312</v>
      </c>
      <c r="V833">
        <f t="shared" si="36"/>
        <v>0</v>
      </c>
      <c r="W833">
        <f t="shared" si="37"/>
        <v>0</v>
      </c>
      <c r="X833" t="str">
        <f t="shared" si="38"/>
        <v>MATCH</v>
      </c>
    </row>
    <row r="834" spans="1:24" x14ac:dyDescent="0.3">
      <c r="A834">
        <v>69</v>
      </c>
      <c r="B834" t="s">
        <v>15</v>
      </c>
      <c r="C834">
        <v>271731.05</v>
      </c>
      <c r="D834" t="s">
        <v>1675</v>
      </c>
      <c r="E834">
        <v>271731.05</v>
      </c>
      <c r="F834">
        <v>0</v>
      </c>
      <c r="G834" t="s">
        <v>1676</v>
      </c>
      <c r="H834">
        <v>0</v>
      </c>
      <c r="I834">
        <v>0</v>
      </c>
      <c r="J834">
        <v>1</v>
      </c>
      <c r="K834">
        <v>0</v>
      </c>
      <c r="L834">
        <v>21</v>
      </c>
      <c r="M834">
        <v>0</v>
      </c>
      <c r="N834">
        <v>1</v>
      </c>
      <c r="O834">
        <v>271731.05</v>
      </c>
      <c r="P834">
        <v>5</v>
      </c>
      <c r="Q834">
        <v>5</v>
      </c>
      <c r="R834">
        <v>4.0999999999999996</v>
      </c>
      <c r="S834" t="s">
        <v>2310</v>
      </c>
      <c r="V834">
        <f t="shared" si="36"/>
        <v>0</v>
      </c>
      <c r="W834">
        <f t="shared" si="37"/>
        <v>0</v>
      </c>
      <c r="X834" t="str">
        <f t="shared" si="38"/>
        <v>MATCH</v>
      </c>
    </row>
    <row r="835" spans="1:24" x14ac:dyDescent="0.3">
      <c r="A835">
        <v>69</v>
      </c>
      <c r="B835" t="s">
        <v>18</v>
      </c>
      <c r="C835">
        <v>271731.05</v>
      </c>
      <c r="D835" t="s">
        <v>1677</v>
      </c>
      <c r="E835">
        <v>271731.05</v>
      </c>
      <c r="F835">
        <v>0</v>
      </c>
      <c r="G835" t="s">
        <v>1678</v>
      </c>
      <c r="H835">
        <v>0</v>
      </c>
      <c r="I835">
        <v>271731.05</v>
      </c>
      <c r="J835">
        <v>1</v>
      </c>
      <c r="K835">
        <v>0</v>
      </c>
      <c r="L835">
        <v>21</v>
      </c>
      <c r="M835">
        <v>0</v>
      </c>
      <c r="N835">
        <v>1</v>
      </c>
      <c r="O835">
        <v>271731.05</v>
      </c>
      <c r="P835">
        <v>5</v>
      </c>
      <c r="Q835">
        <v>4</v>
      </c>
      <c r="R835">
        <v>3.8000000000000003</v>
      </c>
      <c r="S835" t="s">
        <v>2310</v>
      </c>
      <c r="V835">
        <f t="shared" ref="V835:V898" si="39">E835-C835</f>
        <v>0</v>
      </c>
      <c r="W835">
        <f t="shared" ref="W835:W898" si="40">ABS(F835-V835)</f>
        <v>0</v>
      </c>
      <c r="X835" t="str">
        <f t="shared" ref="X835:X898" si="41">IF(W835&lt;1,"MATCH","BREAK")</f>
        <v>MATCH</v>
      </c>
    </row>
    <row r="836" spans="1:24" x14ac:dyDescent="0.3">
      <c r="A836">
        <v>69</v>
      </c>
      <c r="B836" t="s">
        <v>15</v>
      </c>
      <c r="C836">
        <v>7728992.5599999996</v>
      </c>
      <c r="D836" t="s">
        <v>1679</v>
      </c>
      <c r="E836">
        <v>7728992.5599999996</v>
      </c>
      <c r="F836">
        <v>0</v>
      </c>
      <c r="G836" t="s">
        <v>1680</v>
      </c>
      <c r="H836">
        <v>0</v>
      </c>
      <c r="I836">
        <v>0</v>
      </c>
      <c r="J836">
        <v>1</v>
      </c>
      <c r="K836">
        <v>0</v>
      </c>
      <c r="L836">
        <v>21</v>
      </c>
      <c r="M836">
        <v>0</v>
      </c>
      <c r="N836">
        <v>1</v>
      </c>
      <c r="O836">
        <v>7728992.5599999996</v>
      </c>
      <c r="P836">
        <v>5</v>
      </c>
      <c r="Q836">
        <v>5</v>
      </c>
      <c r="R836">
        <v>4.0999999999999996</v>
      </c>
      <c r="S836" t="s">
        <v>2310</v>
      </c>
      <c r="V836">
        <f t="shared" si="39"/>
        <v>0</v>
      </c>
      <c r="W836">
        <f t="shared" si="40"/>
        <v>0</v>
      </c>
      <c r="X836" t="str">
        <f t="shared" si="41"/>
        <v>MATCH</v>
      </c>
    </row>
    <row r="837" spans="1:24" x14ac:dyDescent="0.3">
      <c r="A837">
        <v>69</v>
      </c>
      <c r="B837" t="s">
        <v>18</v>
      </c>
      <c r="C837">
        <v>7728992.5599999996</v>
      </c>
      <c r="D837" t="s">
        <v>1681</v>
      </c>
      <c r="E837">
        <v>7728992.5599999996</v>
      </c>
      <c r="F837">
        <v>0</v>
      </c>
      <c r="G837" t="s">
        <v>1682</v>
      </c>
      <c r="H837">
        <v>340622.45</v>
      </c>
      <c r="I837">
        <v>8069615</v>
      </c>
      <c r="J837">
        <v>1</v>
      </c>
      <c r="K837">
        <v>0</v>
      </c>
      <c r="L837">
        <v>21</v>
      </c>
      <c r="M837">
        <v>0</v>
      </c>
      <c r="N837">
        <v>1</v>
      </c>
      <c r="O837">
        <v>7728992.5599999996</v>
      </c>
      <c r="P837">
        <v>5</v>
      </c>
      <c r="Q837">
        <v>4</v>
      </c>
      <c r="R837">
        <v>3.8000000000000003</v>
      </c>
      <c r="S837" t="s">
        <v>2310</v>
      </c>
      <c r="V837">
        <f t="shared" si="39"/>
        <v>0</v>
      </c>
      <c r="W837">
        <f t="shared" si="40"/>
        <v>0</v>
      </c>
      <c r="X837" t="str">
        <f t="shared" si="41"/>
        <v>MATCH</v>
      </c>
    </row>
    <row r="838" spans="1:24" x14ac:dyDescent="0.3">
      <c r="A838">
        <v>69</v>
      </c>
      <c r="B838" t="s">
        <v>15</v>
      </c>
      <c r="C838">
        <v>175328.85</v>
      </c>
      <c r="D838" t="s">
        <v>1683</v>
      </c>
      <c r="E838">
        <v>175328.85</v>
      </c>
      <c r="F838">
        <v>0</v>
      </c>
      <c r="G838" t="s">
        <v>1684</v>
      </c>
      <c r="H838">
        <v>0</v>
      </c>
      <c r="I838">
        <v>0</v>
      </c>
      <c r="J838">
        <v>1</v>
      </c>
      <c r="K838">
        <v>0</v>
      </c>
      <c r="L838">
        <v>21</v>
      </c>
      <c r="M838">
        <v>0</v>
      </c>
      <c r="N838">
        <v>1</v>
      </c>
      <c r="O838">
        <v>175328.85</v>
      </c>
      <c r="P838">
        <v>4</v>
      </c>
      <c r="Q838">
        <v>5</v>
      </c>
      <c r="R838">
        <v>3.6</v>
      </c>
      <c r="S838" t="s">
        <v>2310</v>
      </c>
      <c r="V838">
        <f t="shared" si="39"/>
        <v>0</v>
      </c>
      <c r="W838">
        <f t="shared" si="40"/>
        <v>0</v>
      </c>
      <c r="X838" t="str">
        <f t="shared" si="41"/>
        <v>MATCH</v>
      </c>
    </row>
    <row r="839" spans="1:24" x14ac:dyDescent="0.3">
      <c r="A839">
        <v>69</v>
      </c>
      <c r="B839" t="s">
        <v>18</v>
      </c>
      <c r="C839">
        <v>175328.85</v>
      </c>
      <c r="D839" t="s">
        <v>1685</v>
      </c>
      <c r="E839">
        <v>175328.85</v>
      </c>
      <c r="F839">
        <v>0</v>
      </c>
      <c r="G839" t="s">
        <v>1686</v>
      </c>
      <c r="H839">
        <v>110129.95</v>
      </c>
      <c r="I839">
        <v>285458.8</v>
      </c>
      <c r="J839">
        <v>1</v>
      </c>
      <c r="K839">
        <v>0</v>
      </c>
      <c r="L839">
        <v>21</v>
      </c>
      <c r="M839">
        <v>0</v>
      </c>
      <c r="N839">
        <v>1</v>
      </c>
      <c r="O839">
        <v>175328.85</v>
      </c>
      <c r="P839">
        <v>4</v>
      </c>
      <c r="Q839">
        <v>4</v>
      </c>
      <c r="R839">
        <v>3.3000000000000003</v>
      </c>
      <c r="S839" t="s">
        <v>2310</v>
      </c>
      <c r="V839">
        <f t="shared" si="39"/>
        <v>0</v>
      </c>
      <c r="W839">
        <f t="shared" si="40"/>
        <v>0</v>
      </c>
      <c r="X839" t="str">
        <f t="shared" si="41"/>
        <v>MATCH</v>
      </c>
    </row>
    <row r="840" spans="1:24" x14ac:dyDescent="0.3">
      <c r="A840">
        <v>69</v>
      </c>
      <c r="B840" t="s">
        <v>15</v>
      </c>
      <c r="C840">
        <v>353313.55</v>
      </c>
      <c r="D840" t="s">
        <v>1687</v>
      </c>
      <c r="E840">
        <v>353313.55</v>
      </c>
      <c r="F840">
        <v>0</v>
      </c>
      <c r="G840" t="s">
        <v>1688</v>
      </c>
      <c r="H840">
        <v>0</v>
      </c>
      <c r="I840">
        <v>0</v>
      </c>
      <c r="J840">
        <v>1</v>
      </c>
      <c r="K840">
        <v>0</v>
      </c>
      <c r="L840">
        <v>21</v>
      </c>
      <c r="M840">
        <v>0</v>
      </c>
      <c r="N840">
        <v>1</v>
      </c>
      <c r="O840">
        <v>353313.55</v>
      </c>
      <c r="P840">
        <v>5</v>
      </c>
      <c r="Q840">
        <v>5</v>
      </c>
      <c r="R840">
        <v>4.0999999999999996</v>
      </c>
      <c r="S840" t="s">
        <v>2310</v>
      </c>
      <c r="V840">
        <f t="shared" si="39"/>
        <v>0</v>
      </c>
      <c r="W840">
        <f t="shared" si="40"/>
        <v>0</v>
      </c>
      <c r="X840" t="str">
        <f t="shared" si="41"/>
        <v>MATCH</v>
      </c>
    </row>
    <row r="841" spans="1:24" x14ac:dyDescent="0.3">
      <c r="A841">
        <v>69</v>
      </c>
      <c r="B841" t="s">
        <v>18</v>
      </c>
      <c r="C841">
        <v>353313.55</v>
      </c>
      <c r="D841" t="s">
        <v>1689</v>
      </c>
      <c r="E841">
        <v>353313.55</v>
      </c>
      <c r="F841">
        <v>0</v>
      </c>
      <c r="G841" t="s">
        <v>1690</v>
      </c>
      <c r="H841">
        <v>2808260.05</v>
      </c>
      <c r="I841">
        <v>3161573.6</v>
      </c>
      <c r="J841">
        <v>1</v>
      </c>
      <c r="K841">
        <v>0</v>
      </c>
      <c r="L841">
        <v>21</v>
      </c>
      <c r="M841">
        <v>0</v>
      </c>
      <c r="N841">
        <v>1</v>
      </c>
      <c r="O841">
        <v>353313.55</v>
      </c>
      <c r="P841">
        <v>5</v>
      </c>
      <c r="Q841">
        <v>4</v>
      </c>
      <c r="R841">
        <v>3.8000000000000003</v>
      </c>
      <c r="S841" t="s">
        <v>2310</v>
      </c>
      <c r="V841">
        <f t="shared" si="39"/>
        <v>0</v>
      </c>
      <c r="W841">
        <f t="shared" si="40"/>
        <v>0</v>
      </c>
      <c r="X841" t="str">
        <f t="shared" si="41"/>
        <v>MATCH</v>
      </c>
    </row>
    <row r="842" spans="1:24" x14ac:dyDescent="0.3">
      <c r="A842">
        <v>69</v>
      </c>
      <c r="B842" t="s">
        <v>15</v>
      </c>
      <c r="C842">
        <v>582571.87</v>
      </c>
      <c r="D842" t="s">
        <v>1691</v>
      </c>
      <c r="E842">
        <v>582571.87</v>
      </c>
      <c r="F842">
        <v>0</v>
      </c>
      <c r="G842" t="s">
        <v>1692</v>
      </c>
      <c r="H842">
        <v>0</v>
      </c>
      <c r="I842">
        <v>0</v>
      </c>
      <c r="J842">
        <v>1</v>
      </c>
      <c r="K842">
        <v>0</v>
      </c>
      <c r="L842">
        <v>21</v>
      </c>
      <c r="M842">
        <v>0</v>
      </c>
      <c r="N842">
        <v>1</v>
      </c>
      <c r="O842">
        <v>582571.87</v>
      </c>
      <c r="P842">
        <v>5</v>
      </c>
      <c r="Q842">
        <v>5</v>
      </c>
      <c r="R842">
        <v>4.0999999999999996</v>
      </c>
      <c r="S842" t="s">
        <v>2310</v>
      </c>
      <c r="V842">
        <f t="shared" si="39"/>
        <v>0</v>
      </c>
      <c r="W842">
        <f t="shared" si="40"/>
        <v>0</v>
      </c>
      <c r="X842" t="str">
        <f t="shared" si="41"/>
        <v>MATCH</v>
      </c>
    </row>
    <row r="843" spans="1:24" x14ac:dyDescent="0.3">
      <c r="A843">
        <v>69</v>
      </c>
      <c r="B843" t="s">
        <v>18</v>
      </c>
      <c r="C843">
        <v>582571.87</v>
      </c>
      <c r="D843" t="s">
        <v>1693</v>
      </c>
      <c r="E843">
        <v>582571.87</v>
      </c>
      <c r="F843">
        <v>0</v>
      </c>
      <c r="G843" t="s">
        <v>1694</v>
      </c>
      <c r="H843">
        <v>0</v>
      </c>
      <c r="I843">
        <v>582571.87</v>
      </c>
      <c r="J843">
        <v>1</v>
      </c>
      <c r="K843">
        <v>0</v>
      </c>
      <c r="L843">
        <v>21</v>
      </c>
      <c r="M843">
        <v>0</v>
      </c>
      <c r="N843">
        <v>1</v>
      </c>
      <c r="O843">
        <v>582571.87</v>
      </c>
      <c r="P843">
        <v>5</v>
      </c>
      <c r="Q843">
        <v>4</v>
      </c>
      <c r="R843">
        <v>3.8000000000000003</v>
      </c>
      <c r="S843" t="s">
        <v>2310</v>
      </c>
      <c r="V843">
        <f t="shared" si="39"/>
        <v>0</v>
      </c>
      <c r="W843">
        <f t="shared" si="40"/>
        <v>0</v>
      </c>
      <c r="X843" t="str">
        <f t="shared" si="41"/>
        <v>MATCH</v>
      </c>
    </row>
    <row r="844" spans="1:24" x14ac:dyDescent="0.3">
      <c r="A844">
        <v>69</v>
      </c>
      <c r="B844" t="s">
        <v>15</v>
      </c>
      <c r="C844">
        <v>2960254.17</v>
      </c>
      <c r="D844" t="s">
        <v>1695</v>
      </c>
      <c r="E844">
        <v>2960254.17</v>
      </c>
      <c r="F844">
        <v>0</v>
      </c>
      <c r="G844" t="s">
        <v>1696</v>
      </c>
      <c r="H844">
        <v>0</v>
      </c>
      <c r="I844">
        <v>0</v>
      </c>
      <c r="J844">
        <v>1</v>
      </c>
      <c r="K844">
        <v>0</v>
      </c>
      <c r="L844">
        <v>21</v>
      </c>
      <c r="M844">
        <v>0</v>
      </c>
      <c r="N844">
        <v>1</v>
      </c>
      <c r="O844">
        <v>2960254.17</v>
      </c>
      <c r="P844">
        <v>5</v>
      </c>
      <c r="Q844">
        <v>5</v>
      </c>
      <c r="R844">
        <v>4.0999999999999996</v>
      </c>
      <c r="S844" t="s">
        <v>2310</v>
      </c>
      <c r="V844">
        <f t="shared" si="39"/>
        <v>0</v>
      </c>
      <c r="W844">
        <f t="shared" si="40"/>
        <v>0</v>
      </c>
      <c r="X844" t="str">
        <f t="shared" si="41"/>
        <v>MATCH</v>
      </c>
    </row>
    <row r="845" spans="1:24" x14ac:dyDescent="0.3">
      <c r="A845">
        <v>69</v>
      </c>
      <c r="B845" t="s">
        <v>18</v>
      </c>
      <c r="C845">
        <v>2960254.17</v>
      </c>
      <c r="D845" t="s">
        <v>1697</v>
      </c>
      <c r="E845">
        <v>2960254.17</v>
      </c>
      <c r="F845">
        <v>0</v>
      </c>
      <c r="G845" t="s">
        <v>1698</v>
      </c>
      <c r="H845">
        <v>620822.89</v>
      </c>
      <c r="I845">
        <v>3581077.07</v>
      </c>
      <c r="J845">
        <v>1</v>
      </c>
      <c r="K845">
        <v>0</v>
      </c>
      <c r="L845">
        <v>21</v>
      </c>
      <c r="M845">
        <v>0</v>
      </c>
      <c r="N845">
        <v>1</v>
      </c>
      <c r="O845">
        <v>2960254.17</v>
      </c>
      <c r="P845">
        <v>5</v>
      </c>
      <c r="Q845">
        <v>4</v>
      </c>
      <c r="R845">
        <v>3.8000000000000003</v>
      </c>
      <c r="S845" t="s">
        <v>2310</v>
      </c>
      <c r="V845">
        <f t="shared" si="39"/>
        <v>0</v>
      </c>
      <c r="W845">
        <f t="shared" si="40"/>
        <v>0</v>
      </c>
      <c r="X845" t="str">
        <f t="shared" si="41"/>
        <v>MATCH</v>
      </c>
    </row>
    <row r="846" spans="1:24" x14ac:dyDescent="0.3">
      <c r="A846">
        <v>69</v>
      </c>
      <c r="B846" t="s">
        <v>15</v>
      </c>
      <c r="C846">
        <v>5521483.54</v>
      </c>
      <c r="D846" t="s">
        <v>1699</v>
      </c>
      <c r="E846">
        <v>5521483.54</v>
      </c>
      <c r="F846">
        <v>0</v>
      </c>
      <c r="G846" t="s">
        <v>1700</v>
      </c>
      <c r="H846">
        <v>0</v>
      </c>
      <c r="I846">
        <v>0</v>
      </c>
      <c r="J846">
        <v>1</v>
      </c>
      <c r="K846">
        <v>0</v>
      </c>
      <c r="L846">
        <v>21</v>
      </c>
      <c r="M846">
        <v>0</v>
      </c>
      <c r="N846">
        <v>1</v>
      </c>
      <c r="O846">
        <v>5521483.54</v>
      </c>
      <c r="P846">
        <v>5</v>
      </c>
      <c r="Q846">
        <v>5</v>
      </c>
      <c r="R846">
        <v>4.0999999999999996</v>
      </c>
      <c r="S846" t="s">
        <v>2310</v>
      </c>
      <c r="V846">
        <f t="shared" si="39"/>
        <v>0</v>
      </c>
      <c r="W846">
        <f t="shared" si="40"/>
        <v>0</v>
      </c>
      <c r="X846" t="str">
        <f t="shared" si="41"/>
        <v>MATCH</v>
      </c>
    </row>
    <row r="847" spans="1:24" x14ac:dyDescent="0.3">
      <c r="A847">
        <v>69</v>
      </c>
      <c r="B847" t="s">
        <v>18</v>
      </c>
      <c r="C847">
        <v>5521483.54</v>
      </c>
      <c r="D847" t="s">
        <v>1701</v>
      </c>
      <c r="E847">
        <v>5521483.54</v>
      </c>
      <c r="F847">
        <v>0</v>
      </c>
      <c r="G847" t="s">
        <v>1702</v>
      </c>
      <c r="H847">
        <v>5527212.3399999999</v>
      </c>
      <c r="I847">
        <v>11000000</v>
      </c>
      <c r="J847">
        <v>1</v>
      </c>
      <c r="K847">
        <v>0</v>
      </c>
      <c r="L847">
        <v>21</v>
      </c>
      <c r="M847">
        <v>0</v>
      </c>
      <c r="N847">
        <v>1</v>
      </c>
      <c r="O847">
        <v>5521483.54</v>
      </c>
      <c r="P847">
        <v>5</v>
      </c>
      <c r="Q847">
        <v>4</v>
      </c>
      <c r="R847">
        <v>3.8000000000000003</v>
      </c>
      <c r="S847" t="s">
        <v>2310</v>
      </c>
      <c r="V847">
        <f t="shared" si="39"/>
        <v>0</v>
      </c>
      <c r="W847">
        <f t="shared" si="40"/>
        <v>0</v>
      </c>
      <c r="X847" t="str">
        <f t="shared" si="41"/>
        <v>MATCH</v>
      </c>
    </row>
    <row r="848" spans="1:24" x14ac:dyDescent="0.3">
      <c r="A848">
        <v>69</v>
      </c>
      <c r="B848" t="s">
        <v>15</v>
      </c>
      <c r="C848">
        <v>2147778.33</v>
      </c>
      <c r="D848" t="s">
        <v>1703</v>
      </c>
      <c r="E848">
        <v>2147778.33</v>
      </c>
      <c r="F848">
        <v>0</v>
      </c>
      <c r="G848" t="s">
        <v>1704</v>
      </c>
      <c r="H848">
        <v>0</v>
      </c>
      <c r="I848">
        <v>0</v>
      </c>
      <c r="J848">
        <v>1</v>
      </c>
      <c r="K848">
        <v>0</v>
      </c>
      <c r="L848">
        <v>21</v>
      </c>
      <c r="M848">
        <v>0</v>
      </c>
      <c r="N848">
        <v>1</v>
      </c>
      <c r="O848">
        <v>2147778.33</v>
      </c>
      <c r="P848">
        <v>5</v>
      </c>
      <c r="Q848">
        <v>5</v>
      </c>
      <c r="R848">
        <v>4.0999999999999996</v>
      </c>
      <c r="S848" t="s">
        <v>2310</v>
      </c>
      <c r="V848">
        <f t="shared" si="39"/>
        <v>0</v>
      </c>
      <c r="W848">
        <f t="shared" si="40"/>
        <v>0</v>
      </c>
      <c r="X848" t="str">
        <f t="shared" si="41"/>
        <v>MATCH</v>
      </c>
    </row>
    <row r="849" spans="1:24" x14ac:dyDescent="0.3">
      <c r="A849">
        <v>69</v>
      </c>
      <c r="B849" t="s">
        <v>18</v>
      </c>
      <c r="C849">
        <v>2147778.33</v>
      </c>
      <c r="D849" t="s">
        <v>1705</v>
      </c>
      <c r="E849">
        <v>2147778.33</v>
      </c>
      <c r="F849">
        <v>0</v>
      </c>
      <c r="G849" t="s">
        <v>1706</v>
      </c>
      <c r="H849">
        <v>0</v>
      </c>
      <c r="I849">
        <v>2147778.33</v>
      </c>
      <c r="J849">
        <v>1</v>
      </c>
      <c r="K849">
        <v>0</v>
      </c>
      <c r="L849">
        <v>21</v>
      </c>
      <c r="M849">
        <v>0</v>
      </c>
      <c r="N849">
        <v>1</v>
      </c>
      <c r="O849">
        <v>2147778.33</v>
      </c>
      <c r="P849">
        <v>5</v>
      </c>
      <c r="Q849">
        <v>4</v>
      </c>
      <c r="R849">
        <v>3.8000000000000003</v>
      </c>
      <c r="S849" t="s">
        <v>2310</v>
      </c>
      <c r="V849">
        <f t="shared" si="39"/>
        <v>0</v>
      </c>
      <c r="W849">
        <f t="shared" si="40"/>
        <v>0</v>
      </c>
      <c r="X849" t="str">
        <f t="shared" si="41"/>
        <v>MATCH</v>
      </c>
    </row>
    <row r="850" spans="1:24" x14ac:dyDescent="0.3">
      <c r="A850">
        <v>69</v>
      </c>
      <c r="B850" t="s">
        <v>15</v>
      </c>
      <c r="C850">
        <v>967954.01</v>
      </c>
      <c r="D850" t="s">
        <v>1707</v>
      </c>
      <c r="E850">
        <v>967954.01</v>
      </c>
      <c r="F850">
        <v>0</v>
      </c>
      <c r="G850" t="s">
        <v>1708</v>
      </c>
      <c r="H850">
        <v>0</v>
      </c>
      <c r="I850">
        <v>0</v>
      </c>
      <c r="J850">
        <v>1</v>
      </c>
      <c r="K850">
        <v>0</v>
      </c>
      <c r="L850">
        <v>21</v>
      </c>
      <c r="M850">
        <v>0</v>
      </c>
      <c r="N850">
        <v>1</v>
      </c>
      <c r="O850">
        <v>967954.01</v>
      </c>
      <c r="P850">
        <v>5</v>
      </c>
      <c r="Q850">
        <v>5</v>
      </c>
      <c r="R850">
        <v>4.0999999999999996</v>
      </c>
      <c r="S850" t="s">
        <v>2310</v>
      </c>
      <c r="V850">
        <f t="shared" si="39"/>
        <v>0</v>
      </c>
      <c r="W850">
        <f t="shared" si="40"/>
        <v>0</v>
      </c>
      <c r="X850" t="str">
        <f t="shared" si="41"/>
        <v>MATCH</v>
      </c>
    </row>
    <row r="851" spans="1:24" x14ac:dyDescent="0.3">
      <c r="A851">
        <v>69</v>
      </c>
      <c r="B851" t="s">
        <v>18</v>
      </c>
      <c r="C851">
        <v>967954.01</v>
      </c>
      <c r="D851" t="s">
        <v>1709</v>
      </c>
      <c r="E851">
        <v>967954.01</v>
      </c>
      <c r="F851">
        <v>0</v>
      </c>
      <c r="G851" t="s">
        <v>1710</v>
      </c>
      <c r="H851">
        <v>0</v>
      </c>
      <c r="I851">
        <v>967954.01</v>
      </c>
      <c r="J851">
        <v>1</v>
      </c>
      <c r="K851">
        <v>0</v>
      </c>
      <c r="L851">
        <v>21</v>
      </c>
      <c r="M851">
        <v>0</v>
      </c>
      <c r="N851">
        <v>1</v>
      </c>
      <c r="O851">
        <v>967954.01</v>
      </c>
      <c r="P851">
        <v>5</v>
      </c>
      <c r="Q851">
        <v>4</v>
      </c>
      <c r="R851">
        <v>3.8000000000000003</v>
      </c>
      <c r="S851" t="s">
        <v>2310</v>
      </c>
      <c r="V851">
        <f t="shared" si="39"/>
        <v>0</v>
      </c>
      <c r="W851">
        <f t="shared" si="40"/>
        <v>0</v>
      </c>
      <c r="X851" t="str">
        <f t="shared" si="41"/>
        <v>MATCH</v>
      </c>
    </row>
    <row r="852" spans="1:24" x14ac:dyDescent="0.3">
      <c r="A852">
        <v>70</v>
      </c>
      <c r="B852" t="s">
        <v>15</v>
      </c>
      <c r="C852">
        <v>266766.78000000003</v>
      </c>
      <c r="D852" t="s">
        <v>1711</v>
      </c>
      <c r="E852">
        <v>266766.78000000003</v>
      </c>
      <c r="F852">
        <v>0</v>
      </c>
      <c r="G852" t="s">
        <v>1712</v>
      </c>
      <c r="H852">
        <v>0</v>
      </c>
      <c r="I852">
        <v>0</v>
      </c>
      <c r="J852">
        <v>1</v>
      </c>
      <c r="K852">
        <v>0</v>
      </c>
      <c r="L852">
        <v>22</v>
      </c>
      <c r="M852">
        <v>0</v>
      </c>
      <c r="N852">
        <v>1</v>
      </c>
      <c r="O852">
        <v>266766.78000000003</v>
      </c>
      <c r="P852">
        <v>5</v>
      </c>
      <c r="Q852">
        <v>5</v>
      </c>
      <c r="R852">
        <v>4.0999999999999996</v>
      </c>
      <c r="S852" t="s">
        <v>2310</v>
      </c>
      <c r="V852">
        <f t="shared" si="39"/>
        <v>0</v>
      </c>
      <c r="W852">
        <f t="shared" si="40"/>
        <v>0</v>
      </c>
      <c r="X852" t="str">
        <f t="shared" si="41"/>
        <v>MATCH</v>
      </c>
    </row>
    <row r="853" spans="1:24" x14ac:dyDescent="0.3">
      <c r="A853">
        <v>70</v>
      </c>
      <c r="B853" t="s">
        <v>18</v>
      </c>
      <c r="C853">
        <v>266766.78000000003</v>
      </c>
      <c r="D853" t="s">
        <v>1713</v>
      </c>
      <c r="E853">
        <v>266766.78000000003</v>
      </c>
      <c r="F853">
        <v>0</v>
      </c>
      <c r="G853" t="s">
        <v>1714</v>
      </c>
      <c r="H853">
        <v>0</v>
      </c>
      <c r="I853">
        <v>266766.78000000003</v>
      </c>
      <c r="J853">
        <v>1</v>
      </c>
      <c r="K853">
        <v>0</v>
      </c>
      <c r="L853">
        <v>22</v>
      </c>
      <c r="M853">
        <v>0</v>
      </c>
      <c r="N853">
        <v>1</v>
      </c>
      <c r="O853">
        <v>266766.78000000003</v>
      </c>
      <c r="P853">
        <v>5</v>
      </c>
      <c r="Q853">
        <v>4</v>
      </c>
      <c r="R853">
        <v>3.8000000000000003</v>
      </c>
      <c r="S853" t="s">
        <v>2310</v>
      </c>
      <c r="V853">
        <f t="shared" si="39"/>
        <v>0</v>
      </c>
      <c r="W853">
        <f t="shared" si="40"/>
        <v>0</v>
      </c>
      <c r="X853" t="str">
        <f t="shared" si="41"/>
        <v>MATCH</v>
      </c>
    </row>
    <row r="854" spans="1:24" x14ac:dyDescent="0.3">
      <c r="A854">
        <v>70</v>
      </c>
      <c r="B854" t="s">
        <v>15</v>
      </c>
      <c r="C854">
        <v>1036789.41</v>
      </c>
      <c r="D854" t="s">
        <v>1715</v>
      </c>
      <c r="E854">
        <v>1036789.41</v>
      </c>
      <c r="F854">
        <v>0</v>
      </c>
      <c r="G854" t="s">
        <v>1716</v>
      </c>
      <c r="H854">
        <v>0</v>
      </c>
      <c r="I854">
        <v>0</v>
      </c>
      <c r="J854">
        <v>1</v>
      </c>
      <c r="K854">
        <v>0</v>
      </c>
      <c r="L854">
        <v>22</v>
      </c>
      <c r="M854">
        <v>0</v>
      </c>
      <c r="N854">
        <v>1</v>
      </c>
      <c r="O854">
        <v>1036789.41</v>
      </c>
      <c r="P854">
        <v>5</v>
      </c>
      <c r="Q854">
        <v>5</v>
      </c>
      <c r="R854">
        <v>4.0999999999999996</v>
      </c>
      <c r="S854" t="s">
        <v>2310</v>
      </c>
      <c r="V854">
        <f t="shared" si="39"/>
        <v>0</v>
      </c>
      <c r="W854">
        <f t="shared" si="40"/>
        <v>0</v>
      </c>
      <c r="X854" t="str">
        <f t="shared" si="41"/>
        <v>MATCH</v>
      </c>
    </row>
    <row r="855" spans="1:24" x14ac:dyDescent="0.3">
      <c r="A855">
        <v>70</v>
      </c>
      <c r="B855" t="s">
        <v>18</v>
      </c>
      <c r="C855">
        <v>1036789.41</v>
      </c>
      <c r="D855" t="s">
        <v>1717</v>
      </c>
      <c r="E855">
        <v>1036789.41</v>
      </c>
      <c r="F855">
        <v>0</v>
      </c>
      <c r="G855" t="s">
        <v>1718</v>
      </c>
      <c r="H855">
        <v>523315.63</v>
      </c>
      <c r="I855">
        <v>1560105.04</v>
      </c>
      <c r="J855">
        <v>1</v>
      </c>
      <c r="K855">
        <v>0</v>
      </c>
      <c r="L855">
        <v>22</v>
      </c>
      <c r="M855">
        <v>0</v>
      </c>
      <c r="N855">
        <v>1</v>
      </c>
      <c r="O855">
        <v>1036789.41</v>
      </c>
      <c r="P855">
        <v>5</v>
      </c>
      <c r="Q855">
        <v>4</v>
      </c>
      <c r="R855">
        <v>3.8000000000000003</v>
      </c>
      <c r="S855" t="s">
        <v>2310</v>
      </c>
      <c r="V855">
        <f t="shared" si="39"/>
        <v>0</v>
      </c>
      <c r="W855">
        <f t="shared" si="40"/>
        <v>0</v>
      </c>
      <c r="X855" t="str">
        <f t="shared" si="41"/>
        <v>MATCH</v>
      </c>
    </row>
    <row r="856" spans="1:24" x14ac:dyDescent="0.3">
      <c r="A856">
        <v>70</v>
      </c>
      <c r="B856" t="s">
        <v>15</v>
      </c>
      <c r="C856">
        <v>167067.78</v>
      </c>
      <c r="D856" t="s">
        <v>1719</v>
      </c>
      <c r="E856">
        <v>167067.78</v>
      </c>
      <c r="F856">
        <v>0</v>
      </c>
      <c r="G856" t="s">
        <v>1720</v>
      </c>
      <c r="H856">
        <v>0</v>
      </c>
      <c r="I856">
        <v>0</v>
      </c>
      <c r="J856">
        <v>1</v>
      </c>
      <c r="K856">
        <v>0</v>
      </c>
      <c r="L856">
        <v>22</v>
      </c>
      <c r="M856">
        <v>0</v>
      </c>
      <c r="N856">
        <v>1</v>
      </c>
      <c r="O856">
        <v>167067.78</v>
      </c>
      <c r="P856">
        <v>4</v>
      </c>
      <c r="Q856">
        <v>5</v>
      </c>
      <c r="R856">
        <v>3.6</v>
      </c>
      <c r="S856" t="s">
        <v>2310</v>
      </c>
      <c r="V856">
        <f t="shared" si="39"/>
        <v>0</v>
      </c>
      <c r="W856">
        <f t="shared" si="40"/>
        <v>0</v>
      </c>
      <c r="X856" t="str">
        <f t="shared" si="41"/>
        <v>MATCH</v>
      </c>
    </row>
    <row r="857" spans="1:24" x14ac:dyDescent="0.3">
      <c r="A857">
        <v>70</v>
      </c>
      <c r="B857" t="s">
        <v>18</v>
      </c>
      <c r="C857">
        <v>167067.78</v>
      </c>
      <c r="D857" t="s">
        <v>1721</v>
      </c>
      <c r="E857">
        <v>167067.78</v>
      </c>
      <c r="F857">
        <v>0</v>
      </c>
      <c r="G857" t="s">
        <v>1722</v>
      </c>
      <c r="H857">
        <v>169160.19</v>
      </c>
      <c r="I857">
        <v>336227.97</v>
      </c>
      <c r="J857">
        <v>1</v>
      </c>
      <c r="K857">
        <v>0</v>
      </c>
      <c r="L857">
        <v>22</v>
      </c>
      <c r="M857">
        <v>0</v>
      </c>
      <c r="N857">
        <v>1</v>
      </c>
      <c r="O857">
        <v>167067.78</v>
      </c>
      <c r="P857">
        <v>4</v>
      </c>
      <c r="Q857">
        <v>4</v>
      </c>
      <c r="R857">
        <v>3.3000000000000003</v>
      </c>
      <c r="S857" t="s">
        <v>2310</v>
      </c>
      <c r="V857">
        <f t="shared" si="39"/>
        <v>0</v>
      </c>
      <c r="W857">
        <f t="shared" si="40"/>
        <v>0</v>
      </c>
      <c r="X857" t="str">
        <f t="shared" si="41"/>
        <v>MATCH</v>
      </c>
    </row>
    <row r="858" spans="1:24" x14ac:dyDescent="0.3">
      <c r="A858">
        <v>71</v>
      </c>
      <c r="B858" t="s">
        <v>15</v>
      </c>
      <c r="C858">
        <v>322113.90999999997</v>
      </c>
      <c r="D858" t="s">
        <v>1723</v>
      </c>
      <c r="E858">
        <v>322113.90999999997</v>
      </c>
      <c r="F858">
        <v>0</v>
      </c>
      <c r="G858" t="s">
        <v>1724</v>
      </c>
      <c r="H858">
        <v>0</v>
      </c>
      <c r="I858">
        <v>0</v>
      </c>
      <c r="J858">
        <v>1</v>
      </c>
      <c r="K858">
        <v>0</v>
      </c>
      <c r="L858">
        <v>23</v>
      </c>
      <c r="M858">
        <v>0</v>
      </c>
      <c r="N858">
        <v>1</v>
      </c>
      <c r="O858">
        <v>322113.90999999997</v>
      </c>
      <c r="P858">
        <v>5</v>
      </c>
      <c r="Q858">
        <v>5</v>
      </c>
      <c r="R858">
        <v>4.0999999999999996</v>
      </c>
      <c r="S858" t="s">
        <v>2310</v>
      </c>
      <c r="V858">
        <f t="shared" si="39"/>
        <v>0</v>
      </c>
      <c r="W858">
        <f t="shared" si="40"/>
        <v>0</v>
      </c>
      <c r="X858" t="str">
        <f t="shared" si="41"/>
        <v>MATCH</v>
      </c>
    </row>
    <row r="859" spans="1:24" x14ac:dyDescent="0.3">
      <c r="A859">
        <v>71</v>
      </c>
      <c r="B859" t="s">
        <v>18</v>
      </c>
      <c r="C859">
        <v>322113.90999999997</v>
      </c>
      <c r="D859" t="s">
        <v>1725</v>
      </c>
      <c r="E859">
        <v>322113.90999999997</v>
      </c>
      <c r="F859">
        <v>0</v>
      </c>
      <c r="G859" t="s">
        <v>1726</v>
      </c>
      <c r="H859">
        <v>0</v>
      </c>
      <c r="I859">
        <v>322113.90999999997</v>
      </c>
      <c r="J859">
        <v>1</v>
      </c>
      <c r="K859">
        <v>0</v>
      </c>
      <c r="L859">
        <v>23</v>
      </c>
      <c r="M859">
        <v>0</v>
      </c>
      <c r="N859">
        <v>1</v>
      </c>
      <c r="O859">
        <v>322113.90999999997</v>
      </c>
      <c r="P859">
        <v>5</v>
      </c>
      <c r="Q859">
        <v>4</v>
      </c>
      <c r="R859">
        <v>3.8000000000000003</v>
      </c>
      <c r="S859" t="s">
        <v>2310</v>
      </c>
      <c r="V859">
        <f t="shared" si="39"/>
        <v>0</v>
      </c>
      <c r="W859">
        <f t="shared" si="40"/>
        <v>0</v>
      </c>
      <c r="X859" t="str">
        <f t="shared" si="41"/>
        <v>MATCH</v>
      </c>
    </row>
    <row r="860" spans="1:24" x14ac:dyDescent="0.3">
      <c r="A860">
        <v>71</v>
      </c>
      <c r="B860" t="s">
        <v>15</v>
      </c>
      <c r="C860">
        <v>91691.75</v>
      </c>
      <c r="D860" t="s">
        <v>1727</v>
      </c>
      <c r="E860">
        <v>91691.75</v>
      </c>
      <c r="F860">
        <v>0</v>
      </c>
      <c r="G860" t="s">
        <v>1728</v>
      </c>
      <c r="H860">
        <v>0</v>
      </c>
      <c r="I860">
        <v>0</v>
      </c>
      <c r="J860">
        <v>1</v>
      </c>
      <c r="K860">
        <v>0</v>
      </c>
      <c r="L860">
        <v>23</v>
      </c>
      <c r="M860">
        <v>0</v>
      </c>
      <c r="N860">
        <v>1</v>
      </c>
      <c r="O860">
        <v>91691.75</v>
      </c>
      <c r="P860">
        <v>3</v>
      </c>
      <c r="Q860">
        <v>5</v>
      </c>
      <c r="R860">
        <v>3.1</v>
      </c>
      <c r="S860" t="s">
        <v>2310</v>
      </c>
      <c r="V860">
        <f t="shared" si="39"/>
        <v>0</v>
      </c>
      <c r="W860">
        <f t="shared" si="40"/>
        <v>0</v>
      </c>
      <c r="X860" t="str">
        <f t="shared" si="41"/>
        <v>MATCH</v>
      </c>
    </row>
    <row r="861" spans="1:24" x14ac:dyDescent="0.3">
      <c r="A861">
        <v>71</v>
      </c>
      <c r="B861" t="s">
        <v>18</v>
      </c>
      <c r="C861">
        <v>91691.75</v>
      </c>
      <c r="D861" t="s">
        <v>1729</v>
      </c>
      <c r="E861">
        <v>91691.75</v>
      </c>
      <c r="F861">
        <v>0</v>
      </c>
      <c r="G861" t="s">
        <v>1730</v>
      </c>
      <c r="H861">
        <v>329117.96000000002</v>
      </c>
      <c r="I861">
        <v>420809.71</v>
      </c>
      <c r="J861">
        <v>1</v>
      </c>
      <c r="K861">
        <v>0</v>
      </c>
      <c r="L861">
        <v>23</v>
      </c>
      <c r="M861">
        <v>0</v>
      </c>
      <c r="N861">
        <v>1</v>
      </c>
      <c r="O861">
        <v>91691.75</v>
      </c>
      <c r="P861">
        <v>3</v>
      </c>
      <c r="Q861">
        <v>4</v>
      </c>
      <c r="R861">
        <v>2.8000000000000003</v>
      </c>
      <c r="S861" t="s">
        <v>2312</v>
      </c>
      <c r="V861">
        <f t="shared" si="39"/>
        <v>0</v>
      </c>
      <c r="W861">
        <f t="shared" si="40"/>
        <v>0</v>
      </c>
      <c r="X861" t="str">
        <f t="shared" si="41"/>
        <v>MATCH</v>
      </c>
    </row>
    <row r="862" spans="1:24" x14ac:dyDescent="0.3">
      <c r="A862">
        <v>71</v>
      </c>
      <c r="B862" t="s">
        <v>15</v>
      </c>
      <c r="C862">
        <v>1871553.73</v>
      </c>
      <c r="D862" t="s">
        <v>1731</v>
      </c>
      <c r="E862">
        <v>1871553.73</v>
      </c>
      <c r="F862">
        <v>0</v>
      </c>
      <c r="G862" t="s">
        <v>1732</v>
      </c>
      <c r="H862">
        <v>0</v>
      </c>
      <c r="I862">
        <v>0</v>
      </c>
      <c r="J862">
        <v>1</v>
      </c>
      <c r="K862">
        <v>0</v>
      </c>
      <c r="L862">
        <v>23</v>
      </c>
      <c r="M862">
        <v>0</v>
      </c>
      <c r="N862">
        <v>1</v>
      </c>
      <c r="O862">
        <v>1871553.73</v>
      </c>
      <c r="P862">
        <v>5</v>
      </c>
      <c r="Q862">
        <v>5</v>
      </c>
      <c r="R862">
        <v>4.0999999999999996</v>
      </c>
      <c r="S862" t="s">
        <v>2310</v>
      </c>
      <c r="V862">
        <f t="shared" si="39"/>
        <v>0</v>
      </c>
      <c r="W862">
        <f t="shared" si="40"/>
        <v>0</v>
      </c>
      <c r="X862" t="str">
        <f t="shared" si="41"/>
        <v>MATCH</v>
      </c>
    </row>
    <row r="863" spans="1:24" x14ac:dyDescent="0.3">
      <c r="A863">
        <v>71</v>
      </c>
      <c r="B863" t="s">
        <v>18</v>
      </c>
      <c r="C863">
        <v>1871553.73</v>
      </c>
      <c r="D863" t="s">
        <v>1733</v>
      </c>
      <c r="E863">
        <v>1871553.73</v>
      </c>
      <c r="F863">
        <v>0</v>
      </c>
      <c r="G863" t="s">
        <v>1734</v>
      </c>
      <c r="H863">
        <v>0</v>
      </c>
      <c r="I863">
        <v>1871553.73</v>
      </c>
      <c r="J863">
        <v>1</v>
      </c>
      <c r="K863">
        <v>0</v>
      </c>
      <c r="L863">
        <v>23</v>
      </c>
      <c r="M863">
        <v>0</v>
      </c>
      <c r="N863">
        <v>1</v>
      </c>
      <c r="O863">
        <v>1871553.73</v>
      </c>
      <c r="P863">
        <v>5</v>
      </c>
      <c r="Q863">
        <v>4</v>
      </c>
      <c r="R863">
        <v>3.8000000000000003</v>
      </c>
      <c r="S863" t="s">
        <v>2310</v>
      </c>
      <c r="V863">
        <f t="shared" si="39"/>
        <v>0</v>
      </c>
      <c r="W863">
        <f t="shared" si="40"/>
        <v>0</v>
      </c>
      <c r="X863" t="str">
        <f t="shared" si="41"/>
        <v>MATCH</v>
      </c>
    </row>
    <row r="864" spans="1:24" x14ac:dyDescent="0.3">
      <c r="A864">
        <v>71</v>
      </c>
      <c r="B864" t="s">
        <v>15</v>
      </c>
      <c r="C864">
        <v>2949339.09</v>
      </c>
      <c r="D864" t="s">
        <v>1735</v>
      </c>
      <c r="E864">
        <v>2949339.09</v>
      </c>
      <c r="F864">
        <v>0</v>
      </c>
      <c r="G864" t="s">
        <v>1736</v>
      </c>
      <c r="H864">
        <v>0</v>
      </c>
      <c r="I864">
        <v>0</v>
      </c>
      <c r="J864">
        <v>1</v>
      </c>
      <c r="K864">
        <v>0</v>
      </c>
      <c r="L864">
        <v>23</v>
      </c>
      <c r="M864">
        <v>0</v>
      </c>
      <c r="N864">
        <v>1</v>
      </c>
      <c r="O864">
        <v>2949339.09</v>
      </c>
      <c r="P864">
        <v>5</v>
      </c>
      <c r="Q864">
        <v>5</v>
      </c>
      <c r="R864">
        <v>4.0999999999999996</v>
      </c>
      <c r="S864" t="s">
        <v>2310</v>
      </c>
      <c r="V864">
        <f t="shared" si="39"/>
        <v>0</v>
      </c>
      <c r="W864">
        <f t="shared" si="40"/>
        <v>0</v>
      </c>
      <c r="X864" t="str">
        <f t="shared" si="41"/>
        <v>MATCH</v>
      </c>
    </row>
    <row r="865" spans="1:24" x14ac:dyDescent="0.3">
      <c r="A865">
        <v>71</v>
      </c>
      <c r="B865" t="s">
        <v>18</v>
      </c>
      <c r="C865">
        <v>2949339.09</v>
      </c>
      <c r="D865" t="s">
        <v>1737</v>
      </c>
      <c r="E865">
        <v>2949339.09</v>
      </c>
      <c r="F865">
        <v>0</v>
      </c>
      <c r="G865" t="s">
        <v>1738</v>
      </c>
      <c r="H865">
        <v>167663.32</v>
      </c>
      <c r="I865">
        <v>3117002.41</v>
      </c>
      <c r="J865">
        <v>1</v>
      </c>
      <c r="K865">
        <v>0</v>
      </c>
      <c r="L865">
        <v>23</v>
      </c>
      <c r="M865">
        <v>0</v>
      </c>
      <c r="N865">
        <v>1</v>
      </c>
      <c r="O865">
        <v>2949339.09</v>
      </c>
      <c r="P865">
        <v>5</v>
      </c>
      <c r="Q865">
        <v>4</v>
      </c>
      <c r="R865">
        <v>3.8000000000000003</v>
      </c>
      <c r="S865" t="s">
        <v>2310</v>
      </c>
      <c r="V865">
        <f t="shared" si="39"/>
        <v>0</v>
      </c>
      <c r="W865">
        <f t="shared" si="40"/>
        <v>0</v>
      </c>
      <c r="X865" t="str">
        <f t="shared" si="41"/>
        <v>MATCH</v>
      </c>
    </row>
    <row r="866" spans="1:24" x14ac:dyDescent="0.3">
      <c r="A866">
        <v>71</v>
      </c>
      <c r="B866" t="s">
        <v>15</v>
      </c>
      <c r="C866">
        <v>479892.04</v>
      </c>
      <c r="D866" t="s">
        <v>1739</v>
      </c>
      <c r="E866">
        <v>479892.04</v>
      </c>
      <c r="F866">
        <v>0</v>
      </c>
      <c r="G866" t="s">
        <v>1740</v>
      </c>
      <c r="H866">
        <v>0</v>
      </c>
      <c r="I866">
        <v>0</v>
      </c>
      <c r="J866">
        <v>1</v>
      </c>
      <c r="K866">
        <v>0</v>
      </c>
      <c r="L866">
        <v>23</v>
      </c>
      <c r="M866">
        <v>0</v>
      </c>
      <c r="N866">
        <v>1</v>
      </c>
      <c r="O866">
        <v>479892.04</v>
      </c>
      <c r="P866">
        <v>5</v>
      </c>
      <c r="Q866">
        <v>5</v>
      </c>
      <c r="R866">
        <v>4.0999999999999996</v>
      </c>
      <c r="S866" t="s">
        <v>2310</v>
      </c>
      <c r="V866">
        <f t="shared" si="39"/>
        <v>0</v>
      </c>
      <c r="W866">
        <f t="shared" si="40"/>
        <v>0</v>
      </c>
      <c r="X866" t="str">
        <f t="shared" si="41"/>
        <v>MATCH</v>
      </c>
    </row>
    <row r="867" spans="1:24" x14ac:dyDescent="0.3">
      <c r="A867">
        <v>71</v>
      </c>
      <c r="B867" t="s">
        <v>18</v>
      </c>
      <c r="C867">
        <v>479892.04</v>
      </c>
      <c r="D867" t="s">
        <v>1741</v>
      </c>
      <c r="E867">
        <v>479892.04</v>
      </c>
      <c r="F867">
        <v>0</v>
      </c>
      <c r="G867" t="s">
        <v>1742</v>
      </c>
      <c r="H867">
        <v>1600079.29</v>
      </c>
      <c r="I867">
        <v>2079971.33</v>
      </c>
      <c r="J867">
        <v>1</v>
      </c>
      <c r="K867">
        <v>0</v>
      </c>
      <c r="L867">
        <v>23</v>
      </c>
      <c r="M867">
        <v>0</v>
      </c>
      <c r="N867">
        <v>1</v>
      </c>
      <c r="O867">
        <v>479892.04</v>
      </c>
      <c r="P867">
        <v>5</v>
      </c>
      <c r="Q867">
        <v>4</v>
      </c>
      <c r="R867">
        <v>3.8000000000000003</v>
      </c>
      <c r="S867" t="s">
        <v>2310</v>
      </c>
      <c r="V867">
        <f t="shared" si="39"/>
        <v>0</v>
      </c>
      <c r="W867">
        <f t="shared" si="40"/>
        <v>0</v>
      </c>
      <c r="X867" t="str">
        <f t="shared" si="41"/>
        <v>MATCH</v>
      </c>
    </row>
    <row r="868" spans="1:24" x14ac:dyDescent="0.3">
      <c r="A868">
        <v>71</v>
      </c>
      <c r="B868" t="s">
        <v>15</v>
      </c>
      <c r="C868">
        <v>304085.48</v>
      </c>
      <c r="D868" t="s">
        <v>1743</v>
      </c>
      <c r="E868">
        <v>304085.48</v>
      </c>
      <c r="F868">
        <v>0</v>
      </c>
      <c r="G868" t="s">
        <v>1744</v>
      </c>
      <c r="H868">
        <v>0</v>
      </c>
      <c r="I868">
        <v>0</v>
      </c>
      <c r="J868">
        <v>1</v>
      </c>
      <c r="K868">
        <v>0</v>
      </c>
      <c r="L868">
        <v>23</v>
      </c>
      <c r="M868">
        <v>0</v>
      </c>
      <c r="N868">
        <v>1</v>
      </c>
      <c r="O868">
        <v>304085.48</v>
      </c>
      <c r="P868">
        <v>5</v>
      </c>
      <c r="Q868">
        <v>5</v>
      </c>
      <c r="R868">
        <v>4.0999999999999996</v>
      </c>
      <c r="S868" t="s">
        <v>2310</v>
      </c>
      <c r="V868">
        <f t="shared" si="39"/>
        <v>0</v>
      </c>
      <c r="W868">
        <f t="shared" si="40"/>
        <v>0</v>
      </c>
      <c r="X868" t="str">
        <f t="shared" si="41"/>
        <v>MATCH</v>
      </c>
    </row>
    <row r="869" spans="1:24" x14ac:dyDescent="0.3">
      <c r="A869">
        <v>71</v>
      </c>
      <c r="B869" t="s">
        <v>18</v>
      </c>
      <c r="C869">
        <v>304085.48</v>
      </c>
      <c r="D869" t="s">
        <v>1745</v>
      </c>
      <c r="E869">
        <v>304085.48</v>
      </c>
      <c r="F869">
        <v>0</v>
      </c>
      <c r="G869" t="s">
        <v>1746</v>
      </c>
      <c r="H869">
        <v>152325.14000000001</v>
      </c>
      <c r="I869">
        <v>456410.63</v>
      </c>
      <c r="J869">
        <v>1</v>
      </c>
      <c r="K869">
        <v>0</v>
      </c>
      <c r="L869">
        <v>23</v>
      </c>
      <c r="M869">
        <v>0</v>
      </c>
      <c r="N869">
        <v>1</v>
      </c>
      <c r="O869">
        <v>304085.48</v>
      </c>
      <c r="P869">
        <v>5</v>
      </c>
      <c r="Q869">
        <v>4</v>
      </c>
      <c r="R869">
        <v>3.8000000000000003</v>
      </c>
      <c r="S869" t="s">
        <v>2310</v>
      </c>
      <c r="V869">
        <f t="shared" si="39"/>
        <v>0</v>
      </c>
      <c r="W869">
        <f t="shared" si="40"/>
        <v>0</v>
      </c>
      <c r="X869" t="str">
        <f t="shared" si="41"/>
        <v>MATCH</v>
      </c>
    </row>
    <row r="870" spans="1:24" x14ac:dyDescent="0.3">
      <c r="A870">
        <v>71</v>
      </c>
      <c r="B870" t="s">
        <v>15</v>
      </c>
      <c r="C870">
        <v>14385.54</v>
      </c>
      <c r="D870" t="s">
        <v>1747</v>
      </c>
      <c r="E870">
        <v>14385.54</v>
      </c>
      <c r="F870">
        <v>0</v>
      </c>
      <c r="G870" t="s">
        <v>1748</v>
      </c>
      <c r="H870">
        <v>0</v>
      </c>
      <c r="I870">
        <v>0</v>
      </c>
      <c r="J870">
        <v>1</v>
      </c>
      <c r="K870">
        <v>0</v>
      </c>
      <c r="L870">
        <v>23</v>
      </c>
      <c r="M870">
        <v>0</v>
      </c>
      <c r="N870">
        <v>1</v>
      </c>
      <c r="O870">
        <v>14385.54</v>
      </c>
      <c r="P870">
        <v>2</v>
      </c>
      <c r="Q870">
        <v>5</v>
      </c>
      <c r="R870">
        <v>2.6</v>
      </c>
      <c r="S870" t="s">
        <v>2312</v>
      </c>
      <c r="V870">
        <f t="shared" si="39"/>
        <v>0</v>
      </c>
      <c r="W870">
        <f t="shared" si="40"/>
        <v>0</v>
      </c>
      <c r="X870" t="str">
        <f t="shared" si="41"/>
        <v>MATCH</v>
      </c>
    </row>
    <row r="871" spans="1:24" x14ac:dyDescent="0.3">
      <c r="A871">
        <v>71</v>
      </c>
      <c r="B871" t="s">
        <v>18</v>
      </c>
      <c r="C871">
        <v>14385.54</v>
      </c>
      <c r="D871" t="s">
        <v>1749</v>
      </c>
      <c r="E871">
        <v>14385.54</v>
      </c>
      <c r="F871">
        <v>0</v>
      </c>
      <c r="G871" t="s">
        <v>1750</v>
      </c>
      <c r="H871">
        <v>28309.09</v>
      </c>
      <c r="I871">
        <v>42694.63</v>
      </c>
      <c r="J871">
        <v>1</v>
      </c>
      <c r="K871">
        <v>0</v>
      </c>
      <c r="L871">
        <v>23</v>
      </c>
      <c r="M871">
        <v>0</v>
      </c>
      <c r="N871">
        <v>1</v>
      </c>
      <c r="O871">
        <v>14385.54</v>
      </c>
      <c r="P871">
        <v>2</v>
      </c>
      <c r="Q871">
        <v>4</v>
      </c>
      <c r="R871">
        <v>2.3000000000000003</v>
      </c>
      <c r="S871" t="s">
        <v>2312</v>
      </c>
      <c r="V871">
        <f t="shared" si="39"/>
        <v>0</v>
      </c>
      <c r="W871">
        <f t="shared" si="40"/>
        <v>0</v>
      </c>
      <c r="X871" t="str">
        <f t="shared" si="41"/>
        <v>MATCH</v>
      </c>
    </row>
    <row r="872" spans="1:24" x14ac:dyDescent="0.3">
      <c r="A872">
        <v>71</v>
      </c>
      <c r="B872" t="s">
        <v>15</v>
      </c>
      <c r="C872">
        <v>62091.44</v>
      </c>
      <c r="D872" t="s">
        <v>1751</v>
      </c>
      <c r="E872">
        <v>62091.44</v>
      </c>
      <c r="F872">
        <v>0</v>
      </c>
      <c r="G872" t="s">
        <v>1752</v>
      </c>
      <c r="H872">
        <v>0</v>
      </c>
      <c r="I872">
        <v>0</v>
      </c>
      <c r="J872">
        <v>1</v>
      </c>
      <c r="K872">
        <v>0</v>
      </c>
      <c r="L872">
        <v>23</v>
      </c>
      <c r="M872">
        <v>0</v>
      </c>
      <c r="N872">
        <v>1</v>
      </c>
      <c r="O872">
        <v>62091.44</v>
      </c>
      <c r="P872">
        <v>3</v>
      </c>
      <c r="Q872">
        <v>5</v>
      </c>
      <c r="R872">
        <v>3.1</v>
      </c>
      <c r="S872" t="s">
        <v>2310</v>
      </c>
      <c r="V872">
        <f t="shared" si="39"/>
        <v>0</v>
      </c>
      <c r="W872">
        <f t="shared" si="40"/>
        <v>0</v>
      </c>
      <c r="X872" t="str">
        <f t="shared" si="41"/>
        <v>MATCH</v>
      </c>
    </row>
    <row r="873" spans="1:24" x14ac:dyDescent="0.3">
      <c r="A873">
        <v>71</v>
      </c>
      <c r="B873" t="s">
        <v>18</v>
      </c>
      <c r="C873">
        <v>62091.44</v>
      </c>
      <c r="D873" t="s">
        <v>1753</v>
      </c>
      <c r="E873">
        <v>62091.44</v>
      </c>
      <c r="F873">
        <v>0</v>
      </c>
      <c r="G873" t="s">
        <v>1754</v>
      </c>
      <c r="H873">
        <v>6296058.9100000001</v>
      </c>
      <c r="I873">
        <v>6358150.3499999996</v>
      </c>
      <c r="J873">
        <v>1</v>
      </c>
      <c r="K873">
        <v>0</v>
      </c>
      <c r="L873">
        <v>23</v>
      </c>
      <c r="M873">
        <v>0</v>
      </c>
      <c r="N873">
        <v>1</v>
      </c>
      <c r="O873">
        <v>62091.44</v>
      </c>
      <c r="P873">
        <v>3</v>
      </c>
      <c r="Q873">
        <v>4</v>
      </c>
      <c r="R873">
        <v>2.8000000000000003</v>
      </c>
      <c r="S873" t="s">
        <v>2312</v>
      </c>
      <c r="V873">
        <f t="shared" si="39"/>
        <v>0</v>
      </c>
      <c r="W873">
        <f t="shared" si="40"/>
        <v>0</v>
      </c>
      <c r="X873" t="str">
        <f t="shared" si="41"/>
        <v>MATCH</v>
      </c>
    </row>
    <row r="874" spans="1:24" x14ac:dyDescent="0.3">
      <c r="A874">
        <v>71</v>
      </c>
      <c r="B874" t="s">
        <v>15</v>
      </c>
      <c r="C874">
        <v>386996.34</v>
      </c>
      <c r="D874" t="s">
        <v>1755</v>
      </c>
      <c r="E874">
        <v>386996.34</v>
      </c>
      <c r="F874">
        <v>0</v>
      </c>
      <c r="G874" t="s">
        <v>1756</v>
      </c>
      <c r="H874">
        <v>0</v>
      </c>
      <c r="I874">
        <v>0</v>
      </c>
      <c r="J874">
        <v>1</v>
      </c>
      <c r="K874">
        <v>0</v>
      </c>
      <c r="L874">
        <v>23</v>
      </c>
      <c r="M874">
        <v>0</v>
      </c>
      <c r="N874">
        <v>1</v>
      </c>
      <c r="O874">
        <v>386996.34</v>
      </c>
      <c r="P874">
        <v>5</v>
      </c>
      <c r="Q874">
        <v>5</v>
      </c>
      <c r="R874">
        <v>4.0999999999999996</v>
      </c>
      <c r="S874" t="s">
        <v>2310</v>
      </c>
      <c r="V874">
        <f t="shared" si="39"/>
        <v>0</v>
      </c>
      <c r="W874">
        <f t="shared" si="40"/>
        <v>0</v>
      </c>
      <c r="X874" t="str">
        <f t="shared" si="41"/>
        <v>MATCH</v>
      </c>
    </row>
    <row r="875" spans="1:24" x14ac:dyDescent="0.3">
      <c r="A875">
        <v>71</v>
      </c>
      <c r="B875" t="s">
        <v>18</v>
      </c>
      <c r="C875">
        <v>386996.34</v>
      </c>
      <c r="D875" t="s">
        <v>1757</v>
      </c>
      <c r="E875">
        <v>386996.34</v>
      </c>
      <c r="F875">
        <v>0</v>
      </c>
      <c r="G875" t="s">
        <v>1758</v>
      </c>
      <c r="H875">
        <v>512943.11</v>
      </c>
      <c r="I875">
        <v>899939.45</v>
      </c>
      <c r="J875">
        <v>1</v>
      </c>
      <c r="K875">
        <v>0</v>
      </c>
      <c r="L875">
        <v>23</v>
      </c>
      <c r="M875">
        <v>0</v>
      </c>
      <c r="N875">
        <v>1</v>
      </c>
      <c r="O875">
        <v>386996.34</v>
      </c>
      <c r="P875">
        <v>5</v>
      </c>
      <c r="Q875">
        <v>4</v>
      </c>
      <c r="R875">
        <v>3.8000000000000003</v>
      </c>
      <c r="S875" t="s">
        <v>2310</v>
      </c>
      <c r="V875">
        <f t="shared" si="39"/>
        <v>0</v>
      </c>
      <c r="W875">
        <f t="shared" si="40"/>
        <v>0</v>
      </c>
      <c r="X875" t="str">
        <f t="shared" si="41"/>
        <v>MATCH</v>
      </c>
    </row>
    <row r="876" spans="1:24" x14ac:dyDescent="0.3">
      <c r="A876">
        <v>71</v>
      </c>
      <c r="B876" t="s">
        <v>15</v>
      </c>
      <c r="C876">
        <v>345526.4</v>
      </c>
      <c r="D876" t="s">
        <v>1759</v>
      </c>
      <c r="E876">
        <v>345526.4</v>
      </c>
      <c r="F876">
        <v>0</v>
      </c>
      <c r="G876" t="s">
        <v>1760</v>
      </c>
      <c r="H876">
        <v>0</v>
      </c>
      <c r="I876">
        <v>0</v>
      </c>
      <c r="J876">
        <v>1</v>
      </c>
      <c r="K876">
        <v>0</v>
      </c>
      <c r="L876">
        <v>23</v>
      </c>
      <c r="M876">
        <v>0</v>
      </c>
      <c r="N876">
        <v>1</v>
      </c>
      <c r="O876">
        <v>345526.4</v>
      </c>
      <c r="P876">
        <v>5</v>
      </c>
      <c r="Q876">
        <v>5</v>
      </c>
      <c r="R876">
        <v>4.0999999999999996</v>
      </c>
      <c r="S876" t="s">
        <v>2310</v>
      </c>
      <c r="V876">
        <f t="shared" si="39"/>
        <v>0</v>
      </c>
      <c r="W876">
        <f t="shared" si="40"/>
        <v>0</v>
      </c>
      <c r="X876" t="str">
        <f t="shared" si="41"/>
        <v>MATCH</v>
      </c>
    </row>
    <row r="877" spans="1:24" x14ac:dyDescent="0.3">
      <c r="A877">
        <v>71</v>
      </c>
      <c r="B877" t="s">
        <v>18</v>
      </c>
      <c r="C877">
        <v>345526.4</v>
      </c>
      <c r="D877" t="s">
        <v>1761</v>
      </c>
      <c r="E877">
        <v>345526.4</v>
      </c>
      <c r="F877">
        <v>0</v>
      </c>
      <c r="G877" t="s">
        <v>1762</v>
      </c>
      <c r="H877">
        <v>210291.99</v>
      </c>
      <c r="I877">
        <v>555818.38</v>
      </c>
      <c r="J877">
        <v>1</v>
      </c>
      <c r="K877">
        <v>0</v>
      </c>
      <c r="L877">
        <v>23</v>
      </c>
      <c r="M877">
        <v>0</v>
      </c>
      <c r="N877">
        <v>1</v>
      </c>
      <c r="O877">
        <v>345526.4</v>
      </c>
      <c r="P877">
        <v>5</v>
      </c>
      <c r="Q877">
        <v>4</v>
      </c>
      <c r="R877">
        <v>3.8000000000000003</v>
      </c>
      <c r="S877" t="s">
        <v>2310</v>
      </c>
      <c r="V877">
        <f t="shared" si="39"/>
        <v>0</v>
      </c>
      <c r="W877">
        <f t="shared" si="40"/>
        <v>0</v>
      </c>
      <c r="X877" t="str">
        <f t="shared" si="41"/>
        <v>MATCH</v>
      </c>
    </row>
    <row r="878" spans="1:24" x14ac:dyDescent="0.3">
      <c r="A878">
        <v>72</v>
      </c>
      <c r="B878" t="s">
        <v>15</v>
      </c>
      <c r="C878">
        <v>2947783.87</v>
      </c>
      <c r="D878" t="s">
        <v>1763</v>
      </c>
      <c r="E878">
        <v>2947783.87</v>
      </c>
      <c r="F878">
        <v>0</v>
      </c>
      <c r="G878" t="s">
        <v>1764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2947783.87</v>
      </c>
      <c r="P878">
        <v>5</v>
      </c>
      <c r="Q878">
        <v>5</v>
      </c>
      <c r="R878">
        <v>4.0999999999999996</v>
      </c>
      <c r="S878" t="s">
        <v>2310</v>
      </c>
      <c r="V878">
        <f t="shared" si="39"/>
        <v>0</v>
      </c>
      <c r="W878">
        <f t="shared" si="40"/>
        <v>0</v>
      </c>
      <c r="X878" t="str">
        <f t="shared" si="41"/>
        <v>MATCH</v>
      </c>
    </row>
    <row r="879" spans="1:24" x14ac:dyDescent="0.3">
      <c r="A879">
        <v>72</v>
      </c>
      <c r="B879" t="s">
        <v>18</v>
      </c>
      <c r="C879">
        <v>2947783.87</v>
      </c>
      <c r="D879" t="s">
        <v>1765</v>
      </c>
      <c r="E879">
        <v>2947783.87</v>
      </c>
      <c r="F879">
        <v>0</v>
      </c>
      <c r="G879" t="s">
        <v>1766</v>
      </c>
      <c r="H879">
        <v>353246.54</v>
      </c>
      <c r="I879">
        <v>3301030.4</v>
      </c>
      <c r="J879">
        <v>1</v>
      </c>
      <c r="K879">
        <v>0</v>
      </c>
      <c r="L879">
        <v>0</v>
      </c>
      <c r="M879">
        <v>0</v>
      </c>
      <c r="N879">
        <v>1</v>
      </c>
      <c r="O879">
        <v>2947783.87</v>
      </c>
      <c r="P879">
        <v>5</v>
      </c>
      <c r="Q879">
        <v>4</v>
      </c>
      <c r="R879">
        <v>3.8000000000000003</v>
      </c>
      <c r="S879" t="s">
        <v>2310</v>
      </c>
      <c r="V879">
        <f t="shared" si="39"/>
        <v>0</v>
      </c>
      <c r="W879">
        <f t="shared" si="40"/>
        <v>0</v>
      </c>
      <c r="X879" t="str">
        <f t="shared" si="41"/>
        <v>MATCH</v>
      </c>
    </row>
    <row r="880" spans="1:24" x14ac:dyDescent="0.3">
      <c r="A880">
        <v>72</v>
      </c>
      <c r="B880" t="s">
        <v>15</v>
      </c>
      <c r="C880">
        <v>730574.39</v>
      </c>
      <c r="D880" t="s">
        <v>1767</v>
      </c>
      <c r="E880">
        <v>730574.39</v>
      </c>
      <c r="F880">
        <v>0</v>
      </c>
      <c r="G880" t="s">
        <v>1768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1</v>
      </c>
      <c r="O880">
        <v>730574.39</v>
      </c>
      <c r="P880">
        <v>5</v>
      </c>
      <c r="Q880">
        <v>5</v>
      </c>
      <c r="R880">
        <v>4.0999999999999996</v>
      </c>
      <c r="S880" t="s">
        <v>2310</v>
      </c>
      <c r="V880">
        <f t="shared" si="39"/>
        <v>0</v>
      </c>
      <c r="W880">
        <f t="shared" si="40"/>
        <v>0</v>
      </c>
      <c r="X880" t="str">
        <f t="shared" si="41"/>
        <v>MATCH</v>
      </c>
    </row>
    <row r="881" spans="1:24" x14ac:dyDescent="0.3">
      <c r="A881">
        <v>72</v>
      </c>
      <c r="B881" t="s">
        <v>18</v>
      </c>
      <c r="C881">
        <v>730574.39</v>
      </c>
      <c r="D881" t="s">
        <v>1769</v>
      </c>
      <c r="E881">
        <v>730574.39</v>
      </c>
      <c r="F881">
        <v>0</v>
      </c>
      <c r="G881" t="s">
        <v>1770</v>
      </c>
      <c r="H881">
        <v>183897.18</v>
      </c>
      <c r="I881">
        <v>914471.57</v>
      </c>
      <c r="J881">
        <v>1</v>
      </c>
      <c r="K881">
        <v>0</v>
      </c>
      <c r="L881">
        <v>0</v>
      </c>
      <c r="M881">
        <v>0</v>
      </c>
      <c r="N881">
        <v>1</v>
      </c>
      <c r="O881">
        <v>730574.39</v>
      </c>
      <c r="P881">
        <v>5</v>
      </c>
      <c r="Q881">
        <v>4</v>
      </c>
      <c r="R881">
        <v>3.8000000000000003</v>
      </c>
      <c r="S881" t="s">
        <v>2310</v>
      </c>
      <c r="V881">
        <f t="shared" si="39"/>
        <v>0</v>
      </c>
      <c r="W881">
        <f t="shared" si="40"/>
        <v>0</v>
      </c>
      <c r="X881" t="str">
        <f t="shared" si="41"/>
        <v>MATCH</v>
      </c>
    </row>
    <row r="882" spans="1:24" x14ac:dyDescent="0.3">
      <c r="A882">
        <v>72</v>
      </c>
      <c r="B882" t="s">
        <v>15</v>
      </c>
      <c r="C882">
        <v>3786438.03</v>
      </c>
      <c r="D882" t="s">
        <v>1771</v>
      </c>
      <c r="E882">
        <v>3786438.03</v>
      </c>
      <c r="F882">
        <v>0</v>
      </c>
      <c r="G882" t="s">
        <v>1772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1</v>
      </c>
      <c r="O882">
        <v>3786438.03</v>
      </c>
      <c r="P882">
        <v>5</v>
      </c>
      <c r="Q882">
        <v>5</v>
      </c>
      <c r="R882">
        <v>4.0999999999999996</v>
      </c>
      <c r="S882" t="s">
        <v>2310</v>
      </c>
      <c r="V882">
        <f t="shared" si="39"/>
        <v>0</v>
      </c>
      <c r="W882">
        <f t="shared" si="40"/>
        <v>0</v>
      </c>
      <c r="X882" t="str">
        <f t="shared" si="41"/>
        <v>MATCH</v>
      </c>
    </row>
    <row r="883" spans="1:24" x14ac:dyDescent="0.3">
      <c r="A883">
        <v>72</v>
      </c>
      <c r="B883" t="s">
        <v>18</v>
      </c>
      <c r="C883">
        <v>3786438.03</v>
      </c>
      <c r="D883" t="s">
        <v>1773</v>
      </c>
      <c r="E883">
        <v>3786438.03</v>
      </c>
      <c r="F883">
        <v>0</v>
      </c>
      <c r="G883" t="s">
        <v>1774</v>
      </c>
      <c r="H883">
        <v>84013.26</v>
      </c>
      <c r="I883">
        <v>3870451.29</v>
      </c>
      <c r="J883">
        <v>1</v>
      </c>
      <c r="K883">
        <v>0</v>
      </c>
      <c r="L883">
        <v>0</v>
      </c>
      <c r="M883">
        <v>0</v>
      </c>
      <c r="N883">
        <v>1</v>
      </c>
      <c r="O883">
        <v>3786438.03</v>
      </c>
      <c r="P883">
        <v>5</v>
      </c>
      <c r="Q883">
        <v>4</v>
      </c>
      <c r="R883">
        <v>3.8000000000000003</v>
      </c>
      <c r="S883" t="s">
        <v>2310</v>
      </c>
      <c r="V883">
        <f t="shared" si="39"/>
        <v>0</v>
      </c>
      <c r="W883">
        <f t="shared" si="40"/>
        <v>0</v>
      </c>
      <c r="X883" t="str">
        <f t="shared" si="41"/>
        <v>MATCH</v>
      </c>
    </row>
    <row r="884" spans="1:24" x14ac:dyDescent="0.3">
      <c r="A884">
        <v>72</v>
      </c>
      <c r="B884" t="s">
        <v>15</v>
      </c>
      <c r="C884">
        <v>622235.31999999995</v>
      </c>
      <c r="D884" t="s">
        <v>1775</v>
      </c>
      <c r="E884">
        <v>622235.31999999995</v>
      </c>
      <c r="F884">
        <v>0</v>
      </c>
      <c r="G884" t="s">
        <v>1776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1</v>
      </c>
      <c r="O884">
        <v>622235.31999999995</v>
      </c>
      <c r="P884">
        <v>5</v>
      </c>
      <c r="Q884">
        <v>5</v>
      </c>
      <c r="R884">
        <v>4.0999999999999996</v>
      </c>
      <c r="S884" t="s">
        <v>2310</v>
      </c>
      <c r="V884">
        <f t="shared" si="39"/>
        <v>0</v>
      </c>
      <c r="W884">
        <f t="shared" si="40"/>
        <v>0</v>
      </c>
      <c r="X884" t="str">
        <f t="shared" si="41"/>
        <v>MATCH</v>
      </c>
    </row>
    <row r="885" spans="1:24" x14ac:dyDescent="0.3">
      <c r="A885">
        <v>72</v>
      </c>
      <c r="B885" t="s">
        <v>18</v>
      </c>
      <c r="C885">
        <v>622235.31999999995</v>
      </c>
      <c r="D885" t="s">
        <v>1777</v>
      </c>
      <c r="E885">
        <v>622235.31999999995</v>
      </c>
      <c r="F885">
        <v>0</v>
      </c>
      <c r="G885" t="s">
        <v>1778</v>
      </c>
      <c r="H885">
        <v>3377968.96</v>
      </c>
      <c r="I885">
        <v>4000204.28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622235.31999999995</v>
      </c>
      <c r="P885">
        <v>5</v>
      </c>
      <c r="Q885">
        <v>4</v>
      </c>
      <c r="R885">
        <v>3.8000000000000003</v>
      </c>
      <c r="S885" t="s">
        <v>2310</v>
      </c>
      <c r="V885">
        <f t="shared" si="39"/>
        <v>0</v>
      </c>
      <c r="W885">
        <f t="shared" si="40"/>
        <v>0</v>
      </c>
      <c r="X885" t="str">
        <f t="shared" si="41"/>
        <v>MATCH</v>
      </c>
    </row>
    <row r="886" spans="1:24" x14ac:dyDescent="0.3">
      <c r="A886">
        <v>72</v>
      </c>
      <c r="B886" t="s">
        <v>15</v>
      </c>
      <c r="C886">
        <v>3243092.91</v>
      </c>
      <c r="D886" t="s">
        <v>1779</v>
      </c>
      <c r="E886">
        <v>3243092.91</v>
      </c>
      <c r="F886">
        <v>0</v>
      </c>
      <c r="G886" t="s">
        <v>1780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1</v>
      </c>
      <c r="O886">
        <v>3243092.91</v>
      </c>
      <c r="P886">
        <v>5</v>
      </c>
      <c r="Q886">
        <v>5</v>
      </c>
      <c r="R886">
        <v>4.0999999999999996</v>
      </c>
      <c r="S886" t="s">
        <v>2310</v>
      </c>
      <c r="V886">
        <f t="shared" si="39"/>
        <v>0</v>
      </c>
      <c r="W886">
        <f t="shared" si="40"/>
        <v>0</v>
      </c>
      <c r="X886" t="str">
        <f t="shared" si="41"/>
        <v>MATCH</v>
      </c>
    </row>
    <row r="887" spans="1:24" x14ac:dyDescent="0.3">
      <c r="A887">
        <v>72</v>
      </c>
      <c r="B887" t="s">
        <v>18</v>
      </c>
      <c r="C887">
        <v>3243092.91</v>
      </c>
      <c r="D887" t="s">
        <v>1781</v>
      </c>
      <c r="E887">
        <v>3243092.91</v>
      </c>
      <c r="F887">
        <v>0</v>
      </c>
      <c r="G887" t="s">
        <v>1782</v>
      </c>
      <c r="H887">
        <v>1299786.5900000001</v>
      </c>
      <c r="I887">
        <v>4542879.5</v>
      </c>
      <c r="J887">
        <v>1</v>
      </c>
      <c r="K887">
        <v>0</v>
      </c>
      <c r="L887">
        <v>0</v>
      </c>
      <c r="M887">
        <v>0</v>
      </c>
      <c r="N887">
        <v>1</v>
      </c>
      <c r="O887">
        <v>3243092.91</v>
      </c>
      <c r="P887">
        <v>5</v>
      </c>
      <c r="Q887">
        <v>4</v>
      </c>
      <c r="R887">
        <v>3.8000000000000003</v>
      </c>
      <c r="S887" t="s">
        <v>2310</v>
      </c>
      <c r="V887">
        <f t="shared" si="39"/>
        <v>0</v>
      </c>
      <c r="W887">
        <f t="shared" si="40"/>
        <v>0</v>
      </c>
      <c r="X887" t="str">
        <f t="shared" si="41"/>
        <v>MATCH</v>
      </c>
    </row>
    <row r="888" spans="1:24" x14ac:dyDescent="0.3">
      <c r="A888">
        <v>72</v>
      </c>
      <c r="B888" t="s">
        <v>15</v>
      </c>
      <c r="C888">
        <v>10000000</v>
      </c>
      <c r="D888" t="s">
        <v>1783</v>
      </c>
      <c r="E888">
        <v>18600000</v>
      </c>
      <c r="F888">
        <v>8594065.0899999999</v>
      </c>
      <c r="G888" t="s">
        <v>1784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0</v>
      </c>
      <c r="O888">
        <v>10005934.91</v>
      </c>
      <c r="P888">
        <v>5</v>
      </c>
      <c r="Q888">
        <v>5</v>
      </c>
      <c r="R888">
        <v>4.0999999999999996</v>
      </c>
      <c r="S888" t="s">
        <v>2310</v>
      </c>
      <c r="V888">
        <f t="shared" si="39"/>
        <v>8600000</v>
      </c>
      <c r="W888">
        <f t="shared" si="40"/>
        <v>5934.910000000149</v>
      </c>
      <c r="X888" t="str">
        <f t="shared" si="41"/>
        <v>BREAK</v>
      </c>
    </row>
    <row r="889" spans="1:24" x14ac:dyDescent="0.3">
      <c r="A889">
        <v>72</v>
      </c>
      <c r="B889" t="s">
        <v>18</v>
      </c>
      <c r="C889">
        <v>10000000</v>
      </c>
      <c r="D889" t="s">
        <v>1785</v>
      </c>
      <c r="E889">
        <v>10000000</v>
      </c>
      <c r="F889">
        <v>0</v>
      </c>
      <c r="G889" t="s">
        <v>1786</v>
      </c>
      <c r="H889">
        <v>81810.42</v>
      </c>
      <c r="I889">
        <v>10100000</v>
      </c>
      <c r="J889">
        <v>1</v>
      </c>
      <c r="K889">
        <v>0</v>
      </c>
      <c r="L889">
        <v>0</v>
      </c>
      <c r="M889">
        <v>1</v>
      </c>
      <c r="N889">
        <v>1</v>
      </c>
      <c r="O889">
        <v>10000000</v>
      </c>
      <c r="P889">
        <v>5</v>
      </c>
      <c r="Q889">
        <v>4</v>
      </c>
      <c r="R889">
        <v>3.9000000000000004</v>
      </c>
      <c r="S889" t="s">
        <v>2310</v>
      </c>
      <c r="V889">
        <f t="shared" si="39"/>
        <v>0</v>
      </c>
      <c r="W889">
        <f t="shared" si="40"/>
        <v>0</v>
      </c>
      <c r="X889" t="str">
        <f t="shared" si="41"/>
        <v>MATCH</v>
      </c>
    </row>
    <row r="890" spans="1:24" x14ac:dyDescent="0.3">
      <c r="A890">
        <v>72</v>
      </c>
      <c r="B890" t="s">
        <v>15</v>
      </c>
      <c r="C890">
        <v>8594065.0899999999</v>
      </c>
      <c r="D890" t="s">
        <v>1787</v>
      </c>
      <c r="E890">
        <v>8594065.0899999999</v>
      </c>
      <c r="F890">
        <v>0</v>
      </c>
      <c r="G890" t="s">
        <v>1788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1</v>
      </c>
      <c r="O890">
        <v>8594065.0899999999</v>
      </c>
      <c r="P890">
        <v>5</v>
      </c>
      <c r="Q890">
        <v>5</v>
      </c>
      <c r="R890">
        <v>4.0999999999999996</v>
      </c>
      <c r="S890" t="s">
        <v>2310</v>
      </c>
      <c r="V890">
        <f t="shared" si="39"/>
        <v>0</v>
      </c>
      <c r="W890">
        <f t="shared" si="40"/>
        <v>0</v>
      </c>
      <c r="X890" t="str">
        <f t="shared" si="41"/>
        <v>MATCH</v>
      </c>
    </row>
    <row r="891" spans="1:24" x14ac:dyDescent="0.3">
      <c r="A891">
        <v>72</v>
      </c>
      <c r="B891" t="s">
        <v>18</v>
      </c>
      <c r="C891">
        <v>8594065.0899999999</v>
      </c>
      <c r="D891" t="s">
        <v>1789</v>
      </c>
      <c r="E891">
        <v>8594065.0899999999</v>
      </c>
      <c r="F891">
        <v>0</v>
      </c>
      <c r="G891" t="s">
        <v>1790</v>
      </c>
      <c r="H891">
        <v>5844.51</v>
      </c>
      <c r="I891">
        <v>8599909.5999999996</v>
      </c>
      <c r="J891">
        <v>1</v>
      </c>
      <c r="K891">
        <v>0</v>
      </c>
      <c r="L891">
        <v>0</v>
      </c>
      <c r="M891">
        <v>0</v>
      </c>
      <c r="N891">
        <v>1</v>
      </c>
      <c r="O891">
        <v>8594065.0899999999</v>
      </c>
      <c r="P891">
        <v>5</v>
      </c>
      <c r="Q891">
        <v>4</v>
      </c>
      <c r="R891">
        <v>3.8000000000000003</v>
      </c>
      <c r="S891" t="s">
        <v>2310</v>
      </c>
      <c r="V891">
        <f t="shared" si="39"/>
        <v>0</v>
      </c>
      <c r="W891">
        <f t="shared" si="40"/>
        <v>0</v>
      </c>
      <c r="X891" t="str">
        <f t="shared" si="41"/>
        <v>MATCH</v>
      </c>
    </row>
    <row r="892" spans="1:24" x14ac:dyDescent="0.3">
      <c r="A892">
        <v>73</v>
      </c>
      <c r="B892" t="s">
        <v>15</v>
      </c>
      <c r="C892">
        <v>12619.29</v>
      </c>
      <c r="D892" t="s">
        <v>1791</v>
      </c>
      <c r="E892">
        <v>12619.29</v>
      </c>
      <c r="F892">
        <v>0</v>
      </c>
      <c r="G892" t="s">
        <v>1792</v>
      </c>
      <c r="H892">
        <v>0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1</v>
      </c>
      <c r="O892">
        <v>12619.29</v>
      </c>
      <c r="P892">
        <v>2</v>
      </c>
      <c r="Q892">
        <v>5</v>
      </c>
      <c r="R892">
        <v>2.6</v>
      </c>
      <c r="S892" t="s">
        <v>2312</v>
      </c>
      <c r="V892">
        <f t="shared" si="39"/>
        <v>0</v>
      </c>
      <c r="W892">
        <f t="shared" si="40"/>
        <v>0</v>
      </c>
      <c r="X892" t="str">
        <f t="shared" si="41"/>
        <v>MATCH</v>
      </c>
    </row>
    <row r="893" spans="1:24" x14ac:dyDescent="0.3">
      <c r="A893">
        <v>73</v>
      </c>
      <c r="B893" t="s">
        <v>18</v>
      </c>
      <c r="C893">
        <v>12619.29</v>
      </c>
      <c r="D893" t="s">
        <v>1793</v>
      </c>
      <c r="E893">
        <v>12619.29</v>
      </c>
      <c r="F893">
        <v>0</v>
      </c>
      <c r="G893" t="s">
        <v>1794</v>
      </c>
      <c r="H893">
        <v>204470.03</v>
      </c>
      <c r="I893">
        <v>217089.31</v>
      </c>
      <c r="J893">
        <v>1</v>
      </c>
      <c r="K893">
        <v>0</v>
      </c>
      <c r="L893">
        <v>1</v>
      </c>
      <c r="M893">
        <v>0</v>
      </c>
      <c r="N893">
        <v>1</v>
      </c>
      <c r="O893">
        <v>12619.29</v>
      </c>
      <c r="P893">
        <v>2</v>
      </c>
      <c r="Q893">
        <v>4</v>
      </c>
      <c r="R893">
        <v>2.3000000000000003</v>
      </c>
      <c r="S893" t="s">
        <v>2312</v>
      </c>
      <c r="V893">
        <f t="shared" si="39"/>
        <v>0</v>
      </c>
      <c r="W893">
        <f t="shared" si="40"/>
        <v>0</v>
      </c>
      <c r="X893" t="str">
        <f t="shared" si="41"/>
        <v>MATCH</v>
      </c>
    </row>
    <row r="894" spans="1:24" x14ac:dyDescent="0.3">
      <c r="A894">
        <v>73</v>
      </c>
      <c r="B894" t="s">
        <v>15</v>
      </c>
      <c r="C894">
        <v>193663.9</v>
      </c>
      <c r="D894" t="s">
        <v>1795</v>
      </c>
      <c r="E894">
        <v>193663.9</v>
      </c>
      <c r="F894">
        <v>0</v>
      </c>
      <c r="G894" t="s">
        <v>1796</v>
      </c>
      <c r="H894">
        <v>0</v>
      </c>
      <c r="I894">
        <v>0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193663.9</v>
      </c>
      <c r="P894">
        <v>4</v>
      </c>
      <c r="Q894">
        <v>5</v>
      </c>
      <c r="R894">
        <v>3.6</v>
      </c>
      <c r="S894" t="s">
        <v>2310</v>
      </c>
      <c r="V894">
        <f t="shared" si="39"/>
        <v>0</v>
      </c>
      <c r="W894">
        <f t="shared" si="40"/>
        <v>0</v>
      </c>
      <c r="X894" t="str">
        <f t="shared" si="41"/>
        <v>MATCH</v>
      </c>
    </row>
    <row r="895" spans="1:24" x14ac:dyDescent="0.3">
      <c r="A895">
        <v>73</v>
      </c>
      <c r="B895" t="s">
        <v>18</v>
      </c>
      <c r="C895">
        <v>193663.9</v>
      </c>
      <c r="D895" t="s">
        <v>1797</v>
      </c>
      <c r="E895">
        <v>193663.9</v>
      </c>
      <c r="F895">
        <v>0</v>
      </c>
      <c r="G895" t="s">
        <v>1798</v>
      </c>
      <c r="H895">
        <v>0</v>
      </c>
      <c r="I895">
        <v>193663.9</v>
      </c>
      <c r="J895">
        <v>1</v>
      </c>
      <c r="K895">
        <v>0</v>
      </c>
      <c r="L895">
        <v>1</v>
      </c>
      <c r="M895">
        <v>0</v>
      </c>
      <c r="N895">
        <v>1</v>
      </c>
      <c r="O895">
        <v>193663.9</v>
      </c>
      <c r="P895">
        <v>4</v>
      </c>
      <c r="Q895">
        <v>4</v>
      </c>
      <c r="R895">
        <v>3.3000000000000003</v>
      </c>
      <c r="S895" t="s">
        <v>2310</v>
      </c>
      <c r="V895">
        <f t="shared" si="39"/>
        <v>0</v>
      </c>
      <c r="W895">
        <f t="shared" si="40"/>
        <v>0</v>
      </c>
      <c r="X895" t="str">
        <f t="shared" si="41"/>
        <v>MATCH</v>
      </c>
    </row>
    <row r="896" spans="1:24" x14ac:dyDescent="0.3">
      <c r="A896">
        <v>73</v>
      </c>
      <c r="B896" t="s">
        <v>15</v>
      </c>
      <c r="C896">
        <v>684796.16</v>
      </c>
      <c r="D896" t="s">
        <v>1799</v>
      </c>
      <c r="E896">
        <v>684796.16</v>
      </c>
      <c r="F896">
        <v>0</v>
      </c>
      <c r="G896" t="s">
        <v>1800</v>
      </c>
      <c r="H896">
        <v>0</v>
      </c>
      <c r="I896">
        <v>0</v>
      </c>
      <c r="J896">
        <v>1</v>
      </c>
      <c r="K896">
        <v>0</v>
      </c>
      <c r="L896">
        <v>1</v>
      </c>
      <c r="M896">
        <v>0</v>
      </c>
      <c r="N896">
        <v>1</v>
      </c>
      <c r="O896">
        <v>684796.16</v>
      </c>
      <c r="P896">
        <v>5</v>
      </c>
      <c r="Q896">
        <v>5</v>
      </c>
      <c r="R896">
        <v>4.0999999999999996</v>
      </c>
      <c r="S896" t="s">
        <v>2310</v>
      </c>
      <c r="V896">
        <f t="shared" si="39"/>
        <v>0</v>
      </c>
      <c r="W896">
        <f t="shared" si="40"/>
        <v>0</v>
      </c>
      <c r="X896" t="str">
        <f t="shared" si="41"/>
        <v>MATCH</v>
      </c>
    </row>
    <row r="897" spans="1:24" x14ac:dyDescent="0.3">
      <c r="A897">
        <v>73</v>
      </c>
      <c r="B897" t="s">
        <v>18</v>
      </c>
      <c r="C897">
        <v>684796.16</v>
      </c>
      <c r="D897" t="s">
        <v>1801</v>
      </c>
      <c r="E897">
        <v>684796.16</v>
      </c>
      <c r="F897">
        <v>0</v>
      </c>
      <c r="G897" t="s">
        <v>1802</v>
      </c>
      <c r="H897">
        <v>2754453.54</v>
      </c>
      <c r="I897">
        <v>3439249.7</v>
      </c>
      <c r="J897">
        <v>1</v>
      </c>
      <c r="K897">
        <v>0</v>
      </c>
      <c r="L897">
        <v>1</v>
      </c>
      <c r="M897">
        <v>0</v>
      </c>
      <c r="N897">
        <v>1</v>
      </c>
      <c r="O897">
        <v>684796.16</v>
      </c>
      <c r="P897">
        <v>5</v>
      </c>
      <c r="Q897">
        <v>4</v>
      </c>
      <c r="R897">
        <v>3.8000000000000003</v>
      </c>
      <c r="S897" t="s">
        <v>2310</v>
      </c>
      <c r="V897">
        <f t="shared" si="39"/>
        <v>0</v>
      </c>
      <c r="W897">
        <f t="shared" si="40"/>
        <v>0</v>
      </c>
      <c r="X897" t="str">
        <f t="shared" si="41"/>
        <v>MATCH</v>
      </c>
    </row>
    <row r="898" spans="1:24" x14ac:dyDescent="0.3">
      <c r="A898">
        <v>73</v>
      </c>
      <c r="B898" t="s">
        <v>15</v>
      </c>
      <c r="C898">
        <v>400157.86</v>
      </c>
      <c r="D898" t="s">
        <v>1803</v>
      </c>
      <c r="E898">
        <v>400157.86</v>
      </c>
      <c r="F898">
        <v>0</v>
      </c>
      <c r="G898" t="s">
        <v>1804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0</v>
      </c>
      <c r="N898">
        <v>1</v>
      </c>
      <c r="O898">
        <v>400157.86</v>
      </c>
      <c r="P898">
        <v>5</v>
      </c>
      <c r="Q898">
        <v>5</v>
      </c>
      <c r="R898">
        <v>4.0999999999999996</v>
      </c>
      <c r="S898" t="s">
        <v>2310</v>
      </c>
      <c r="V898">
        <f t="shared" si="39"/>
        <v>0</v>
      </c>
      <c r="W898">
        <f t="shared" si="40"/>
        <v>0</v>
      </c>
      <c r="X898" t="str">
        <f t="shared" si="41"/>
        <v>MATCH</v>
      </c>
    </row>
    <row r="899" spans="1:24" x14ac:dyDescent="0.3">
      <c r="A899">
        <v>73</v>
      </c>
      <c r="B899" t="s">
        <v>18</v>
      </c>
      <c r="C899">
        <v>400157.86</v>
      </c>
      <c r="D899" t="s">
        <v>1805</v>
      </c>
      <c r="E899">
        <v>400157.86</v>
      </c>
      <c r="F899">
        <v>0</v>
      </c>
      <c r="G899" t="s">
        <v>1806</v>
      </c>
      <c r="H899">
        <v>0</v>
      </c>
      <c r="I899">
        <v>400157.86</v>
      </c>
      <c r="J899">
        <v>1</v>
      </c>
      <c r="K899">
        <v>0</v>
      </c>
      <c r="L899">
        <v>1</v>
      </c>
      <c r="M899">
        <v>0</v>
      </c>
      <c r="N899">
        <v>1</v>
      </c>
      <c r="O899">
        <v>400157.86</v>
      </c>
      <c r="P899">
        <v>5</v>
      </c>
      <c r="Q899">
        <v>4</v>
      </c>
      <c r="R899">
        <v>3.8000000000000003</v>
      </c>
      <c r="S899" t="s">
        <v>2310</v>
      </c>
      <c r="V899">
        <f t="shared" ref="V899:V962" si="42">E899-C899</f>
        <v>0</v>
      </c>
      <c r="W899">
        <f t="shared" ref="W899:W962" si="43">ABS(F899-V899)</f>
        <v>0</v>
      </c>
      <c r="X899" t="str">
        <f t="shared" ref="X899:X962" si="44">IF(W899&lt;1,"MATCH","BREAK")</f>
        <v>MATCH</v>
      </c>
    </row>
    <row r="900" spans="1:24" x14ac:dyDescent="0.3">
      <c r="A900">
        <v>74</v>
      </c>
      <c r="B900" t="s">
        <v>15</v>
      </c>
      <c r="C900">
        <v>4375931.29</v>
      </c>
      <c r="D900" t="s">
        <v>1807</v>
      </c>
      <c r="E900">
        <v>4375931.29</v>
      </c>
      <c r="F900">
        <v>0</v>
      </c>
      <c r="G900" t="s">
        <v>1808</v>
      </c>
      <c r="H900">
        <v>0</v>
      </c>
      <c r="I900">
        <v>0</v>
      </c>
      <c r="J900">
        <v>1</v>
      </c>
      <c r="K900">
        <v>0</v>
      </c>
      <c r="L900">
        <v>2</v>
      </c>
      <c r="M900">
        <v>0</v>
      </c>
      <c r="N900">
        <v>1</v>
      </c>
      <c r="O900">
        <v>4375931.29</v>
      </c>
      <c r="P900">
        <v>5</v>
      </c>
      <c r="Q900">
        <v>5</v>
      </c>
      <c r="R900">
        <v>4.0999999999999996</v>
      </c>
      <c r="S900" t="s">
        <v>2310</v>
      </c>
      <c r="V900">
        <f t="shared" si="42"/>
        <v>0</v>
      </c>
      <c r="W900">
        <f t="shared" si="43"/>
        <v>0</v>
      </c>
      <c r="X900" t="str">
        <f t="shared" si="44"/>
        <v>MATCH</v>
      </c>
    </row>
    <row r="901" spans="1:24" x14ac:dyDescent="0.3">
      <c r="A901">
        <v>74</v>
      </c>
      <c r="B901" t="s">
        <v>18</v>
      </c>
      <c r="C901">
        <v>4375931.29</v>
      </c>
      <c r="D901" t="s">
        <v>1809</v>
      </c>
      <c r="E901">
        <v>4375931.29</v>
      </c>
      <c r="F901">
        <v>0</v>
      </c>
      <c r="G901" t="s">
        <v>1810</v>
      </c>
      <c r="H901">
        <v>68494.86</v>
      </c>
      <c r="I901">
        <v>4444426.16</v>
      </c>
      <c r="J901">
        <v>1</v>
      </c>
      <c r="K901">
        <v>0</v>
      </c>
      <c r="L901">
        <v>2</v>
      </c>
      <c r="M901">
        <v>0</v>
      </c>
      <c r="N901">
        <v>1</v>
      </c>
      <c r="O901">
        <v>4375931.29</v>
      </c>
      <c r="P901">
        <v>5</v>
      </c>
      <c r="Q901">
        <v>4</v>
      </c>
      <c r="R901">
        <v>3.8000000000000003</v>
      </c>
      <c r="S901" t="s">
        <v>2310</v>
      </c>
      <c r="V901">
        <f t="shared" si="42"/>
        <v>0</v>
      </c>
      <c r="W901">
        <f t="shared" si="43"/>
        <v>0</v>
      </c>
      <c r="X901" t="str">
        <f t="shared" si="44"/>
        <v>MATCH</v>
      </c>
    </row>
    <row r="902" spans="1:24" x14ac:dyDescent="0.3">
      <c r="A902">
        <v>74</v>
      </c>
      <c r="B902" t="s">
        <v>15</v>
      </c>
      <c r="C902">
        <v>74177.919999999998</v>
      </c>
      <c r="D902" t="s">
        <v>1811</v>
      </c>
      <c r="E902">
        <v>74177.919999999998</v>
      </c>
      <c r="F902">
        <v>0</v>
      </c>
      <c r="G902" t="s">
        <v>1812</v>
      </c>
      <c r="H902">
        <v>0</v>
      </c>
      <c r="I902">
        <v>0</v>
      </c>
      <c r="J902">
        <v>1</v>
      </c>
      <c r="K902">
        <v>0</v>
      </c>
      <c r="L902">
        <v>2</v>
      </c>
      <c r="M902">
        <v>0</v>
      </c>
      <c r="N902">
        <v>1</v>
      </c>
      <c r="O902">
        <v>74177.919999999998</v>
      </c>
      <c r="P902">
        <v>3</v>
      </c>
      <c r="Q902">
        <v>5</v>
      </c>
      <c r="R902">
        <v>3.1</v>
      </c>
      <c r="S902" t="s">
        <v>2310</v>
      </c>
      <c r="V902">
        <f t="shared" si="42"/>
        <v>0</v>
      </c>
      <c r="W902">
        <f t="shared" si="43"/>
        <v>0</v>
      </c>
      <c r="X902" t="str">
        <f t="shared" si="44"/>
        <v>MATCH</v>
      </c>
    </row>
    <row r="903" spans="1:24" x14ac:dyDescent="0.3">
      <c r="A903">
        <v>74</v>
      </c>
      <c r="B903" t="s">
        <v>18</v>
      </c>
      <c r="C903">
        <v>74177.919999999998</v>
      </c>
      <c r="D903" t="s">
        <v>1813</v>
      </c>
      <c r="E903">
        <v>74177.919999999998</v>
      </c>
      <c r="F903">
        <v>0</v>
      </c>
      <c r="G903" t="s">
        <v>1814</v>
      </c>
      <c r="H903">
        <v>79018.509999999995</v>
      </c>
      <c r="I903">
        <v>153196.43</v>
      </c>
      <c r="J903">
        <v>1</v>
      </c>
      <c r="K903">
        <v>0</v>
      </c>
      <c r="L903">
        <v>2</v>
      </c>
      <c r="M903">
        <v>0</v>
      </c>
      <c r="N903">
        <v>1</v>
      </c>
      <c r="O903">
        <v>74177.919999999998</v>
      </c>
      <c r="P903">
        <v>3</v>
      </c>
      <c r="Q903">
        <v>4</v>
      </c>
      <c r="R903">
        <v>2.8000000000000003</v>
      </c>
      <c r="S903" t="s">
        <v>2312</v>
      </c>
      <c r="V903">
        <f t="shared" si="42"/>
        <v>0</v>
      </c>
      <c r="W903">
        <f t="shared" si="43"/>
        <v>0</v>
      </c>
      <c r="X903" t="str">
        <f t="shared" si="44"/>
        <v>MATCH</v>
      </c>
    </row>
    <row r="904" spans="1:24" x14ac:dyDescent="0.3">
      <c r="A904">
        <v>74</v>
      </c>
      <c r="B904" t="s">
        <v>15</v>
      </c>
      <c r="C904">
        <v>59127.34</v>
      </c>
      <c r="D904" t="s">
        <v>1815</v>
      </c>
      <c r="E904">
        <v>59127.34</v>
      </c>
      <c r="F904">
        <v>0</v>
      </c>
      <c r="G904" t="s">
        <v>1816</v>
      </c>
      <c r="H904">
        <v>0</v>
      </c>
      <c r="I904">
        <v>0</v>
      </c>
      <c r="J904">
        <v>1</v>
      </c>
      <c r="K904">
        <v>0</v>
      </c>
      <c r="L904">
        <v>2</v>
      </c>
      <c r="M904">
        <v>0</v>
      </c>
      <c r="N904">
        <v>1</v>
      </c>
      <c r="O904">
        <v>59127.34</v>
      </c>
      <c r="P904">
        <v>3</v>
      </c>
      <c r="Q904">
        <v>5</v>
      </c>
      <c r="R904">
        <v>3.1</v>
      </c>
      <c r="S904" t="s">
        <v>2310</v>
      </c>
      <c r="V904">
        <f t="shared" si="42"/>
        <v>0</v>
      </c>
      <c r="W904">
        <f t="shared" si="43"/>
        <v>0</v>
      </c>
      <c r="X904" t="str">
        <f t="shared" si="44"/>
        <v>MATCH</v>
      </c>
    </row>
    <row r="905" spans="1:24" x14ac:dyDescent="0.3">
      <c r="A905">
        <v>74</v>
      </c>
      <c r="B905" t="s">
        <v>18</v>
      </c>
      <c r="C905">
        <v>59127.34</v>
      </c>
      <c r="D905" t="s">
        <v>1817</v>
      </c>
      <c r="E905">
        <v>59127.34</v>
      </c>
      <c r="F905">
        <v>0</v>
      </c>
      <c r="G905" t="s">
        <v>1818</v>
      </c>
      <c r="H905">
        <v>17207.02</v>
      </c>
      <c r="I905">
        <v>76334.36</v>
      </c>
      <c r="J905">
        <v>1</v>
      </c>
      <c r="K905">
        <v>0</v>
      </c>
      <c r="L905">
        <v>2</v>
      </c>
      <c r="M905">
        <v>0</v>
      </c>
      <c r="N905">
        <v>1</v>
      </c>
      <c r="O905">
        <v>59127.34</v>
      </c>
      <c r="P905">
        <v>3</v>
      </c>
      <c r="Q905">
        <v>4</v>
      </c>
      <c r="R905">
        <v>2.8000000000000003</v>
      </c>
      <c r="S905" t="s">
        <v>2312</v>
      </c>
      <c r="V905">
        <f t="shared" si="42"/>
        <v>0</v>
      </c>
      <c r="W905">
        <f t="shared" si="43"/>
        <v>0</v>
      </c>
      <c r="X905" t="str">
        <f t="shared" si="44"/>
        <v>MATCH</v>
      </c>
    </row>
    <row r="906" spans="1:24" x14ac:dyDescent="0.3">
      <c r="A906">
        <v>74</v>
      </c>
      <c r="B906" t="s">
        <v>15</v>
      </c>
      <c r="C906">
        <v>2451423.58</v>
      </c>
      <c r="D906" t="s">
        <v>1819</v>
      </c>
      <c r="E906">
        <v>2451423.58</v>
      </c>
      <c r="F906">
        <v>0</v>
      </c>
      <c r="G906" t="s">
        <v>1820</v>
      </c>
      <c r="H906">
        <v>0</v>
      </c>
      <c r="I906">
        <v>0</v>
      </c>
      <c r="J906">
        <v>1</v>
      </c>
      <c r="K906">
        <v>0</v>
      </c>
      <c r="L906">
        <v>2</v>
      </c>
      <c r="M906">
        <v>0</v>
      </c>
      <c r="N906">
        <v>1</v>
      </c>
      <c r="O906">
        <v>2451423.58</v>
      </c>
      <c r="P906">
        <v>5</v>
      </c>
      <c r="Q906">
        <v>5</v>
      </c>
      <c r="R906">
        <v>4.0999999999999996</v>
      </c>
      <c r="S906" t="s">
        <v>2310</v>
      </c>
      <c r="V906">
        <f t="shared" si="42"/>
        <v>0</v>
      </c>
      <c r="W906">
        <f t="shared" si="43"/>
        <v>0</v>
      </c>
      <c r="X906" t="str">
        <f t="shared" si="44"/>
        <v>MATCH</v>
      </c>
    </row>
    <row r="907" spans="1:24" x14ac:dyDescent="0.3">
      <c r="A907">
        <v>74</v>
      </c>
      <c r="B907" t="s">
        <v>18</v>
      </c>
      <c r="C907">
        <v>2451423.58</v>
      </c>
      <c r="D907" t="s">
        <v>1821</v>
      </c>
      <c r="E907">
        <v>2451423.58</v>
      </c>
      <c r="F907">
        <v>0</v>
      </c>
      <c r="G907" t="s">
        <v>1822</v>
      </c>
      <c r="H907">
        <v>4870.6499999999996</v>
      </c>
      <c r="I907">
        <v>2456294.2200000002</v>
      </c>
      <c r="J907">
        <v>1</v>
      </c>
      <c r="K907">
        <v>0</v>
      </c>
      <c r="L907">
        <v>2</v>
      </c>
      <c r="M907">
        <v>0</v>
      </c>
      <c r="N907">
        <v>1</v>
      </c>
      <c r="O907">
        <v>2451423.58</v>
      </c>
      <c r="P907">
        <v>5</v>
      </c>
      <c r="Q907">
        <v>4</v>
      </c>
      <c r="R907">
        <v>3.8000000000000003</v>
      </c>
      <c r="S907" t="s">
        <v>2310</v>
      </c>
      <c r="V907">
        <f t="shared" si="42"/>
        <v>0</v>
      </c>
      <c r="W907">
        <f t="shared" si="43"/>
        <v>0</v>
      </c>
      <c r="X907" t="str">
        <f t="shared" si="44"/>
        <v>MATCH</v>
      </c>
    </row>
    <row r="908" spans="1:24" x14ac:dyDescent="0.3">
      <c r="A908">
        <v>74</v>
      </c>
      <c r="B908" t="s">
        <v>15</v>
      </c>
      <c r="C908">
        <v>59813.61</v>
      </c>
      <c r="D908" t="s">
        <v>1823</v>
      </c>
      <c r="E908">
        <v>59813.61</v>
      </c>
      <c r="F908">
        <v>0</v>
      </c>
      <c r="G908" t="s">
        <v>1824</v>
      </c>
      <c r="H908">
        <v>0</v>
      </c>
      <c r="I908">
        <v>0</v>
      </c>
      <c r="J908">
        <v>1</v>
      </c>
      <c r="K908">
        <v>0</v>
      </c>
      <c r="L908">
        <v>2</v>
      </c>
      <c r="M908">
        <v>0</v>
      </c>
      <c r="N908">
        <v>1</v>
      </c>
      <c r="O908">
        <v>59813.61</v>
      </c>
      <c r="P908">
        <v>3</v>
      </c>
      <c r="Q908">
        <v>5</v>
      </c>
      <c r="R908">
        <v>3.1</v>
      </c>
      <c r="S908" t="s">
        <v>2310</v>
      </c>
      <c r="V908">
        <f t="shared" si="42"/>
        <v>0</v>
      </c>
      <c r="W908">
        <f t="shared" si="43"/>
        <v>0</v>
      </c>
      <c r="X908" t="str">
        <f t="shared" si="44"/>
        <v>MATCH</v>
      </c>
    </row>
    <row r="909" spans="1:24" x14ac:dyDescent="0.3">
      <c r="A909">
        <v>74</v>
      </c>
      <c r="B909" t="s">
        <v>18</v>
      </c>
      <c r="C909">
        <v>59813.61</v>
      </c>
      <c r="D909" t="s">
        <v>1825</v>
      </c>
      <c r="E909">
        <v>59813.61</v>
      </c>
      <c r="F909">
        <v>0</v>
      </c>
      <c r="G909" t="s">
        <v>1826</v>
      </c>
      <c r="H909">
        <v>0</v>
      </c>
      <c r="I909">
        <v>59813.61</v>
      </c>
      <c r="J909">
        <v>1</v>
      </c>
      <c r="K909">
        <v>0</v>
      </c>
      <c r="L909">
        <v>2</v>
      </c>
      <c r="M909">
        <v>0</v>
      </c>
      <c r="N909">
        <v>1</v>
      </c>
      <c r="O909">
        <v>59813.61</v>
      </c>
      <c r="P909">
        <v>3</v>
      </c>
      <c r="Q909">
        <v>4</v>
      </c>
      <c r="R909">
        <v>2.8000000000000003</v>
      </c>
      <c r="S909" t="s">
        <v>2312</v>
      </c>
      <c r="V909">
        <f t="shared" si="42"/>
        <v>0</v>
      </c>
      <c r="W909">
        <f t="shared" si="43"/>
        <v>0</v>
      </c>
      <c r="X909" t="str">
        <f t="shared" si="44"/>
        <v>MATCH</v>
      </c>
    </row>
    <row r="910" spans="1:24" x14ac:dyDescent="0.3">
      <c r="A910">
        <v>74</v>
      </c>
      <c r="B910" t="s">
        <v>15</v>
      </c>
      <c r="C910">
        <v>158489.29</v>
      </c>
      <c r="D910" t="s">
        <v>1827</v>
      </c>
      <c r="E910">
        <v>158489.29</v>
      </c>
      <c r="F910">
        <v>0</v>
      </c>
      <c r="G910" t="s">
        <v>1828</v>
      </c>
      <c r="H910">
        <v>0</v>
      </c>
      <c r="I910">
        <v>0</v>
      </c>
      <c r="J910">
        <v>1</v>
      </c>
      <c r="K910">
        <v>0</v>
      </c>
      <c r="L910">
        <v>2</v>
      </c>
      <c r="M910">
        <v>0</v>
      </c>
      <c r="N910">
        <v>1</v>
      </c>
      <c r="O910">
        <v>158489.29</v>
      </c>
      <c r="P910">
        <v>4</v>
      </c>
      <c r="Q910">
        <v>5</v>
      </c>
      <c r="R910">
        <v>3.6</v>
      </c>
      <c r="S910" t="s">
        <v>2310</v>
      </c>
      <c r="V910">
        <f t="shared" si="42"/>
        <v>0</v>
      </c>
      <c r="W910">
        <f t="shared" si="43"/>
        <v>0</v>
      </c>
      <c r="X910" t="str">
        <f t="shared" si="44"/>
        <v>MATCH</v>
      </c>
    </row>
    <row r="911" spans="1:24" x14ac:dyDescent="0.3">
      <c r="A911">
        <v>74</v>
      </c>
      <c r="B911" t="s">
        <v>18</v>
      </c>
      <c r="C911">
        <v>158489.29</v>
      </c>
      <c r="D911" t="s">
        <v>1829</v>
      </c>
      <c r="E911">
        <v>158489.29</v>
      </c>
      <c r="F911">
        <v>0</v>
      </c>
      <c r="G911" t="s">
        <v>1830</v>
      </c>
      <c r="H911">
        <v>0</v>
      </c>
      <c r="I911">
        <v>158489.29</v>
      </c>
      <c r="J911">
        <v>1</v>
      </c>
      <c r="K911">
        <v>0</v>
      </c>
      <c r="L911">
        <v>2</v>
      </c>
      <c r="M911">
        <v>0</v>
      </c>
      <c r="N911">
        <v>1</v>
      </c>
      <c r="O911">
        <v>158489.29</v>
      </c>
      <c r="P911">
        <v>4</v>
      </c>
      <c r="Q911">
        <v>4</v>
      </c>
      <c r="R911">
        <v>3.3000000000000003</v>
      </c>
      <c r="S911" t="s">
        <v>2310</v>
      </c>
      <c r="V911">
        <f t="shared" si="42"/>
        <v>0</v>
      </c>
      <c r="W911">
        <f t="shared" si="43"/>
        <v>0</v>
      </c>
      <c r="X911" t="str">
        <f t="shared" si="44"/>
        <v>MATCH</v>
      </c>
    </row>
    <row r="912" spans="1:24" x14ac:dyDescent="0.3">
      <c r="A912">
        <v>74</v>
      </c>
      <c r="B912" t="s">
        <v>15</v>
      </c>
      <c r="C912">
        <v>85637.08</v>
      </c>
      <c r="D912" t="s">
        <v>1831</v>
      </c>
      <c r="E912">
        <v>85637.08</v>
      </c>
      <c r="F912">
        <v>0</v>
      </c>
      <c r="G912" t="s">
        <v>1832</v>
      </c>
      <c r="H912">
        <v>0</v>
      </c>
      <c r="I912">
        <v>0</v>
      </c>
      <c r="J912">
        <v>1</v>
      </c>
      <c r="K912">
        <v>0</v>
      </c>
      <c r="L912">
        <v>2</v>
      </c>
      <c r="M912">
        <v>0</v>
      </c>
      <c r="N912">
        <v>1</v>
      </c>
      <c r="O912">
        <v>85637.08</v>
      </c>
      <c r="P912">
        <v>3</v>
      </c>
      <c r="Q912">
        <v>5</v>
      </c>
      <c r="R912">
        <v>3.1</v>
      </c>
      <c r="S912" t="s">
        <v>2310</v>
      </c>
      <c r="V912">
        <f t="shared" si="42"/>
        <v>0</v>
      </c>
      <c r="W912">
        <f t="shared" si="43"/>
        <v>0</v>
      </c>
      <c r="X912" t="str">
        <f t="shared" si="44"/>
        <v>MATCH</v>
      </c>
    </row>
    <row r="913" spans="1:24" x14ac:dyDescent="0.3">
      <c r="A913">
        <v>74</v>
      </c>
      <c r="B913" t="s">
        <v>18</v>
      </c>
      <c r="C913">
        <v>85637.08</v>
      </c>
      <c r="D913" t="s">
        <v>1833</v>
      </c>
      <c r="E913">
        <v>85637.08</v>
      </c>
      <c r="F913">
        <v>0</v>
      </c>
      <c r="G913" t="s">
        <v>1834</v>
      </c>
      <c r="H913">
        <v>235137.06</v>
      </c>
      <c r="I913">
        <v>320774.13</v>
      </c>
      <c r="J913">
        <v>1</v>
      </c>
      <c r="K913">
        <v>0</v>
      </c>
      <c r="L913">
        <v>2</v>
      </c>
      <c r="M913">
        <v>0</v>
      </c>
      <c r="N913">
        <v>1</v>
      </c>
      <c r="O913">
        <v>85637.08</v>
      </c>
      <c r="P913">
        <v>3</v>
      </c>
      <c r="Q913">
        <v>4</v>
      </c>
      <c r="R913">
        <v>2.8000000000000003</v>
      </c>
      <c r="S913" t="s">
        <v>2312</v>
      </c>
      <c r="V913">
        <f t="shared" si="42"/>
        <v>0</v>
      </c>
      <c r="W913">
        <f t="shared" si="43"/>
        <v>0</v>
      </c>
      <c r="X913" t="str">
        <f t="shared" si="44"/>
        <v>MATCH</v>
      </c>
    </row>
    <row r="914" spans="1:24" x14ac:dyDescent="0.3">
      <c r="A914">
        <v>74</v>
      </c>
      <c r="B914" t="s">
        <v>15</v>
      </c>
      <c r="C914">
        <v>1311150.8999999999</v>
      </c>
      <c r="D914" t="s">
        <v>1835</v>
      </c>
      <c r="E914">
        <v>1311150.8999999999</v>
      </c>
      <c r="F914">
        <v>0</v>
      </c>
      <c r="G914" t="s">
        <v>1836</v>
      </c>
      <c r="H914">
        <v>0</v>
      </c>
      <c r="I914">
        <v>0</v>
      </c>
      <c r="J914">
        <v>1</v>
      </c>
      <c r="K914">
        <v>0</v>
      </c>
      <c r="L914">
        <v>2</v>
      </c>
      <c r="M914">
        <v>0</v>
      </c>
      <c r="N914">
        <v>1</v>
      </c>
      <c r="O914">
        <v>1311150.8999999999</v>
      </c>
      <c r="P914">
        <v>5</v>
      </c>
      <c r="Q914">
        <v>5</v>
      </c>
      <c r="R914">
        <v>4.0999999999999996</v>
      </c>
      <c r="S914" t="s">
        <v>2310</v>
      </c>
      <c r="V914">
        <f t="shared" si="42"/>
        <v>0</v>
      </c>
      <c r="W914">
        <f t="shared" si="43"/>
        <v>0</v>
      </c>
      <c r="X914" t="str">
        <f t="shared" si="44"/>
        <v>MATCH</v>
      </c>
    </row>
    <row r="915" spans="1:24" x14ac:dyDescent="0.3">
      <c r="A915">
        <v>74</v>
      </c>
      <c r="B915" t="s">
        <v>18</v>
      </c>
      <c r="C915">
        <v>1311150.8999999999</v>
      </c>
      <c r="D915" t="s">
        <v>1837</v>
      </c>
      <c r="E915">
        <v>1311150.8999999999</v>
      </c>
      <c r="F915">
        <v>0</v>
      </c>
      <c r="G915" t="s">
        <v>1838</v>
      </c>
      <c r="H915">
        <v>0</v>
      </c>
      <c r="I915">
        <v>1311150.8999999999</v>
      </c>
      <c r="J915">
        <v>1</v>
      </c>
      <c r="K915">
        <v>0</v>
      </c>
      <c r="L915">
        <v>2</v>
      </c>
      <c r="M915">
        <v>0</v>
      </c>
      <c r="N915">
        <v>1</v>
      </c>
      <c r="O915">
        <v>1311150.8999999999</v>
      </c>
      <c r="P915">
        <v>5</v>
      </c>
      <c r="Q915">
        <v>4</v>
      </c>
      <c r="R915">
        <v>3.8000000000000003</v>
      </c>
      <c r="S915" t="s">
        <v>2310</v>
      </c>
      <c r="V915">
        <f t="shared" si="42"/>
        <v>0</v>
      </c>
      <c r="W915">
        <f t="shared" si="43"/>
        <v>0</v>
      </c>
      <c r="X915" t="str">
        <f t="shared" si="44"/>
        <v>MATCH</v>
      </c>
    </row>
    <row r="916" spans="1:24" x14ac:dyDescent="0.3">
      <c r="A916">
        <v>74</v>
      </c>
      <c r="B916" t="s">
        <v>15</v>
      </c>
      <c r="C916">
        <v>4582074.51</v>
      </c>
      <c r="D916" t="s">
        <v>1839</v>
      </c>
      <c r="E916">
        <v>4582074.51</v>
      </c>
      <c r="F916">
        <v>0</v>
      </c>
      <c r="G916" t="s">
        <v>1840</v>
      </c>
      <c r="H916">
        <v>0</v>
      </c>
      <c r="I916">
        <v>0</v>
      </c>
      <c r="J916">
        <v>1</v>
      </c>
      <c r="K916">
        <v>0</v>
      </c>
      <c r="L916">
        <v>2</v>
      </c>
      <c r="M916">
        <v>0</v>
      </c>
      <c r="N916">
        <v>1</v>
      </c>
      <c r="O916">
        <v>4582074.51</v>
      </c>
      <c r="P916">
        <v>5</v>
      </c>
      <c r="Q916">
        <v>5</v>
      </c>
      <c r="R916">
        <v>4.0999999999999996</v>
      </c>
      <c r="S916" t="s">
        <v>2310</v>
      </c>
      <c r="V916">
        <f t="shared" si="42"/>
        <v>0</v>
      </c>
      <c r="W916">
        <f t="shared" si="43"/>
        <v>0</v>
      </c>
      <c r="X916" t="str">
        <f t="shared" si="44"/>
        <v>MATCH</v>
      </c>
    </row>
    <row r="917" spans="1:24" x14ac:dyDescent="0.3">
      <c r="A917">
        <v>74</v>
      </c>
      <c r="B917" t="s">
        <v>18</v>
      </c>
      <c r="C917">
        <v>4582074.51</v>
      </c>
      <c r="D917" t="s">
        <v>1841</v>
      </c>
      <c r="E917">
        <v>4582074.51</v>
      </c>
      <c r="F917">
        <v>0</v>
      </c>
      <c r="G917" t="s">
        <v>1842</v>
      </c>
      <c r="H917">
        <v>154034.94</v>
      </c>
      <c r="I917">
        <v>4736109.45</v>
      </c>
      <c r="J917">
        <v>1</v>
      </c>
      <c r="K917">
        <v>0</v>
      </c>
      <c r="L917">
        <v>2</v>
      </c>
      <c r="M917">
        <v>0</v>
      </c>
      <c r="N917">
        <v>1</v>
      </c>
      <c r="O917">
        <v>4582074.51</v>
      </c>
      <c r="P917">
        <v>5</v>
      </c>
      <c r="Q917">
        <v>4</v>
      </c>
      <c r="R917">
        <v>3.8000000000000003</v>
      </c>
      <c r="S917" t="s">
        <v>2310</v>
      </c>
      <c r="V917">
        <f t="shared" si="42"/>
        <v>0</v>
      </c>
      <c r="W917">
        <f t="shared" si="43"/>
        <v>0</v>
      </c>
      <c r="X917" t="str">
        <f t="shared" si="44"/>
        <v>MATCH</v>
      </c>
    </row>
    <row r="918" spans="1:24" x14ac:dyDescent="0.3">
      <c r="A918">
        <v>74</v>
      </c>
      <c r="B918" t="s">
        <v>15</v>
      </c>
      <c r="C918">
        <v>455074.13</v>
      </c>
      <c r="D918" t="s">
        <v>1843</v>
      </c>
      <c r="E918">
        <v>455074.13</v>
      </c>
      <c r="F918">
        <v>0</v>
      </c>
      <c r="G918" t="s">
        <v>1844</v>
      </c>
      <c r="H918">
        <v>0</v>
      </c>
      <c r="I918">
        <v>0</v>
      </c>
      <c r="J918">
        <v>1</v>
      </c>
      <c r="K918">
        <v>0</v>
      </c>
      <c r="L918">
        <v>2</v>
      </c>
      <c r="M918">
        <v>0</v>
      </c>
      <c r="N918">
        <v>1</v>
      </c>
      <c r="O918">
        <v>455074.13</v>
      </c>
      <c r="P918">
        <v>5</v>
      </c>
      <c r="Q918">
        <v>5</v>
      </c>
      <c r="R918">
        <v>4.0999999999999996</v>
      </c>
      <c r="S918" t="s">
        <v>2310</v>
      </c>
      <c r="V918">
        <f t="shared" si="42"/>
        <v>0</v>
      </c>
      <c r="W918">
        <f t="shared" si="43"/>
        <v>0</v>
      </c>
      <c r="X918" t="str">
        <f t="shared" si="44"/>
        <v>MATCH</v>
      </c>
    </row>
    <row r="919" spans="1:24" x14ac:dyDescent="0.3">
      <c r="A919">
        <v>74</v>
      </c>
      <c r="B919" t="s">
        <v>18</v>
      </c>
      <c r="C919">
        <v>455074.13</v>
      </c>
      <c r="D919" t="s">
        <v>1845</v>
      </c>
      <c r="E919">
        <v>455074.13</v>
      </c>
      <c r="F919">
        <v>0</v>
      </c>
      <c r="G919" t="s">
        <v>211</v>
      </c>
      <c r="H919">
        <v>9237170.7400000002</v>
      </c>
      <c r="I919">
        <v>9692244.8599999994</v>
      </c>
      <c r="J919">
        <v>1</v>
      </c>
      <c r="K919">
        <v>0</v>
      </c>
      <c r="L919">
        <v>2</v>
      </c>
      <c r="M919">
        <v>0</v>
      </c>
      <c r="N919">
        <v>1</v>
      </c>
      <c r="O919">
        <v>455074.13</v>
      </c>
      <c r="P919">
        <v>5</v>
      </c>
      <c r="Q919">
        <v>4</v>
      </c>
      <c r="R919">
        <v>3.8000000000000003</v>
      </c>
      <c r="S919" t="s">
        <v>2310</v>
      </c>
      <c r="V919">
        <f t="shared" si="42"/>
        <v>0</v>
      </c>
      <c r="W919">
        <f t="shared" si="43"/>
        <v>0</v>
      </c>
      <c r="X919" t="str">
        <f t="shared" si="44"/>
        <v>MATCH</v>
      </c>
    </row>
    <row r="920" spans="1:24" x14ac:dyDescent="0.3">
      <c r="A920">
        <v>74</v>
      </c>
      <c r="B920" t="s">
        <v>15</v>
      </c>
      <c r="C920">
        <v>3284197.88</v>
      </c>
      <c r="D920" t="s">
        <v>1846</v>
      </c>
      <c r="E920">
        <v>3284197.88</v>
      </c>
      <c r="F920">
        <v>0</v>
      </c>
      <c r="G920" t="s">
        <v>1847</v>
      </c>
      <c r="H920">
        <v>0</v>
      </c>
      <c r="I920">
        <v>0</v>
      </c>
      <c r="J920">
        <v>1</v>
      </c>
      <c r="K920">
        <v>0</v>
      </c>
      <c r="L920">
        <v>2</v>
      </c>
      <c r="M920">
        <v>0</v>
      </c>
      <c r="N920">
        <v>1</v>
      </c>
      <c r="O920">
        <v>3284197.88</v>
      </c>
      <c r="P920">
        <v>5</v>
      </c>
      <c r="Q920">
        <v>5</v>
      </c>
      <c r="R920">
        <v>4.0999999999999996</v>
      </c>
      <c r="S920" t="s">
        <v>2310</v>
      </c>
      <c r="V920">
        <f t="shared" si="42"/>
        <v>0</v>
      </c>
      <c r="W920">
        <f t="shared" si="43"/>
        <v>0</v>
      </c>
      <c r="X920" t="str">
        <f t="shared" si="44"/>
        <v>MATCH</v>
      </c>
    </row>
    <row r="921" spans="1:24" x14ac:dyDescent="0.3">
      <c r="A921">
        <v>74</v>
      </c>
      <c r="B921" t="s">
        <v>18</v>
      </c>
      <c r="C921">
        <v>3284197.88</v>
      </c>
      <c r="D921" t="s">
        <v>1848</v>
      </c>
      <c r="E921">
        <v>3284197.88</v>
      </c>
      <c r="F921">
        <v>0</v>
      </c>
      <c r="G921" t="s">
        <v>1849</v>
      </c>
      <c r="H921">
        <v>200942.07999999999</v>
      </c>
      <c r="I921">
        <v>3485139.96</v>
      </c>
      <c r="J921">
        <v>1</v>
      </c>
      <c r="K921">
        <v>0</v>
      </c>
      <c r="L921">
        <v>2</v>
      </c>
      <c r="M921">
        <v>0</v>
      </c>
      <c r="N921">
        <v>1</v>
      </c>
      <c r="O921">
        <v>3284197.88</v>
      </c>
      <c r="P921">
        <v>5</v>
      </c>
      <c r="Q921">
        <v>4</v>
      </c>
      <c r="R921">
        <v>3.8000000000000003</v>
      </c>
      <c r="S921" t="s">
        <v>2310</v>
      </c>
      <c r="V921">
        <f t="shared" si="42"/>
        <v>0</v>
      </c>
      <c r="W921">
        <f t="shared" si="43"/>
        <v>0</v>
      </c>
      <c r="X921" t="str">
        <f t="shared" si="44"/>
        <v>MATCH</v>
      </c>
    </row>
    <row r="922" spans="1:24" x14ac:dyDescent="0.3">
      <c r="A922">
        <v>75</v>
      </c>
      <c r="B922" t="s">
        <v>15</v>
      </c>
      <c r="C922">
        <v>810039.19</v>
      </c>
      <c r="D922" t="s">
        <v>1850</v>
      </c>
      <c r="E922">
        <v>810039.19</v>
      </c>
      <c r="F922">
        <v>0</v>
      </c>
      <c r="G922" t="s">
        <v>1851</v>
      </c>
      <c r="H922">
        <v>0</v>
      </c>
      <c r="I922">
        <v>0</v>
      </c>
      <c r="J922">
        <v>1</v>
      </c>
      <c r="K922">
        <v>0</v>
      </c>
      <c r="L922">
        <v>3</v>
      </c>
      <c r="M922">
        <v>0</v>
      </c>
      <c r="N922">
        <v>1</v>
      </c>
      <c r="O922">
        <v>810039.19</v>
      </c>
      <c r="P922">
        <v>5</v>
      </c>
      <c r="Q922">
        <v>5</v>
      </c>
      <c r="R922">
        <v>4.0999999999999996</v>
      </c>
      <c r="S922" t="s">
        <v>2310</v>
      </c>
      <c r="V922">
        <f t="shared" si="42"/>
        <v>0</v>
      </c>
      <c r="W922">
        <f t="shared" si="43"/>
        <v>0</v>
      </c>
      <c r="X922" t="str">
        <f t="shared" si="44"/>
        <v>MATCH</v>
      </c>
    </row>
    <row r="923" spans="1:24" x14ac:dyDescent="0.3">
      <c r="A923">
        <v>75</v>
      </c>
      <c r="B923" t="s">
        <v>18</v>
      </c>
      <c r="C923">
        <v>810039.19</v>
      </c>
      <c r="D923" t="s">
        <v>1852</v>
      </c>
      <c r="E923">
        <v>810039.19</v>
      </c>
      <c r="F923">
        <v>0</v>
      </c>
      <c r="G923" t="s">
        <v>1853</v>
      </c>
      <c r="H923">
        <v>409035.12</v>
      </c>
      <c r="I923">
        <v>1219074.31</v>
      </c>
      <c r="J923">
        <v>1</v>
      </c>
      <c r="K923">
        <v>0</v>
      </c>
      <c r="L923">
        <v>3</v>
      </c>
      <c r="M923">
        <v>0</v>
      </c>
      <c r="N923">
        <v>1</v>
      </c>
      <c r="O923">
        <v>810039.19</v>
      </c>
      <c r="P923">
        <v>5</v>
      </c>
      <c r="Q923">
        <v>4</v>
      </c>
      <c r="R923">
        <v>3.8000000000000003</v>
      </c>
      <c r="S923" t="s">
        <v>2310</v>
      </c>
      <c r="V923">
        <f t="shared" si="42"/>
        <v>0</v>
      </c>
      <c r="W923">
        <f t="shared" si="43"/>
        <v>0</v>
      </c>
      <c r="X923" t="str">
        <f t="shared" si="44"/>
        <v>MATCH</v>
      </c>
    </row>
    <row r="924" spans="1:24" x14ac:dyDescent="0.3">
      <c r="A924">
        <v>75</v>
      </c>
      <c r="B924" t="s">
        <v>15</v>
      </c>
      <c r="C924">
        <v>959018.79</v>
      </c>
      <c r="D924" t="s">
        <v>1854</v>
      </c>
      <c r="E924">
        <v>959018.79</v>
      </c>
      <c r="F924">
        <v>0</v>
      </c>
      <c r="G924" t="s">
        <v>1855</v>
      </c>
      <c r="H924">
        <v>0</v>
      </c>
      <c r="I924">
        <v>0</v>
      </c>
      <c r="J924">
        <v>1</v>
      </c>
      <c r="K924">
        <v>0</v>
      </c>
      <c r="L924">
        <v>3</v>
      </c>
      <c r="M924">
        <v>0</v>
      </c>
      <c r="N924">
        <v>1</v>
      </c>
      <c r="O924">
        <v>959018.79</v>
      </c>
      <c r="P924">
        <v>5</v>
      </c>
      <c r="Q924">
        <v>5</v>
      </c>
      <c r="R924">
        <v>4.0999999999999996</v>
      </c>
      <c r="S924" t="s">
        <v>2310</v>
      </c>
      <c r="V924">
        <f t="shared" si="42"/>
        <v>0</v>
      </c>
      <c r="W924">
        <f t="shared" si="43"/>
        <v>0</v>
      </c>
      <c r="X924" t="str">
        <f t="shared" si="44"/>
        <v>MATCH</v>
      </c>
    </row>
    <row r="925" spans="1:24" x14ac:dyDescent="0.3">
      <c r="A925">
        <v>75</v>
      </c>
      <c r="B925" t="s">
        <v>18</v>
      </c>
      <c r="C925">
        <v>959018.79</v>
      </c>
      <c r="D925" t="s">
        <v>1856</v>
      </c>
      <c r="E925">
        <v>959018.79</v>
      </c>
      <c r="F925">
        <v>0</v>
      </c>
      <c r="G925" t="s">
        <v>1857</v>
      </c>
      <c r="H925">
        <v>0</v>
      </c>
      <c r="I925">
        <v>959018.79</v>
      </c>
      <c r="J925">
        <v>1</v>
      </c>
      <c r="K925">
        <v>0</v>
      </c>
      <c r="L925">
        <v>3</v>
      </c>
      <c r="M925">
        <v>0</v>
      </c>
      <c r="N925">
        <v>1</v>
      </c>
      <c r="O925">
        <v>959018.79</v>
      </c>
      <c r="P925">
        <v>5</v>
      </c>
      <c r="Q925">
        <v>4</v>
      </c>
      <c r="R925">
        <v>3.8000000000000003</v>
      </c>
      <c r="S925" t="s">
        <v>2310</v>
      </c>
      <c r="V925">
        <f t="shared" si="42"/>
        <v>0</v>
      </c>
      <c r="W925">
        <f t="shared" si="43"/>
        <v>0</v>
      </c>
      <c r="X925" t="str">
        <f t="shared" si="44"/>
        <v>MATCH</v>
      </c>
    </row>
    <row r="926" spans="1:24" x14ac:dyDescent="0.3">
      <c r="A926">
        <v>75</v>
      </c>
      <c r="B926" t="s">
        <v>15</v>
      </c>
      <c r="C926">
        <v>755813.12</v>
      </c>
      <c r="D926" t="s">
        <v>1858</v>
      </c>
      <c r="E926">
        <v>755813.12</v>
      </c>
      <c r="F926">
        <v>0</v>
      </c>
      <c r="G926" t="s">
        <v>1859</v>
      </c>
      <c r="H926">
        <v>0</v>
      </c>
      <c r="I926">
        <v>0</v>
      </c>
      <c r="J926">
        <v>1</v>
      </c>
      <c r="K926">
        <v>0</v>
      </c>
      <c r="L926">
        <v>3</v>
      </c>
      <c r="M926">
        <v>0</v>
      </c>
      <c r="N926">
        <v>1</v>
      </c>
      <c r="O926">
        <v>755813.12</v>
      </c>
      <c r="P926">
        <v>5</v>
      </c>
      <c r="Q926">
        <v>5</v>
      </c>
      <c r="R926">
        <v>4.0999999999999996</v>
      </c>
      <c r="S926" t="s">
        <v>2310</v>
      </c>
      <c r="V926">
        <f t="shared" si="42"/>
        <v>0</v>
      </c>
      <c r="W926">
        <f t="shared" si="43"/>
        <v>0</v>
      </c>
      <c r="X926" t="str">
        <f t="shared" si="44"/>
        <v>MATCH</v>
      </c>
    </row>
    <row r="927" spans="1:24" x14ac:dyDescent="0.3">
      <c r="A927">
        <v>75</v>
      </c>
      <c r="B927" t="s">
        <v>18</v>
      </c>
      <c r="C927">
        <v>755813.12</v>
      </c>
      <c r="D927" t="s">
        <v>1860</v>
      </c>
      <c r="E927">
        <v>755813.12</v>
      </c>
      <c r="F927">
        <v>0</v>
      </c>
      <c r="G927" t="s">
        <v>1861</v>
      </c>
      <c r="H927">
        <v>494575.27</v>
      </c>
      <c r="I927">
        <v>1250388.3799999999</v>
      </c>
      <c r="J927">
        <v>1</v>
      </c>
      <c r="K927">
        <v>0</v>
      </c>
      <c r="L927">
        <v>3</v>
      </c>
      <c r="M927">
        <v>0</v>
      </c>
      <c r="N927">
        <v>1</v>
      </c>
      <c r="O927">
        <v>755813.12</v>
      </c>
      <c r="P927">
        <v>5</v>
      </c>
      <c r="Q927">
        <v>4</v>
      </c>
      <c r="R927">
        <v>3.8000000000000003</v>
      </c>
      <c r="S927" t="s">
        <v>2310</v>
      </c>
      <c r="V927">
        <f t="shared" si="42"/>
        <v>0</v>
      </c>
      <c r="W927">
        <f t="shared" si="43"/>
        <v>0</v>
      </c>
      <c r="X927" t="str">
        <f t="shared" si="44"/>
        <v>MATCH</v>
      </c>
    </row>
    <row r="928" spans="1:24" x14ac:dyDescent="0.3">
      <c r="A928">
        <v>75</v>
      </c>
      <c r="B928" t="s">
        <v>15</v>
      </c>
      <c r="C928">
        <v>460436.43</v>
      </c>
      <c r="D928" t="s">
        <v>1862</v>
      </c>
      <c r="E928">
        <v>460436.43</v>
      </c>
      <c r="F928">
        <v>0</v>
      </c>
      <c r="G928" t="s">
        <v>1863</v>
      </c>
      <c r="H928">
        <v>0</v>
      </c>
      <c r="I928">
        <v>0</v>
      </c>
      <c r="J928">
        <v>1</v>
      </c>
      <c r="K928">
        <v>0</v>
      </c>
      <c r="L928">
        <v>3</v>
      </c>
      <c r="M928">
        <v>0</v>
      </c>
      <c r="N928">
        <v>1</v>
      </c>
      <c r="O928">
        <v>460436.43</v>
      </c>
      <c r="P928">
        <v>5</v>
      </c>
      <c r="Q928">
        <v>5</v>
      </c>
      <c r="R928">
        <v>4.0999999999999996</v>
      </c>
      <c r="S928" t="s">
        <v>2310</v>
      </c>
      <c r="V928">
        <f t="shared" si="42"/>
        <v>0</v>
      </c>
      <c r="W928">
        <f t="shared" si="43"/>
        <v>0</v>
      </c>
      <c r="X928" t="str">
        <f t="shared" si="44"/>
        <v>MATCH</v>
      </c>
    </row>
    <row r="929" spans="1:24" x14ac:dyDescent="0.3">
      <c r="A929">
        <v>75</v>
      </c>
      <c r="B929" t="s">
        <v>18</v>
      </c>
      <c r="C929">
        <v>460436.43</v>
      </c>
      <c r="D929" t="s">
        <v>1864</v>
      </c>
      <c r="E929">
        <v>460436.43</v>
      </c>
      <c r="F929">
        <v>0</v>
      </c>
      <c r="G929" t="s">
        <v>1865</v>
      </c>
      <c r="H929">
        <v>0</v>
      </c>
      <c r="I929">
        <v>460436.43</v>
      </c>
      <c r="J929">
        <v>1</v>
      </c>
      <c r="K929">
        <v>0</v>
      </c>
      <c r="L929">
        <v>3</v>
      </c>
      <c r="M929">
        <v>0</v>
      </c>
      <c r="N929">
        <v>1</v>
      </c>
      <c r="O929">
        <v>460436.43</v>
      </c>
      <c r="P929">
        <v>5</v>
      </c>
      <c r="Q929">
        <v>4</v>
      </c>
      <c r="R929">
        <v>3.8000000000000003</v>
      </c>
      <c r="S929" t="s">
        <v>2310</v>
      </c>
      <c r="V929">
        <f t="shared" si="42"/>
        <v>0</v>
      </c>
      <c r="W929">
        <f t="shared" si="43"/>
        <v>0</v>
      </c>
      <c r="X929" t="str">
        <f t="shared" si="44"/>
        <v>MATCH</v>
      </c>
    </row>
    <row r="930" spans="1:24" x14ac:dyDescent="0.3">
      <c r="A930">
        <v>76</v>
      </c>
      <c r="B930" t="s">
        <v>15</v>
      </c>
      <c r="C930">
        <v>9917.27</v>
      </c>
      <c r="D930" t="s">
        <v>1866</v>
      </c>
      <c r="E930">
        <v>9917.27</v>
      </c>
      <c r="F930">
        <v>0</v>
      </c>
      <c r="G930" t="s">
        <v>1867</v>
      </c>
      <c r="H930">
        <v>0</v>
      </c>
      <c r="I930">
        <v>0</v>
      </c>
      <c r="J930">
        <v>1</v>
      </c>
      <c r="K930">
        <v>0</v>
      </c>
      <c r="L930">
        <v>4</v>
      </c>
      <c r="M930">
        <v>0</v>
      </c>
      <c r="N930">
        <v>1</v>
      </c>
      <c r="O930">
        <v>9917.27</v>
      </c>
      <c r="P930">
        <v>1</v>
      </c>
      <c r="Q930">
        <v>5</v>
      </c>
      <c r="R930">
        <v>2.1</v>
      </c>
      <c r="S930" t="s">
        <v>2312</v>
      </c>
      <c r="V930">
        <f t="shared" si="42"/>
        <v>0</v>
      </c>
      <c r="W930">
        <f t="shared" si="43"/>
        <v>0</v>
      </c>
      <c r="X930" t="str">
        <f t="shared" si="44"/>
        <v>MATCH</v>
      </c>
    </row>
    <row r="931" spans="1:24" x14ac:dyDescent="0.3">
      <c r="A931">
        <v>76</v>
      </c>
      <c r="B931" t="s">
        <v>18</v>
      </c>
      <c r="C931">
        <v>9917.27</v>
      </c>
      <c r="D931" t="s">
        <v>1868</v>
      </c>
      <c r="E931">
        <v>9917.27</v>
      </c>
      <c r="F931">
        <v>0</v>
      </c>
      <c r="G931" t="s">
        <v>1869</v>
      </c>
      <c r="H931">
        <v>408610.64</v>
      </c>
      <c r="I931">
        <v>418527.91</v>
      </c>
      <c r="J931">
        <v>1</v>
      </c>
      <c r="K931">
        <v>0</v>
      </c>
      <c r="L931">
        <v>4</v>
      </c>
      <c r="M931">
        <v>0</v>
      </c>
      <c r="N931">
        <v>1</v>
      </c>
      <c r="O931">
        <v>9917.27</v>
      </c>
      <c r="P931">
        <v>1</v>
      </c>
      <c r="Q931">
        <v>4</v>
      </c>
      <c r="R931">
        <v>1.8</v>
      </c>
      <c r="S931" t="s">
        <v>2311</v>
      </c>
      <c r="V931">
        <f t="shared" si="42"/>
        <v>0</v>
      </c>
      <c r="W931">
        <f t="shared" si="43"/>
        <v>0</v>
      </c>
      <c r="X931" t="str">
        <f t="shared" si="44"/>
        <v>MATCH</v>
      </c>
    </row>
    <row r="932" spans="1:24" x14ac:dyDescent="0.3">
      <c r="A932">
        <v>76</v>
      </c>
      <c r="B932" t="s">
        <v>15</v>
      </c>
      <c r="C932">
        <v>2066446.27</v>
      </c>
      <c r="D932" t="s">
        <v>1870</v>
      </c>
      <c r="E932">
        <v>2066446.27</v>
      </c>
      <c r="F932">
        <v>0</v>
      </c>
      <c r="G932" t="s">
        <v>1871</v>
      </c>
      <c r="H932">
        <v>0</v>
      </c>
      <c r="I932">
        <v>0</v>
      </c>
      <c r="J932">
        <v>1</v>
      </c>
      <c r="K932">
        <v>0</v>
      </c>
      <c r="L932">
        <v>4</v>
      </c>
      <c r="M932">
        <v>0</v>
      </c>
      <c r="N932">
        <v>1</v>
      </c>
      <c r="O932">
        <v>2066446.27</v>
      </c>
      <c r="P932">
        <v>5</v>
      </c>
      <c r="Q932">
        <v>5</v>
      </c>
      <c r="R932">
        <v>4.0999999999999996</v>
      </c>
      <c r="S932" t="s">
        <v>2310</v>
      </c>
      <c r="V932">
        <f t="shared" si="42"/>
        <v>0</v>
      </c>
      <c r="W932">
        <f t="shared" si="43"/>
        <v>0</v>
      </c>
      <c r="X932" t="str">
        <f t="shared" si="44"/>
        <v>MATCH</v>
      </c>
    </row>
    <row r="933" spans="1:24" x14ac:dyDescent="0.3">
      <c r="A933">
        <v>76</v>
      </c>
      <c r="B933" t="s">
        <v>18</v>
      </c>
      <c r="C933">
        <v>2066446.27</v>
      </c>
      <c r="D933" t="s">
        <v>1872</v>
      </c>
      <c r="E933">
        <v>2066446.27</v>
      </c>
      <c r="F933">
        <v>0</v>
      </c>
      <c r="G933" t="s">
        <v>1873</v>
      </c>
      <c r="H933">
        <v>423086.94</v>
      </c>
      <c r="I933">
        <v>2489533.21</v>
      </c>
      <c r="J933">
        <v>1</v>
      </c>
      <c r="K933">
        <v>0</v>
      </c>
      <c r="L933">
        <v>4</v>
      </c>
      <c r="M933">
        <v>0</v>
      </c>
      <c r="N933">
        <v>1</v>
      </c>
      <c r="O933">
        <v>2066446.27</v>
      </c>
      <c r="P933">
        <v>5</v>
      </c>
      <c r="Q933">
        <v>4</v>
      </c>
      <c r="R933">
        <v>3.8000000000000003</v>
      </c>
      <c r="S933" t="s">
        <v>2310</v>
      </c>
      <c r="V933">
        <f t="shared" si="42"/>
        <v>0</v>
      </c>
      <c r="W933">
        <f t="shared" si="43"/>
        <v>0</v>
      </c>
      <c r="X933" t="str">
        <f t="shared" si="44"/>
        <v>MATCH</v>
      </c>
    </row>
    <row r="934" spans="1:24" x14ac:dyDescent="0.3">
      <c r="A934">
        <v>77</v>
      </c>
      <c r="B934" t="s">
        <v>15</v>
      </c>
      <c r="C934">
        <v>819048.34</v>
      </c>
      <c r="D934" t="s">
        <v>1874</v>
      </c>
      <c r="E934">
        <v>819048.34</v>
      </c>
      <c r="F934">
        <v>0</v>
      </c>
      <c r="G934" t="s">
        <v>1875</v>
      </c>
      <c r="H934">
        <v>0</v>
      </c>
      <c r="I934">
        <v>0</v>
      </c>
      <c r="J934">
        <v>1</v>
      </c>
      <c r="K934">
        <v>0</v>
      </c>
      <c r="L934">
        <v>5</v>
      </c>
      <c r="M934">
        <v>0</v>
      </c>
      <c r="N934">
        <v>1</v>
      </c>
      <c r="O934">
        <v>819048.34</v>
      </c>
      <c r="P934">
        <v>5</v>
      </c>
      <c r="Q934">
        <v>5</v>
      </c>
      <c r="R934">
        <v>4.0999999999999996</v>
      </c>
      <c r="S934" t="s">
        <v>2310</v>
      </c>
      <c r="V934">
        <f t="shared" si="42"/>
        <v>0</v>
      </c>
      <c r="W934">
        <f t="shared" si="43"/>
        <v>0</v>
      </c>
      <c r="X934" t="str">
        <f t="shared" si="44"/>
        <v>MATCH</v>
      </c>
    </row>
    <row r="935" spans="1:24" x14ac:dyDescent="0.3">
      <c r="A935">
        <v>77</v>
      </c>
      <c r="B935" t="s">
        <v>18</v>
      </c>
      <c r="C935">
        <v>819048.34</v>
      </c>
      <c r="D935" t="s">
        <v>1876</v>
      </c>
      <c r="E935">
        <v>819048.34</v>
      </c>
      <c r="F935">
        <v>0</v>
      </c>
      <c r="G935" t="s">
        <v>1877</v>
      </c>
      <c r="H935">
        <v>1104098.69</v>
      </c>
      <c r="I935">
        <v>1923147.03</v>
      </c>
      <c r="J935">
        <v>1</v>
      </c>
      <c r="K935">
        <v>0</v>
      </c>
      <c r="L935">
        <v>5</v>
      </c>
      <c r="M935">
        <v>0</v>
      </c>
      <c r="N935">
        <v>1</v>
      </c>
      <c r="O935">
        <v>819048.34</v>
      </c>
      <c r="P935">
        <v>5</v>
      </c>
      <c r="Q935">
        <v>4</v>
      </c>
      <c r="R935">
        <v>3.8000000000000003</v>
      </c>
      <c r="S935" t="s">
        <v>2310</v>
      </c>
      <c r="V935">
        <f t="shared" si="42"/>
        <v>0</v>
      </c>
      <c r="W935">
        <f t="shared" si="43"/>
        <v>0</v>
      </c>
      <c r="X935" t="str">
        <f t="shared" si="44"/>
        <v>MATCH</v>
      </c>
    </row>
    <row r="936" spans="1:24" x14ac:dyDescent="0.3">
      <c r="A936">
        <v>77</v>
      </c>
      <c r="B936" t="s">
        <v>15</v>
      </c>
      <c r="C936">
        <v>9039246.8200000003</v>
      </c>
      <c r="D936" t="s">
        <v>1878</v>
      </c>
      <c r="E936">
        <v>9039246.8200000003</v>
      </c>
      <c r="F936">
        <v>0</v>
      </c>
      <c r="G936" t="s">
        <v>1879</v>
      </c>
      <c r="H936">
        <v>0</v>
      </c>
      <c r="I936">
        <v>0</v>
      </c>
      <c r="J936">
        <v>1</v>
      </c>
      <c r="K936">
        <v>0</v>
      </c>
      <c r="L936">
        <v>5</v>
      </c>
      <c r="M936">
        <v>0</v>
      </c>
      <c r="N936">
        <v>1</v>
      </c>
      <c r="O936">
        <v>9039246.8200000003</v>
      </c>
      <c r="P936">
        <v>5</v>
      </c>
      <c r="Q936">
        <v>5</v>
      </c>
      <c r="R936">
        <v>4.0999999999999996</v>
      </c>
      <c r="S936" t="s">
        <v>2310</v>
      </c>
      <c r="V936">
        <f t="shared" si="42"/>
        <v>0</v>
      </c>
      <c r="W936">
        <f t="shared" si="43"/>
        <v>0</v>
      </c>
      <c r="X936" t="str">
        <f t="shared" si="44"/>
        <v>MATCH</v>
      </c>
    </row>
    <row r="937" spans="1:24" x14ac:dyDescent="0.3">
      <c r="A937">
        <v>77</v>
      </c>
      <c r="B937" t="s">
        <v>18</v>
      </c>
      <c r="C937">
        <v>9039246.8200000003</v>
      </c>
      <c r="D937" t="s">
        <v>1880</v>
      </c>
      <c r="E937">
        <v>9039246.8200000003</v>
      </c>
      <c r="F937">
        <v>0</v>
      </c>
      <c r="G937" t="s">
        <v>1881</v>
      </c>
      <c r="H937">
        <v>464686.69</v>
      </c>
      <c r="I937">
        <v>9503933.5099999998</v>
      </c>
      <c r="J937">
        <v>1</v>
      </c>
      <c r="K937">
        <v>0</v>
      </c>
      <c r="L937">
        <v>5</v>
      </c>
      <c r="M937">
        <v>0</v>
      </c>
      <c r="N937">
        <v>1</v>
      </c>
      <c r="O937">
        <v>9039246.8200000003</v>
      </c>
      <c r="P937">
        <v>5</v>
      </c>
      <c r="Q937">
        <v>4</v>
      </c>
      <c r="R937">
        <v>3.8000000000000003</v>
      </c>
      <c r="S937" t="s">
        <v>2310</v>
      </c>
      <c r="V937">
        <f t="shared" si="42"/>
        <v>0</v>
      </c>
      <c r="W937">
        <f t="shared" si="43"/>
        <v>0</v>
      </c>
      <c r="X937" t="str">
        <f t="shared" si="44"/>
        <v>MATCH</v>
      </c>
    </row>
    <row r="938" spans="1:24" x14ac:dyDescent="0.3">
      <c r="A938">
        <v>77</v>
      </c>
      <c r="B938" t="s">
        <v>15</v>
      </c>
      <c r="C938">
        <v>239473.85</v>
      </c>
      <c r="D938" t="s">
        <v>1882</v>
      </c>
      <c r="E938">
        <v>239473.85</v>
      </c>
      <c r="F938">
        <v>0</v>
      </c>
      <c r="G938" t="s">
        <v>1883</v>
      </c>
      <c r="H938">
        <v>0</v>
      </c>
      <c r="I938">
        <v>0</v>
      </c>
      <c r="J938">
        <v>1</v>
      </c>
      <c r="K938">
        <v>0</v>
      </c>
      <c r="L938">
        <v>5</v>
      </c>
      <c r="M938">
        <v>0</v>
      </c>
      <c r="N938">
        <v>1</v>
      </c>
      <c r="O938">
        <v>239473.85</v>
      </c>
      <c r="P938">
        <v>5</v>
      </c>
      <c r="Q938">
        <v>5</v>
      </c>
      <c r="R938">
        <v>4.0999999999999996</v>
      </c>
      <c r="S938" t="s">
        <v>2310</v>
      </c>
      <c r="V938">
        <f t="shared" si="42"/>
        <v>0</v>
      </c>
      <c r="W938">
        <f t="shared" si="43"/>
        <v>0</v>
      </c>
      <c r="X938" t="str">
        <f t="shared" si="44"/>
        <v>MATCH</v>
      </c>
    </row>
    <row r="939" spans="1:24" x14ac:dyDescent="0.3">
      <c r="A939">
        <v>77</v>
      </c>
      <c r="B939" t="s">
        <v>18</v>
      </c>
      <c r="C939">
        <v>239473.85</v>
      </c>
      <c r="D939" t="s">
        <v>1884</v>
      </c>
      <c r="E939">
        <v>239473.85</v>
      </c>
      <c r="F939">
        <v>0</v>
      </c>
      <c r="G939" t="s">
        <v>1885</v>
      </c>
      <c r="H939">
        <v>729245.09</v>
      </c>
      <c r="I939">
        <v>968718.94</v>
      </c>
      <c r="J939">
        <v>1</v>
      </c>
      <c r="K939">
        <v>0</v>
      </c>
      <c r="L939">
        <v>5</v>
      </c>
      <c r="M939">
        <v>0</v>
      </c>
      <c r="N939">
        <v>1</v>
      </c>
      <c r="O939">
        <v>239473.85</v>
      </c>
      <c r="P939">
        <v>5</v>
      </c>
      <c r="Q939">
        <v>4</v>
      </c>
      <c r="R939">
        <v>3.8000000000000003</v>
      </c>
      <c r="S939" t="s">
        <v>2310</v>
      </c>
      <c r="V939">
        <f t="shared" si="42"/>
        <v>0</v>
      </c>
      <c r="W939">
        <f t="shared" si="43"/>
        <v>0</v>
      </c>
      <c r="X939" t="str">
        <f t="shared" si="44"/>
        <v>MATCH</v>
      </c>
    </row>
    <row r="940" spans="1:24" x14ac:dyDescent="0.3">
      <c r="A940">
        <v>77</v>
      </c>
      <c r="B940" t="s">
        <v>15</v>
      </c>
      <c r="C940">
        <v>5715004.2999999998</v>
      </c>
      <c r="D940" t="s">
        <v>1886</v>
      </c>
      <c r="E940">
        <v>5715004.2999999998</v>
      </c>
      <c r="F940">
        <v>0</v>
      </c>
      <c r="G940" t="s">
        <v>1887</v>
      </c>
      <c r="H940">
        <v>0</v>
      </c>
      <c r="I940">
        <v>0</v>
      </c>
      <c r="J940">
        <v>1</v>
      </c>
      <c r="K940">
        <v>0</v>
      </c>
      <c r="L940">
        <v>5</v>
      </c>
      <c r="M940">
        <v>0</v>
      </c>
      <c r="N940">
        <v>1</v>
      </c>
      <c r="O940">
        <v>5715004.2999999998</v>
      </c>
      <c r="P940">
        <v>5</v>
      </c>
      <c r="Q940">
        <v>5</v>
      </c>
      <c r="R940">
        <v>4.0999999999999996</v>
      </c>
      <c r="S940" t="s">
        <v>2310</v>
      </c>
      <c r="V940">
        <f t="shared" si="42"/>
        <v>0</v>
      </c>
      <c r="W940">
        <f t="shared" si="43"/>
        <v>0</v>
      </c>
      <c r="X940" t="str">
        <f t="shared" si="44"/>
        <v>MATCH</v>
      </c>
    </row>
    <row r="941" spans="1:24" x14ac:dyDescent="0.3">
      <c r="A941">
        <v>77</v>
      </c>
      <c r="B941" t="s">
        <v>18</v>
      </c>
      <c r="C941">
        <v>5715004.2999999998</v>
      </c>
      <c r="D941" t="s">
        <v>1888</v>
      </c>
      <c r="E941">
        <v>5715004.2999999998</v>
      </c>
      <c r="F941">
        <v>0</v>
      </c>
      <c r="G941" t="s">
        <v>1889</v>
      </c>
      <c r="H941">
        <v>318309.23</v>
      </c>
      <c r="I941">
        <v>6033313.5300000003</v>
      </c>
      <c r="J941">
        <v>1</v>
      </c>
      <c r="K941">
        <v>0</v>
      </c>
      <c r="L941">
        <v>5</v>
      </c>
      <c r="M941">
        <v>0</v>
      </c>
      <c r="N941">
        <v>1</v>
      </c>
      <c r="O941">
        <v>5715004.2999999998</v>
      </c>
      <c r="P941">
        <v>5</v>
      </c>
      <c r="Q941">
        <v>4</v>
      </c>
      <c r="R941">
        <v>3.8000000000000003</v>
      </c>
      <c r="S941" t="s">
        <v>2310</v>
      </c>
      <c r="V941">
        <f t="shared" si="42"/>
        <v>0</v>
      </c>
      <c r="W941">
        <f t="shared" si="43"/>
        <v>0</v>
      </c>
      <c r="X941" t="str">
        <f t="shared" si="44"/>
        <v>MATCH</v>
      </c>
    </row>
    <row r="942" spans="1:24" x14ac:dyDescent="0.3">
      <c r="A942">
        <v>77</v>
      </c>
      <c r="B942" t="s">
        <v>15</v>
      </c>
      <c r="C942">
        <v>2149976.69</v>
      </c>
      <c r="D942" t="s">
        <v>1890</v>
      </c>
      <c r="E942">
        <v>2149976.69</v>
      </c>
      <c r="F942">
        <v>0</v>
      </c>
      <c r="G942" t="s">
        <v>1891</v>
      </c>
      <c r="H942">
        <v>0</v>
      </c>
      <c r="I942">
        <v>0</v>
      </c>
      <c r="J942">
        <v>1</v>
      </c>
      <c r="K942">
        <v>0</v>
      </c>
      <c r="L942">
        <v>5</v>
      </c>
      <c r="M942">
        <v>0</v>
      </c>
      <c r="N942">
        <v>1</v>
      </c>
      <c r="O942">
        <v>2149976.69</v>
      </c>
      <c r="P942">
        <v>5</v>
      </c>
      <c r="Q942">
        <v>5</v>
      </c>
      <c r="R942">
        <v>4.0999999999999996</v>
      </c>
      <c r="S942" t="s">
        <v>2310</v>
      </c>
      <c r="V942">
        <f t="shared" si="42"/>
        <v>0</v>
      </c>
      <c r="W942">
        <f t="shared" si="43"/>
        <v>0</v>
      </c>
      <c r="X942" t="str">
        <f t="shared" si="44"/>
        <v>MATCH</v>
      </c>
    </row>
    <row r="943" spans="1:24" x14ac:dyDescent="0.3">
      <c r="A943">
        <v>77</v>
      </c>
      <c r="B943" t="s">
        <v>18</v>
      </c>
      <c r="C943">
        <v>2149976.69</v>
      </c>
      <c r="D943" t="s">
        <v>1892</v>
      </c>
      <c r="E943">
        <v>2149976.69</v>
      </c>
      <c r="F943">
        <v>0</v>
      </c>
      <c r="G943" t="s">
        <v>1893</v>
      </c>
      <c r="H943">
        <v>0</v>
      </c>
      <c r="I943">
        <v>2149976.69</v>
      </c>
      <c r="J943">
        <v>1</v>
      </c>
      <c r="K943">
        <v>0</v>
      </c>
      <c r="L943">
        <v>5</v>
      </c>
      <c r="M943">
        <v>0</v>
      </c>
      <c r="N943">
        <v>1</v>
      </c>
      <c r="O943">
        <v>2149976.69</v>
      </c>
      <c r="P943">
        <v>5</v>
      </c>
      <c r="Q943">
        <v>4</v>
      </c>
      <c r="R943">
        <v>3.8000000000000003</v>
      </c>
      <c r="S943" t="s">
        <v>2310</v>
      </c>
      <c r="V943">
        <f t="shared" si="42"/>
        <v>0</v>
      </c>
      <c r="W943">
        <f t="shared" si="43"/>
        <v>0</v>
      </c>
      <c r="X943" t="str">
        <f t="shared" si="44"/>
        <v>MATCH</v>
      </c>
    </row>
    <row r="944" spans="1:24" x14ac:dyDescent="0.3">
      <c r="A944">
        <v>78</v>
      </c>
      <c r="B944" t="s">
        <v>15</v>
      </c>
      <c r="C944">
        <v>1321091.25</v>
      </c>
      <c r="D944" t="s">
        <v>1894</v>
      </c>
      <c r="E944">
        <v>1321091.25</v>
      </c>
      <c r="F944">
        <v>0</v>
      </c>
      <c r="G944" t="s">
        <v>1895</v>
      </c>
      <c r="H944">
        <v>0</v>
      </c>
      <c r="I944">
        <v>0</v>
      </c>
      <c r="J944">
        <v>1</v>
      </c>
      <c r="K944">
        <v>0</v>
      </c>
      <c r="L944">
        <v>6</v>
      </c>
      <c r="M944">
        <v>0</v>
      </c>
      <c r="N944">
        <v>1</v>
      </c>
      <c r="O944">
        <v>1321091.25</v>
      </c>
      <c r="P944">
        <v>5</v>
      </c>
      <c r="Q944">
        <v>5</v>
      </c>
      <c r="R944">
        <v>4.0999999999999996</v>
      </c>
      <c r="S944" t="s">
        <v>2310</v>
      </c>
      <c r="V944">
        <f t="shared" si="42"/>
        <v>0</v>
      </c>
      <c r="W944">
        <f t="shared" si="43"/>
        <v>0</v>
      </c>
      <c r="X944" t="str">
        <f t="shared" si="44"/>
        <v>MATCH</v>
      </c>
    </row>
    <row r="945" spans="1:24" x14ac:dyDescent="0.3">
      <c r="A945">
        <v>78</v>
      </c>
      <c r="B945" t="s">
        <v>18</v>
      </c>
      <c r="C945">
        <v>1321091.25</v>
      </c>
      <c r="D945" t="s">
        <v>1896</v>
      </c>
      <c r="E945">
        <v>1321091.25</v>
      </c>
      <c r="F945">
        <v>0</v>
      </c>
      <c r="G945" t="s">
        <v>1897</v>
      </c>
      <c r="H945">
        <v>0</v>
      </c>
      <c r="I945">
        <v>1321091.25</v>
      </c>
      <c r="J945">
        <v>1</v>
      </c>
      <c r="K945">
        <v>0</v>
      </c>
      <c r="L945">
        <v>6</v>
      </c>
      <c r="M945">
        <v>0</v>
      </c>
      <c r="N945">
        <v>1</v>
      </c>
      <c r="O945">
        <v>1321091.25</v>
      </c>
      <c r="P945">
        <v>5</v>
      </c>
      <c r="Q945">
        <v>4</v>
      </c>
      <c r="R945">
        <v>3.8000000000000003</v>
      </c>
      <c r="S945" t="s">
        <v>2310</v>
      </c>
      <c r="V945">
        <f t="shared" si="42"/>
        <v>0</v>
      </c>
      <c r="W945">
        <f t="shared" si="43"/>
        <v>0</v>
      </c>
      <c r="X945" t="str">
        <f t="shared" si="44"/>
        <v>MATCH</v>
      </c>
    </row>
    <row r="946" spans="1:24" x14ac:dyDescent="0.3">
      <c r="A946">
        <v>78</v>
      </c>
      <c r="B946" t="s">
        <v>15</v>
      </c>
      <c r="C946">
        <v>113829.89</v>
      </c>
      <c r="D946" t="s">
        <v>1898</v>
      </c>
      <c r="E946">
        <v>113829.89</v>
      </c>
      <c r="F946">
        <v>0</v>
      </c>
      <c r="G946" t="s">
        <v>1899</v>
      </c>
      <c r="H946">
        <v>0</v>
      </c>
      <c r="I946">
        <v>0</v>
      </c>
      <c r="J946">
        <v>1</v>
      </c>
      <c r="K946">
        <v>0</v>
      </c>
      <c r="L946">
        <v>6</v>
      </c>
      <c r="M946">
        <v>0</v>
      </c>
      <c r="N946">
        <v>1</v>
      </c>
      <c r="O946">
        <v>113829.89</v>
      </c>
      <c r="P946">
        <v>4</v>
      </c>
      <c r="Q946">
        <v>5</v>
      </c>
      <c r="R946">
        <v>3.6</v>
      </c>
      <c r="S946" t="s">
        <v>2310</v>
      </c>
      <c r="V946">
        <f t="shared" si="42"/>
        <v>0</v>
      </c>
      <c r="W946">
        <f t="shared" si="43"/>
        <v>0</v>
      </c>
      <c r="X946" t="str">
        <f t="shared" si="44"/>
        <v>MATCH</v>
      </c>
    </row>
    <row r="947" spans="1:24" x14ac:dyDescent="0.3">
      <c r="A947">
        <v>78</v>
      </c>
      <c r="B947" t="s">
        <v>18</v>
      </c>
      <c r="C947">
        <v>113829.89</v>
      </c>
      <c r="D947" t="s">
        <v>1900</v>
      </c>
      <c r="E947">
        <v>113829.89</v>
      </c>
      <c r="F947">
        <v>0</v>
      </c>
      <c r="G947" t="s">
        <v>1901</v>
      </c>
      <c r="H947">
        <v>0</v>
      </c>
      <c r="I947">
        <v>113829.89</v>
      </c>
      <c r="J947">
        <v>1</v>
      </c>
      <c r="K947">
        <v>0</v>
      </c>
      <c r="L947">
        <v>6</v>
      </c>
      <c r="M947">
        <v>0</v>
      </c>
      <c r="N947">
        <v>1</v>
      </c>
      <c r="O947">
        <v>113829.89</v>
      </c>
      <c r="P947">
        <v>4</v>
      </c>
      <c r="Q947">
        <v>4</v>
      </c>
      <c r="R947">
        <v>3.3000000000000003</v>
      </c>
      <c r="S947" t="s">
        <v>2310</v>
      </c>
      <c r="V947">
        <f t="shared" si="42"/>
        <v>0</v>
      </c>
      <c r="W947">
        <f t="shared" si="43"/>
        <v>0</v>
      </c>
      <c r="X947" t="str">
        <f t="shared" si="44"/>
        <v>MATCH</v>
      </c>
    </row>
    <row r="948" spans="1:24" x14ac:dyDescent="0.3">
      <c r="A948">
        <v>78</v>
      </c>
      <c r="B948" t="s">
        <v>15</v>
      </c>
      <c r="C948">
        <v>178569.48</v>
      </c>
      <c r="D948" t="s">
        <v>1902</v>
      </c>
      <c r="E948">
        <v>178569.48</v>
      </c>
      <c r="F948">
        <v>0</v>
      </c>
      <c r="G948" t="s">
        <v>1903</v>
      </c>
      <c r="H948">
        <v>0</v>
      </c>
      <c r="I948">
        <v>0</v>
      </c>
      <c r="J948">
        <v>1</v>
      </c>
      <c r="K948">
        <v>0</v>
      </c>
      <c r="L948">
        <v>6</v>
      </c>
      <c r="M948">
        <v>0</v>
      </c>
      <c r="N948">
        <v>1</v>
      </c>
      <c r="O948">
        <v>178569.48</v>
      </c>
      <c r="P948">
        <v>4</v>
      </c>
      <c r="Q948">
        <v>5</v>
      </c>
      <c r="R948">
        <v>3.6</v>
      </c>
      <c r="S948" t="s">
        <v>2310</v>
      </c>
      <c r="V948">
        <f t="shared" si="42"/>
        <v>0</v>
      </c>
      <c r="W948">
        <f t="shared" si="43"/>
        <v>0</v>
      </c>
      <c r="X948" t="str">
        <f t="shared" si="44"/>
        <v>MATCH</v>
      </c>
    </row>
    <row r="949" spans="1:24" x14ac:dyDescent="0.3">
      <c r="A949">
        <v>78</v>
      </c>
      <c r="B949" t="s">
        <v>18</v>
      </c>
      <c r="C949">
        <v>178569.48</v>
      </c>
      <c r="D949" t="s">
        <v>1904</v>
      </c>
      <c r="E949">
        <v>178569.48</v>
      </c>
      <c r="F949">
        <v>0</v>
      </c>
      <c r="G949" t="s">
        <v>1905</v>
      </c>
      <c r="H949">
        <v>263128.53000000003</v>
      </c>
      <c r="I949">
        <v>441698.01</v>
      </c>
      <c r="J949">
        <v>1</v>
      </c>
      <c r="K949">
        <v>0</v>
      </c>
      <c r="L949">
        <v>6</v>
      </c>
      <c r="M949">
        <v>0</v>
      </c>
      <c r="N949">
        <v>1</v>
      </c>
      <c r="O949">
        <v>178569.48</v>
      </c>
      <c r="P949">
        <v>4</v>
      </c>
      <c r="Q949">
        <v>4</v>
      </c>
      <c r="R949">
        <v>3.3000000000000003</v>
      </c>
      <c r="S949" t="s">
        <v>2310</v>
      </c>
      <c r="V949">
        <f t="shared" si="42"/>
        <v>0</v>
      </c>
      <c r="W949">
        <f t="shared" si="43"/>
        <v>0</v>
      </c>
      <c r="X949" t="str">
        <f t="shared" si="44"/>
        <v>MATCH</v>
      </c>
    </row>
    <row r="950" spans="1:24" x14ac:dyDescent="0.3">
      <c r="A950">
        <v>78</v>
      </c>
      <c r="B950" t="s">
        <v>15</v>
      </c>
      <c r="C950">
        <v>1735647.47</v>
      </c>
      <c r="D950" t="s">
        <v>1906</v>
      </c>
      <c r="E950">
        <v>1735647.47</v>
      </c>
      <c r="F950">
        <v>0</v>
      </c>
      <c r="G950" t="s">
        <v>1907</v>
      </c>
      <c r="H950">
        <v>0</v>
      </c>
      <c r="I950">
        <v>0</v>
      </c>
      <c r="J950">
        <v>1</v>
      </c>
      <c r="K950">
        <v>0</v>
      </c>
      <c r="L950">
        <v>6</v>
      </c>
      <c r="M950">
        <v>0</v>
      </c>
      <c r="N950">
        <v>1</v>
      </c>
      <c r="O950">
        <v>1735647.47</v>
      </c>
      <c r="P950">
        <v>5</v>
      </c>
      <c r="Q950">
        <v>5</v>
      </c>
      <c r="R950">
        <v>4.0999999999999996</v>
      </c>
      <c r="S950" t="s">
        <v>2310</v>
      </c>
      <c r="V950">
        <f t="shared" si="42"/>
        <v>0</v>
      </c>
      <c r="W950">
        <f t="shared" si="43"/>
        <v>0</v>
      </c>
      <c r="X950" t="str">
        <f t="shared" si="44"/>
        <v>MATCH</v>
      </c>
    </row>
    <row r="951" spans="1:24" x14ac:dyDescent="0.3">
      <c r="A951">
        <v>78</v>
      </c>
      <c r="B951" t="s">
        <v>18</v>
      </c>
      <c r="C951">
        <v>1735647.47</v>
      </c>
      <c r="D951" t="s">
        <v>1908</v>
      </c>
      <c r="E951">
        <v>1735647.47</v>
      </c>
      <c r="F951">
        <v>0</v>
      </c>
      <c r="G951" t="s">
        <v>1909</v>
      </c>
      <c r="H951">
        <v>0</v>
      </c>
      <c r="I951">
        <v>1735647.47</v>
      </c>
      <c r="J951">
        <v>1</v>
      </c>
      <c r="K951">
        <v>0</v>
      </c>
      <c r="L951">
        <v>6</v>
      </c>
      <c r="M951">
        <v>0</v>
      </c>
      <c r="N951">
        <v>1</v>
      </c>
      <c r="O951">
        <v>1735647.47</v>
      </c>
      <c r="P951">
        <v>5</v>
      </c>
      <c r="Q951">
        <v>4</v>
      </c>
      <c r="R951">
        <v>3.8000000000000003</v>
      </c>
      <c r="S951" t="s">
        <v>2310</v>
      </c>
      <c r="V951">
        <f t="shared" si="42"/>
        <v>0</v>
      </c>
      <c r="W951">
        <f t="shared" si="43"/>
        <v>0</v>
      </c>
      <c r="X951" t="str">
        <f t="shared" si="44"/>
        <v>MATCH</v>
      </c>
    </row>
    <row r="952" spans="1:24" x14ac:dyDescent="0.3">
      <c r="A952">
        <v>78</v>
      </c>
      <c r="B952" t="s">
        <v>15</v>
      </c>
      <c r="C952">
        <v>2254934.36</v>
      </c>
      <c r="D952" t="s">
        <v>1910</v>
      </c>
      <c r="E952">
        <v>2254934.36</v>
      </c>
      <c r="F952">
        <v>0</v>
      </c>
      <c r="G952" t="s">
        <v>1911</v>
      </c>
      <c r="H952">
        <v>0</v>
      </c>
      <c r="I952">
        <v>0</v>
      </c>
      <c r="J952">
        <v>1</v>
      </c>
      <c r="K952">
        <v>0</v>
      </c>
      <c r="L952">
        <v>6</v>
      </c>
      <c r="M952">
        <v>0</v>
      </c>
      <c r="N952">
        <v>1</v>
      </c>
      <c r="O952">
        <v>2254934.36</v>
      </c>
      <c r="P952">
        <v>5</v>
      </c>
      <c r="Q952">
        <v>5</v>
      </c>
      <c r="R952">
        <v>4.0999999999999996</v>
      </c>
      <c r="S952" t="s">
        <v>2310</v>
      </c>
      <c r="V952">
        <f t="shared" si="42"/>
        <v>0</v>
      </c>
      <c r="W952">
        <f t="shared" si="43"/>
        <v>0</v>
      </c>
      <c r="X952" t="str">
        <f t="shared" si="44"/>
        <v>MATCH</v>
      </c>
    </row>
    <row r="953" spans="1:24" x14ac:dyDescent="0.3">
      <c r="A953">
        <v>78</v>
      </c>
      <c r="B953" t="s">
        <v>18</v>
      </c>
      <c r="C953">
        <v>2254934.36</v>
      </c>
      <c r="D953" t="s">
        <v>1912</v>
      </c>
      <c r="E953">
        <v>2254934.36</v>
      </c>
      <c r="F953">
        <v>0</v>
      </c>
      <c r="G953" t="s">
        <v>1913</v>
      </c>
      <c r="H953">
        <v>364128.61</v>
      </c>
      <c r="I953">
        <v>2619062.9700000002</v>
      </c>
      <c r="J953">
        <v>1</v>
      </c>
      <c r="K953">
        <v>0</v>
      </c>
      <c r="L953">
        <v>6</v>
      </c>
      <c r="M953">
        <v>0</v>
      </c>
      <c r="N953">
        <v>1</v>
      </c>
      <c r="O953">
        <v>2254934.36</v>
      </c>
      <c r="P953">
        <v>5</v>
      </c>
      <c r="Q953">
        <v>4</v>
      </c>
      <c r="R953">
        <v>3.8000000000000003</v>
      </c>
      <c r="S953" t="s">
        <v>2310</v>
      </c>
      <c r="V953">
        <f t="shared" si="42"/>
        <v>0</v>
      </c>
      <c r="W953">
        <f t="shared" si="43"/>
        <v>0</v>
      </c>
      <c r="X953" t="str">
        <f t="shared" si="44"/>
        <v>MATCH</v>
      </c>
    </row>
    <row r="954" spans="1:24" x14ac:dyDescent="0.3">
      <c r="A954">
        <v>79</v>
      </c>
      <c r="B954" t="s">
        <v>15</v>
      </c>
      <c r="C954">
        <v>353045.35</v>
      </c>
      <c r="D954" t="s">
        <v>1914</v>
      </c>
      <c r="E954">
        <v>353045.35</v>
      </c>
      <c r="F954">
        <v>0</v>
      </c>
      <c r="G954" t="s">
        <v>1915</v>
      </c>
      <c r="H954">
        <v>0</v>
      </c>
      <c r="I954">
        <v>0</v>
      </c>
      <c r="J954">
        <v>1</v>
      </c>
      <c r="K954">
        <v>0</v>
      </c>
      <c r="L954">
        <v>7</v>
      </c>
      <c r="M954">
        <v>0</v>
      </c>
      <c r="N954">
        <v>1</v>
      </c>
      <c r="O954">
        <v>353045.35</v>
      </c>
      <c r="P954">
        <v>5</v>
      </c>
      <c r="Q954">
        <v>5</v>
      </c>
      <c r="R954">
        <v>4.0999999999999996</v>
      </c>
      <c r="S954" t="s">
        <v>2310</v>
      </c>
      <c r="V954">
        <f t="shared" si="42"/>
        <v>0</v>
      </c>
      <c r="W954">
        <f t="shared" si="43"/>
        <v>0</v>
      </c>
      <c r="X954" t="str">
        <f t="shared" si="44"/>
        <v>MATCH</v>
      </c>
    </row>
    <row r="955" spans="1:24" x14ac:dyDescent="0.3">
      <c r="A955">
        <v>79</v>
      </c>
      <c r="B955" t="s">
        <v>18</v>
      </c>
      <c r="C955">
        <v>353045.35</v>
      </c>
      <c r="D955" t="s">
        <v>1916</v>
      </c>
      <c r="E955">
        <v>353045.35</v>
      </c>
      <c r="F955">
        <v>0</v>
      </c>
      <c r="G955" t="s">
        <v>1917</v>
      </c>
      <c r="H955">
        <v>981978.74</v>
      </c>
      <c r="I955">
        <v>1335024.0900000001</v>
      </c>
      <c r="J955">
        <v>1</v>
      </c>
      <c r="K955">
        <v>0</v>
      </c>
      <c r="L955">
        <v>7</v>
      </c>
      <c r="M955">
        <v>0</v>
      </c>
      <c r="N955">
        <v>1</v>
      </c>
      <c r="O955">
        <v>353045.35</v>
      </c>
      <c r="P955">
        <v>5</v>
      </c>
      <c r="Q955">
        <v>4</v>
      </c>
      <c r="R955">
        <v>3.8000000000000003</v>
      </c>
      <c r="S955" t="s">
        <v>2310</v>
      </c>
      <c r="V955">
        <f t="shared" si="42"/>
        <v>0</v>
      </c>
      <c r="W955">
        <f t="shared" si="43"/>
        <v>0</v>
      </c>
      <c r="X955" t="str">
        <f t="shared" si="44"/>
        <v>MATCH</v>
      </c>
    </row>
    <row r="956" spans="1:24" x14ac:dyDescent="0.3">
      <c r="A956">
        <v>79</v>
      </c>
      <c r="B956" t="s">
        <v>15</v>
      </c>
      <c r="C956">
        <v>1619331.51</v>
      </c>
      <c r="D956" t="s">
        <v>1918</v>
      </c>
      <c r="E956">
        <v>1619331.51</v>
      </c>
      <c r="F956">
        <v>0</v>
      </c>
      <c r="G956" t="s">
        <v>1919</v>
      </c>
      <c r="H956">
        <v>0</v>
      </c>
      <c r="I956">
        <v>0</v>
      </c>
      <c r="J956">
        <v>1</v>
      </c>
      <c r="K956">
        <v>0</v>
      </c>
      <c r="L956">
        <v>7</v>
      </c>
      <c r="M956">
        <v>0</v>
      </c>
      <c r="N956">
        <v>1</v>
      </c>
      <c r="O956">
        <v>1619331.51</v>
      </c>
      <c r="P956">
        <v>5</v>
      </c>
      <c r="Q956">
        <v>5</v>
      </c>
      <c r="R956">
        <v>4.0999999999999996</v>
      </c>
      <c r="S956" t="s">
        <v>2310</v>
      </c>
      <c r="V956">
        <f t="shared" si="42"/>
        <v>0</v>
      </c>
      <c r="W956">
        <f t="shared" si="43"/>
        <v>0</v>
      </c>
      <c r="X956" t="str">
        <f t="shared" si="44"/>
        <v>MATCH</v>
      </c>
    </row>
    <row r="957" spans="1:24" x14ac:dyDescent="0.3">
      <c r="A957">
        <v>79</v>
      </c>
      <c r="B957" t="s">
        <v>18</v>
      </c>
      <c r="C957">
        <v>1619331.51</v>
      </c>
      <c r="D957" t="s">
        <v>1920</v>
      </c>
      <c r="E957">
        <v>1619331.51</v>
      </c>
      <c r="F957">
        <v>0</v>
      </c>
      <c r="G957" t="s">
        <v>1921</v>
      </c>
      <c r="H957">
        <v>0</v>
      </c>
      <c r="I957">
        <v>1619331.51</v>
      </c>
      <c r="J957">
        <v>1</v>
      </c>
      <c r="K957">
        <v>0</v>
      </c>
      <c r="L957">
        <v>7</v>
      </c>
      <c r="M957">
        <v>0</v>
      </c>
      <c r="N957">
        <v>1</v>
      </c>
      <c r="O957">
        <v>1619331.51</v>
      </c>
      <c r="P957">
        <v>5</v>
      </c>
      <c r="Q957">
        <v>4</v>
      </c>
      <c r="R957">
        <v>3.8000000000000003</v>
      </c>
      <c r="S957" t="s">
        <v>2310</v>
      </c>
      <c r="V957">
        <f t="shared" si="42"/>
        <v>0</v>
      </c>
      <c r="W957">
        <f t="shared" si="43"/>
        <v>0</v>
      </c>
      <c r="X957" t="str">
        <f t="shared" si="44"/>
        <v>MATCH</v>
      </c>
    </row>
    <row r="958" spans="1:24" x14ac:dyDescent="0.3">
      <c r="A958">
        <v>79</v>
      </c>
      <c r="B958" t="s">
        <v>15</v>
      </c>
      <c r="C958">
        <v>61178.51</v>
      </c>
      <c r="D958" t="s">
        <v>1922</v>
      </c>
      <c r="E958">
        <v>61178.51</v>
      </c>
      <c r="F958">
        <v>0</v>
      </c>
      <c r="G958" t="s">
        <v>1923</v>
      </c>
      <c r="H958">
        <v>0</v>
      </c>
      <c r="I958">
        <v>0</v>
      </c>
      <c r="J958">
        <v>1</v>
      </c>
      <c r="K958">
        <v>0</v>
      </c>
      <c r="L958">
        <v>7</v>
      </c>
      <c r="M958">
        <v>0</v>
      </c>
      <c r="N958">
        <v>1</v>
      </c>
      <c r="O958">
        <v>61178.51</v>
      </c>
      <c r="P958">
        <v>3</v>
      </c>
      <c r="Q958">
        <v>5</v>
      </c>
      <c r="R958">
        <v>3.1</v>
      </c>
      <c r="S958" t="s">
        <v>2310</v>
      </c>
      <c r="V958">
        <f t="shared" si="42"/>
        <v>0</v>
      </c>
      <c r="W958">
        <f t="shared" si="43"/>
        <v>0</v>
      </c>
      <c r="X958" t="str">
        <f t="shared" si="44"/>
        <v>MATCH</v>
      </c>
    </row>
    <row r="959" spans="1:24" x14ac:dyDescent="0.3">
      <c r="A959">
        <v>79</v>
      </c>
      <c r="B959" t="s">
        <v>18</v>
      </c>
      <c r="C959">
        <v>61178.51</v>
      </c>
      <c r="D959" t="s">
        <v>1924</v>
      </c>
      <c r="E959">
        <v>61178.51</v>
      </c>
      <c r="F959">
        <v>0</v>
      </c>
      <c r="G959" t="s">
        <v>1925</v>
      </c>
      <c r="H959">
        <v>238787.35</v>
      </c>
      <c r="I959">
        <v>299965.86</v>
      </c>
      <c r="J959">
        <v>1</v>
      </c>
      <c r="K959">
        <v>0</v>
      </c>
      <c r="L959">
        <v>7</v>
      </c>
      <c r="M959">
        <v>0</v>
      </c>
      <c r="N959">
        <v>1</v>
      </c>
      <c r="O959">
        <v>61178.51</v>
      </c>
      <c r="P959">
        <v>3</v>
      </c>
      <c r="Q959">
        <v>4</v>
      </c>
      <c r="R959">
        <v>2.8000000000000003</v>
      </c>
      <c r="S959" t="s">
        <v>2312</v>
      </c>
      <c r="V959">
        <f t="shared" si="42"/>
        <v>0</v>
      </c>
      <c r="W959">
        <f t="shared" si="43"/>
        <v>0</v>
      </c>
      <c r="X959" t="str">
        <f t="shared" si="44"/>
        <v>MATCH</v>
      </c>
    </row>
    <row r="960" spans="1:24" x14ac:dyDescent="0.3">
      <c r="A960">
        <v>79</v>
      </c>
      <c r="B960" t="s">
        <v>15</v>
      </c>
      <c r="C960">
        <v>664992.86</v>
      </c>
      <c r="D960" t="s">
        <v>1926</v>
      </c>
      <c r="E960">
        <v>664992.86</v>
      </c>
      <c r="F960">
        <v>0</v>
      </c>
      <c r="G960" t="s">
        <v>1927</v>
      </c>
      <c r="H960">
        <v>0</v>
      </c>
      <c r="I960">
        <v>0</v>
      </c>
      <c r="J960">
        <v>1</v>
      </c>
      <c r="K960">
        <v>0</v>
      </c>
      <c r="L960">
        <v>7</v>
      </c>
      <c r="M960">
        <v>0</v>
      </c>
      <c r="N960">
        <v>1</v>
      </c>
      <c r="O960">
        <v>664992.86</v>
      </c>
      <c r="P960">
        <v>5</v>
      </c>
      <c r="Q960">
        <v>5</v>
      </c>
      <c r="R960">
        <v>4.0999999999999996</v>
      </c>
      <c r="S960" t="s">
        <v>2310</v>
      </c>
      <c r="V960">
        <f t="shared" si="42"/>
        <v>0</v>
      </c>
      <c r="W960">
        <f t="shared" si="43"/>
        <v>0</v>
      </c>
      <c r="X960" t="str">
        <f t="shared" si="44"/>
        <v>MATCH</v>
      </c>
    </row>
    <row r="961" spans="1:24" x14ac:dyDescent="0.3">
      <c r="A961">
        <v>79</v>
      </c>
      <c r="B961" t="s">
        <v>18</v>
      </c>
      <c r="C961">
        <v>664992.86</v>
      </c>
      <c r="D961" t="s">
        <v>1928</v>
      </c>
      <c r="E961">
        <v>664992.86</v>
      </c>
      <c r="F961">
        <v>0</v>
      </c>
      <c r="G961" t="s">
        <v>1929</v>
      </c>
      <c r="H961">
        <v>769363.38</v>
      </c>
      <c r="I961">
        <v>1434356.23</v>
      </c>
      <c r="J961">
        <v>1</v>
      </c>
      <c r="K961">
        <v>0</v>
      </c>
      <c r="L961">
        <v>7</v>
      </c>
      <c r="M961">
        <v>0</v>
      </c>
      <c r="N961">
        <v>1</v>
      </c>
      <c r="O961">
        <v>664992.86</v>
      </c>
      <c r="P961">
        <v>5</v>
      </c>
      <c r="Q961">
        <v>4</v>
      </c>
      <c r="R961">
        <v>3.8000000000000003</v>
      </c>
      <c r="S961" t="s">
        <v>2310</v>
      </c>
      <c r="V961">
        <f t="shared" si="42"/>
        <v>0</v>
      </c>
      <c r="W961">
        <f t="shared" si="43"/>
        <v>0</v>
      </c>
      <c r="X961" t="str">
        <f t="shared" si="44"/>
        <v>MATCH</v>
      </c>
    </row>
    <row r="962" spans="1:24" x14ac:dyDescent="0.3">
      <c r="A962">
        <v>79</v>
      </c>
      <c r="B962" t="s">
        <v>15</v>
      </c>
      <c r="C962">
        <v>432254.84</v>
      </c>
      <c r="D962" t="s">
        <v>1930</v>
      </c>
      <c r="E962">
        <v>432254.84</v>
      </c>
      <c r="F962">
        <v>0</v>
      </c>
      <c r="G962" t="s">
        <v>1931</v>
      </c>
      <c r="H962">
        <v>0</v>
      </c>
      <c r="I962">
        <v>0</v>
      </c>
      <c r="J962">
        <v>1</v>
      </c>
      <c r="K962">
        <v>0</v>
      </c>
      <c r="L962">
        <v>7</v>
      </c>
      <c r="M962">
        <v>0</v>
      </c>
      <c r="N962">
        <v>1</v>
      </c>
      <c r="O962">
        <v>432254.84</v>
      </c>
      <c r="P962">
        <v>5</v>
      </c>
      <c r="Q962">
        <v>5</v>
      </c>
      <c r="R962">
        <v>4.0999999999999996</v>
      </c>
      <c r="S962" t="s">
        <v>2310</v>
      </c>
      <c r="V962">
        <f t="shared" si="42"/>
        <v>0</v>
      </c>
      <c r="W962">
        <f t="shared" si="43"/>
        <v>0</v>
      </c>
      <c r="X962" t="str">
        <f t="shared" si="44"/>
        <v>MATCH</v>
      </c>
    </row>
    <row r="963" spans="1:24" x14ac:dyDescent="0.3">
      <c r="A963">
        <v>79</v>
      </c>
      <c r="B963" t="s">
        <v>18</v>
      </c>
      <c r="C963">
        <v>432254.84</v>
      </c>
      <c r="D963" t="s">
        <v>1932</v>
      </c>
      <c r="E963">
        <v>432254.84</v>
      </c>
      <c r="F963">
        <v>0</v>
      </c>
      <c r="G963" t="s">
        <v>1933</v>
      </c>
      <c r="H963">
        <v>1300115.81</v>
      </c>
      <c r="I963">
        <v>1732370.65</v>
      </c>
      <c r="J963">
        <v>1</v>
      </c>
      <c r="K963">
        <v>0</v>
      </c>
      <c r="L963">
        <v>7</v>
      </c>
      <c r="M963">
        <v>0</v>
      </c>
      <c r="N963">
        <v>1</v>
      </c>
      <c r="O963">
        <v>432254.84</v>
      </c>
      <c r="P963">
        <v>5</v>
      </c>
      <c r="Q963">
        <v>4</v>
      </c>
      <c r="R963">
        <v>3.8000000000000003</v>
      </c>
      <c r="S963" t="s">
        <v>2310</v>
      </c>
      <c r="V963">
        <f t="shared" ref="V963:V1026" si="45">E963-C963</f>
        <v>0</v>
      </c>
      <c r="W963">
        <f t="shared" ref="W963:W1026" si="46">ABS(F963-V963)</f>
        <v>0</v>
      </c>
      <c r="X963" t="str">
        <f t="shared" ref="X963:X1026" si="47">IF(W963&lt;1,"MATCH","BREAK")</f>
        <v>MATCH</v>
      </c>
    </row>
    <row r="964" spans="1:24" x14ac:dyDescent="0.3">
      <c r="A964">
        <v>80</v>
      </c>
      <c r="B964" t="s">
        <v>15</v>
      </c>
      <c r="C964">
        <v>42659.39</v>
      </c>
      <c r="D964" t="s">
        <v>1934</v>
      </c>
      <c r="E964">
        <v>42659.39</v>
      </c>
      <c r="F964">
        <v>0</v>
      </c>
      <c r="G964" t="s">
        <v>1935</v>
      </c>
      <c r="H964">
        <v>0</v>
      </c>
      <c r="I964">
        <v>0</v>
      </c>
      <c r="J964">
        <v>1</v>
      </c>
      <c r="K964">
        <v>0</v>
      </c>
      <c r="L964">
        <v>8</v>
      </c>
      <c r="M964">
        <v>0</v>
      </c>
      <c r="N964">
        <v>1</v>
      </c>
      <c r="O964">
        <v>42659.39</v>
      </c>
      <c r="P964">
        <v>2</v>
      </c>
      <c r="Q964">
        <v>5</v>
      </c>
      <c r="R964">
        <v>2.6</v>
      </c>
      <c r="S964" t="s">
        <v>2312</v>
      </c>
      <c r="V964">
        <f t="shared" si="45"/>
        <v>0</v>
      </c>
      <c r="W964">
        <f t="shared" si="46"/>
        <v>0</v>
      </c>
      <c r="X964" t="str">
        <f t="shared" si="47"/>
        <v>MATCH</v>
      </c>
    </row>
    <row r="965" spans="1:24" x14ac:dyDescent="0.3">
      <c r="A965">
        <v>80</v>
      </c>
      <c r="B965" t="s">
        <v>18</v>
      </c>
      <c r="C965">
        <v>42659.39</v>
      </c>
      <c r="D965" t="s">
        <v>1936</v>
      </c>
      <c r="E965">
        <v>42659.39</v>
      </c>
      <c r="F965">
        <v>0</v>
      </c>
      <c r="G965" t="s">
        <v>1937</v>
      </c>
      <c r="H965">
        <v>173558.43</v>
      </c>
      <c r="I965">
        <v>216217.82</v>
      </c>
      <c r="J965">
        <v>1</v>
      </c>
      <c r="K965">
        <v>0</v>
      </c>
      <c r="L965">
        <v>8</v>
      </c>
      <c r="M965">
        <v>0</v>
      </c>
      <c r="N965">
        <v>1</v>
      </c>
      <c r="O965">
        <v>42659.39</v>
      </c>
      <c r="P965">
        <v>2</v>
      </c>
      <c r="Q965">
        <v>4</v>
      </c>
      <c r="R965">
        <v>2.3000000000000003</v>
      </c>
      <c r="S965" t="s">
        <v>2312</v>
      </c>
      <c r="V965">
        <f t="shared" si="45"/>
        <v>0</v>
      </c>
      <c r="W965">
        <f t="shared" si="46"/>
        <v>0</v>
      </c>
      <c r="X965" t="str">
        <f t="shared" si="47"/>
        <v>MATCH</v>
      </c>
    </row>
    <row r="966" spans="1:24" x14ac:dyDescent="0.3">
      <c r="A966">
        <v>80</v>
      </c>
      <c r="B966" t="s">
        <v>15</v>
      </c>
      <c r="C966">
        <v>173782.59</v>
      </c>
      <c r="D966" t="s">
        <v>1938</v>
      </c>
      <c r="E966">
        <v>173782.59</v>
      </c>
      <c r="F966">
        <v>0</v>
      </c>
      <c r="G966" t="s">
        <v>1939</v>
      </c>
      <c r="H966">
        <v>0</v>
      </c>
      <c r="I966">
        <v>0</v>
      </c>
      <c r="J966">
        <v>1</v>
      </c>
      <c r="K966">
        <v>0</v>
      </c>
      <c r="L966">
        <v>8</v>
      </c>
      <c r="M966">
        <v>0</v>
      </c>
      <c r="N966">
        <v>1</v>
      </c>
      <c r="O966">
        <v>173782.59</v>
      </c>
      <c r="P966">
        <v>4</v>
      </c>
      <c r="Q966">
        <v>5</v>
      </c>
      <c r="R966">
        <v>3.6</v>
      </c>
      <c r="S966" t="s">
        <v>2310</v>
      </c>
      <c r="V966">
        <f t="shared" si="45"/>
        <v>0</v>
      </c>
      <c r="W966">
        <f t="shared" si="46"/>
        <v>0</v>
      </c>
      <c r="X966" t="str">
        <f t="shared" si="47"/>
        <v>MATCH</v>
      </c>
    </row>
    <row r="967" spans="1:24" x14ac:dyDescent="0.3">
      <c r="A967">
        <v>80</v>
      </c>
      <c r="B967" t="s">
        <v>18</v>
      </c>
      <c r="C967">
        <v>173782.59</v>
      </c>
      <c r="D967" t="s">
        <v>1940</v>
      </c>
      <c r="E967">
        <v>173782.59</v>
      </c>
      <c r="F967">
        <v>0</v>
      </c>
      <c r="G967" t="s">
        <v>1941</v>
      </c>
      <c r="H967">
        <v>3272453.63</v>
      </c>
      <c r="I967">
        <v>3446236.22</v>
      </c>
      <c r="J967">
        <v>1</v>
      </c>
      <c r="K967">
        <v>0</v>
      </c>
      <c r="L967">
        <v>8</v>
      </c>
      <c r="M967">
        <v>0</v>
      </c>
      <c r="N967">
        <v>1</v>
      </c>
      <c r="O967">
        <v>173782.59</v>
      </c>
      <c r="P967">
        <v>4</v>
      </c>
      <c r="Q967">
        <v>4</v>
      </c>
      <c r="R967">
        <v>3.3000000000000003</v>
      </c>
      <c r="S967" t="s">
        <v>2310</v>
      </c>
      <c r="V967">
        <f t="shared" si="45"/>
        <v>0</v>
      </c>
      <c r="W967">
        <f t="shared" si="46"/>
        <v>0</v>
      </c>
      <c r="X967" t="str">
        <f t="shared" si="47"/>
        <v>MATCH</v>
      </c>
    </row>
    <row r="968" spans="1:24" x14ac:dyDescent="0.3">
      <c r="A968">
        <v>80</v>
      </c>
      <c r="B968" t="s">
        <v>15</v>
      </c>
      <c r="C968">
        <v>62134.33</v>
      </c>
      <c r="D968" t="s">
        <v>1942</v>
      </c>
      <c r="E968">
        <v>62134.33</v>
      </c>
      <c r="F968">
        <v>0</v>
      </c>
      <c r="G968" t="s">
        <v>1943</v>
      </c>
      <c r="H968">
        <v>0</v>
      </c>
      <c r="I968">
        <v>0</v>
      </c>
      <c r="J968">
        <v>1</v>
      </c>
      <c r="K968">
        <v>0</v>
      </c>
      <c r="L968">
        <v>8</v>
      </c>
      <c r="M968">
        <v>0</v>
      </c>
      <c r="N968">
        <v>1</v>
      </c>
      <c r="O968">
        <v>62134.33</v>
      </c>
      <c r="P968">
        <v>3</v>
      </c>
      <c r="Q968">
        <v>5</v>
      </c>
      <c r="R968">
        <v>3.1</v>
      </c>
      <c r="S968" t="s">
        <v>2310</v>
      </c>
      <c r="V968">
        <f t="shared" si="45"/>
        <v>0</v>
      </c>
      <c r="W968">
        <f t="shared" si="46"/>
        <v>0</v>
      </c>
      <c r="X968" t="str">
        <f t="shared" si="47"/>
        <v>MATCH</v>
      </c>
    </row>
    <row r="969" spans="1:24" x14ac:dyDescent="0.3">
      <c r="A969">
        <v>80</v>
      </c>
      <c r="B969" t="s">
        <v>18</v>
      </c>
      <c r="C969">
        <v>62134.33</v>
      </c>
      <c r="D969" t="s">
        <v>1944</v>
      </c>
      <c r="E969">
        <v>62134.33</v>
      </c>
      <c r="F969">
        <v>0</v>
      </c>
      <c r="G969" t="s">
        <v>1945</v>
      </c>
      <c r="H969">
        <v>509204.33</v>
      </c>
      <c r="I969">
        <v>571338.66</v>
      </c>
      <c r="J969">
        <v>1</v>
      </c>
      <c r="K969">
        <v>0</v>
      </c>
      <c r="L969">
        <v>8</v>
      </c>
      <c r="M969">
        <v>0</v>
      </c>
      <c r="N969">
        <v>1</v>
      </c>
      <c r="O969">
        <v>62134.33</v>
      </c>
      <c r="P969">
        <v>3</v>
      </c>
      <c r="Q969">
        <v>4</v>
      </c>
      <c r="R969">
        <v>2.8000000000000003</v>
      </c>
      <c r="S969" t="s">
        <v>2312</v>
      </c>
      <c r="V969">
        <f t="shared" si="45"/>
        <v>0</v>
      </c>
      <c r="W969">
        <f t="shared" si="46"/>
        <v>0</v>
      </c>
      <c r="X969" t="str">
        <f t="shared" si="47"/>
        <v>MATCH</v>
      </c>
    </row>
    <row r="970" spans="1:24" x14ac:dyDescent="0.3">
      <c r="A970">
        <v>80</v>
      </c>
      <c r="B970" t="s">
        <v>15</v>
      </c>
      <c r="C970">
        <v>972920.87</v>
      </c>
      <c r="D970" t="s">
        <v>1946</v>
      </c>
      <c r="E970">
        <v>972920.87</v>
      </c>
      <c r="F970">
        <v>0</v>
      </c>
      <c r="G970" t="s">
        <v>1947</v>
      </c>
      <c r="H970">
        <v>0</v>
      </c>
      <c r="I970">
        <v>0</v>
      </c>
      <c r="J970">
        <v>1</v>
      </c>
      <c r="K970">
        <v>0</v>
      </c>
      <c r="L970">
        <v>8</v>
      </c>
      <c r="M970">
        <v>0</v>
      </c>
      <c r="N970">
        <v>1</v>
      </c>
      <c r="O970">
        <v>972920.87</v>
      </c>
      <c r="P970">
        <v>5</v>
      </c>
      <c r="Q970">
        <v>5</v>
      </c>
      <c r="R970">
        <v>4.0999999999999996</v>
      </c>
      <c r="S970" t="s">
        <v>2310</v>
      </c>
      <c r="V970">
        <f t="shared" si="45"/>
        <v>0</v>
      </c>
      <c r="W970">
        <f t="shared" si="46"/>
        <v>0</v>
      </c>
      <c r="X970" t="str">
        <f t="shared" si="47"/>
        <v>MATCH</v>
      </c>
    </row>
    <row r="971" spans="1:24" x14ac:dyDescent="0.3">
      <c r="A971">
        <v>80</v>
      </c>
      <c r="B971" t="s">
        <v>18</v>
      </c>
      <c r="C971">
        <v>972920.87</v>
      </c>
      <c r="D971" t="s">
        <v>1948</v>
      </c>
      <c r="E971">
        <v>972920.87</v>
      </c>
      <c r="F971">
        <v>0</v>
      </c>
      <c r="G971" t="s">
        <v>1949</v>
      </c>
      <c r="H971">
        <v>21030.1</v>
      </c>
      <c r="I971">
        <v>993950.97</v>
      </c>
      <c r="J971">
        <v>1</v>
      </c>
      <c r="K971">
        <v>0</v>
      </c>
      <c r="L971">
        <v>8</v>
      </c>
      <c r="M971">
        <v>0</v>
      </c>
      <c r="N971">
        <v>1</v>
      </c>
      <c r="O971">
        <v>972920.87</v>
      </c>
      <c r="P971">
        <v>5</v>
      </c>
      <c r="Q971">
        <v>4</v>
      </c>
      <c r="R971">
        <v>3.8000000000000003</v>
      </c>
      <c r="S971" t="s">
        <v>2310</v>
      </c>
      <c r="V971">
        <f t="shared" si="45"/>
        <v>0</v>
      </c>
      <c r="W971">
        <f t="shared" si="46"/>
        <v>0</v>
      </c>
      <c r="X971" t="str">
        <f t="shared" si="47"/>
        <v>MATCH</v>
      </c>
    </row>
    <row r="972" spans="1:24" x14ac:dyDescent="0.3">
      <c r="A972">
        <v>80</v>
      </c>
      <c r="B972" t="s">
        <v>15</v>
      </c>
      <c r="C972">
        <v>244814.12</v>
      </c>
      <c r="D972" t="s">
        <v>1950</v>
      </c>
      <c r="E972">
        <v>244814.12</v>
      </c>
      <c r="F972">
        <v>0</v>
      </c>
      <c r="G972" t="s">
        <v>1951</v>
      </c>
      <c r="H972">
        <v>0</v>
      </c>
      <c r="I972">
        <v>0</v>
      </c>
      <c r="J972">
        <v>1</v>
      </c>
      <c r="K972">
        <v>0</v>
      </c>
      <c r="L972">
        <v>8</v>
      </c>
      <c r="M972">
        <v>0</v>
      </c>
      <c r="N972">
        <v>1</v>
      </c>
      <c r="O972">
        <v>244814.12</v>
      </c>
      <c r="P972">
        <v>5</v>
      </c>
      <c r="Q972">
        <v>5</v>
      </c>
      <c r="R972">
        <v>4.0999999999999996</v>
      </c>
      <c r="S972" t="s">
        <v>2310</v>
      </c>
      <c r="V972">
        <f t="shared" si="45"/>
        <v>0</v>
      </c>
      <c r="W972">
        <f t="shared" si="46"/>
        <v>0</v>
      </c>
      <c r="X972" t="str">
        <f t="shared" si="47"/>
        <v>MATCH</v>
      </c>
    </row>
    <row r="973" spans="1:24" x14ac:dyDescent="0.3">
      <c r="A973">
        <v>80</v>
      </c>
      <c r="B973" t="s">
        <v>18</v>
      </c>
      <c r="C973">
        <v>244814.12</v>
      </c>
      <c r="D973" t="s">
        <v>1952</v>
      </c>
      <c r="E973">
        <v>244814.12</v>
      </c>
      <c r="F973">
        <v>0</v>
      </c>
      <c r="G973" t="s">
        <v>1953</v>
      </c>
      <c r="H973">
        <v>7106855.4699999997</v>
      </c>
      <c r="I973">
        <v>7351669.5899999999</v>
      </c>
      <c r="J973">
        <v>1</v>
      </c>
      <c r="K973">
        <v>0</v>
      </c>
      <c r="L973">
        <v>8</v>
      </c>
      <c r="M973">
        <v>0</v>
      </c>
      <c r="N973">
        <v>1</v>
      </c>
      <c r="O973">
        <v>244814.12</v>
      </c>
      <c r="P973">
        <v>5</v>
      </c>
      <c r="Q973">
        <v>4</v>
      </c>
      <c r="R973">
        <v>3.8000000000000003</v>
      </c>
      <c r="S973" t="s">
        <v>2310</v>
      </c>
      <c r="V973">
        <f t="shared" si="45"/>
        <v>0</v>
      </c>
      <c r="W973">
        <f t="shared" si="46"/>
        <v>0</v>
      </c>
      <c r="X973" t="str">
        <f t="shared" si="47"/>
        <v>MATCH</v>
      </c>
    </row>
    <row r="974" spans="1:24" x14ac:dyDescent="0.3">
      <c r="A974">
        <v>81</v>
      </c>
      <c r="B974" t="s">
        <v>15</v>
      </c>
      <c r="C974">
        <v>82527.13</v>
      </c>
      <c r="D974" t="s">
        <v>1954</v>
      </c>
      <c r="E974">
        <v>82527.13</v>
      </c>
      <c r="F974">
        <v>0</v>
      </c>
      <c r="G974" t="s">
        <v>1955</v>
      </c>
      <c r="H974">
        <v>0</v>
      </c>
      <c r="I974">
        <v>0</v>
      </c>
      <c r="J974">
        <v>1</v>
      </c>
      <c r="K974">
        <v>0</v>
      </c>
      <c r="L974">
        <v>9</v>
      </c>
      <c r="M974">
        <v>0</v>
      </c>
      <c r="N974">
        <v>1</v>
      </c>
      <c r="O974">
        <v>82527.13</v>
      </c>
      <c r="P974">
        <v>3</v>
      </c>
      <c r="Q974">
        <v>5</v>
      </c>
      <c r="R974">
        <v>3.1</v>
      </c>
      <c r="S974" t="s">
        <v>2310</v>
      </c>
      <c r="V974">
        <f t="shared" si="45"/>
        <v>0</v>
      </c>
      <c r="W974">
        <f t="shared" si="46"/>
        <v>0</v>
      </c>
      <c r="X974" t="str">
        <f t="shared" si="47"/>
        <v>MATCH</v>
      </c>
    </row>
    <row r="975" spans="1:24" x14ac:dyDescent="0.3">
      <c r="A975">
        <v>81</v>
      </c>
      <c r="B975" t="s">
        <v>18</v>
      </c>
      <c r="C975">
        <v>82527.13</v>
      </c>
      <c r="D975" t="s">
        <v>1956</v>
      </c>
      <c r="E975">
        <v>82527.13</v>
      </c>
      <c r="F975">
        <v>0</v>
      </c>
      <c r="G975" t="s">
        <v>1957</v>
      </c>
      <c r="H975">
        <v>397267.85</v>
      </c>
      <c r="I975">
        <v>479794.98</v>
      </c>
      <c r="J975">
        <v>1</v>
      </c>
      <c r="K975">
        <v>0</v>
      </c>
      <c r="L975">
        <v>9</v>
      </c>
      <c r="M975">
        <v>0</v>
      </c>
      <c r="N975">
        <v>1</v>
      </c>
      <c r="O975">
        <v>82527.13</v>
      </c>
      <c r="P975">
        <v>3</v>
      </c>
      <c r="Q975">
        <v>4</v>
      </c>
      <c r="R975">
        <v>2.8000000000000003</v>
      </c>
      <c r="S975" t="s">
        <v>2312</v>
      </c>
      <c r="V975">
        <f t="shared" si="45"/>
        <v>0</v>
      </c>
      <c r="W975">
        <f t="shared" si="46"/>
        <v>0</v>
      </c>
      <c r="X975" t="str">
        <f t="shared" si="47"/>
        <v>MATCH</v>
      </c>
    </row>
    <row r="976" spans="1:24" x14ac:dyDescent="0.3">
      <c r="A976">
        <v>81</v>
      </c>
      <c r="B976" t="s">
        <v>15</v>
      </c>
      <c r="C976">
        <v>78028.89</v>
      </c>
      <c r="D976" t="s">
        <v>1958</v>
      </c>
      <c r="E976">
        <v>78028.89</v>
      </c>
      <c r="F976">
        <v>0</v>
      </c>
      <c r="G976" t="s">
        <v>1959</v>
      </c>
      <c r="H976">
        <v>0</v>
      </c>
      <c r="I976">
        <v>0</v>
      </c>
      <c r="J976">
        <v>1</v>
      </c>
      <c r="K976">
        <v>0</v>
      </c>
      <c r="L976">
        <v>9</v>
      </c>
      <c r="M976">
        <v>0</v>
      </c>
      <c r="N976">
        <v>1</v>
      </c>
      <c r="O976">
        <v>78028.89</v>
      </c>
      <c r="P976">
        <v>3</v>
      </c>
      <c r="Q976">
        <v>5</v>
      </c>
      <c r="R976">
        <v>3.1</v>
      </c>
      <c r="S976" t="s">
        <v>2310</v>
      </c>
      <c r="V976">
        <f t="shared" si="45"/>
        <v>0</v>
      </c>
      <c r="W976">
        <f t="shared" si="46"/>
        <v>0</v>
      </c>
      <c r="X976" t="str">
        <f t="shared" si="47"/>
        <v>MATCH</v>
      </c>
    </row>
    <row r="977" spans="1:24" x14ac:dyDescent="0.3">
      <c r="A977">
        <v>81</v>
      </c>
      <c r="B977" t="s">
        <v>18</v>
      </c>
      <c r="C977">
        <v>78028.89</v>
      </c>
      <c r="D977" t="s">
        <v>1960</v>
      </c>
      <c r="E977">
        <v>78028.89</v>
      </c>
      <c r="F977">
        <v>0</v>
      </c>
      <c r="G977" t="s">
        <v>1961</v>
      </c>
      <c r="H977">
        <v>473519.42</v>
      </c>
      <c r="I977">
        <v>551548.31000000006</v>
      </c>
      <c r="J977">
        <v>1</v>
      </c>
      <c r="K977">
        <v>0</v>
      </c>
      <c r="L977">
        <v>9</v>
      </c>
      <c r="M977">
        <v>0</v>
      </c>
      <c r="N977">
        <v>1</v>
      </c>
      <c r="O977">
        <v>78028.89</v>
      </c>
      <c r="P977">
        <v>3</v>
      </c>
      <c r="Q977">
        <v>4</v>
      </c>
      <c r="R977">
        <v>2.8000000000000003</v>
      </c>
      <c r="S977" t="s">
        <v>2312</v>
      </c>
      <c r="V977">
        <f t="shared" si="45"/>
        <v>0</v>
      </c>
      <c r="W977">
        <f t="shared" si="46"/>
        <v>0</v>
      </c>
      <c r="X977" t="str">
        <f t="shared" si="47"/>
        <v>MATCH</v>
      </c>
    </row>
    <row r="978" spans="1:24" x14ac:dyDescent="0.3">
      <c r="A978">
        <v>81</v>
      </c>
      <c r="B978" t="s">
        <v>15</v>
      </c>
      <c r="C978">
        <v>2737766.8</v>
      </c>
      <c r="D978" t="s">
        <v>1962</v>
      </c>
      <c r="E978">
        <v>2737766.8</v>
      </c>
      <c r="F978">
        <v>0</v>
      </c>
      <c r="G978" t="s">
        <v>1963</v>
      </c>
      <c r="H978">
        <v>0</v>
      </c>
      <c r="I978">
        <v>0</v>
      </c>
      <c r="J978">
        <v>1</v>
      </c>
      <c r="K978">
        <v>0</v>
      </c>
      <c r="L978">
        <v>9</v>
      </c>
      <c r="M978">
        <v>0</v>
      </c>
      <c r="N978">
        <v>1</v>
      </c>
      <c r="O978">
        <v>2737766.8</v>
      </c>
      <c r="P978">
        <v>5</v>
      </c>
      <c r="Q978">
        <v>5</v>
      </c>
      <c r="R978">
        <v>4.0999999999999996</v>
      </c>
      <c r="S978" t="s">
        <v>2310</v>
      </c>
      <c r="V978">
        <f t="shared" si="45"/>
        <v>0</v>
      </c>
      <c r="W978">
        <f t="shared" si="46"/>
        <v>0</v>
      </c>
      <c r="X978" t="str">
        <f t="shared" si="47"/>
        <v>MATCH</v>
      </c>
    </row>
    <row r="979" spans="1:24" x14ac:dyDescent="0.3">
      <c r="A979">
        <v>81</v>
      </c>
      <c r="B979" t="s">
        <v>18</v>
      </c>
      <c r="C979">
        <v>2737766.8</v>
      </c>
      <c r="D979" t="s">
        <v>1964</v>
      </c>
      <c r="E979">
        <v>2737766.8</v>
      </c>
      <c r="F979">
        <v>0</v>
      </c>
      <c r="G979" t="s">
        <v>1965</v>
      </c>
      <c r="H979">
        <v>0</v>
      </c>
      <c r="I979">
        <v>2737766.8</v>
      </c>
      <c r="J979">
        <v>1</v>
      </c>
      <c r="K979">
        <v>0</v>
      </c>
      <c r="L979">
        <v>9</v>
      </c>
      <c r="M979">
        <v>0</v>
      </c>
      <c r="N979">
        <v>1</v>
      </c>
      <c r="O979">
        <v>2737766.8</v>
      </c>
      <c r="P979">
        <v>5</v>
      </c>
      <c r="Q979">
        <v>4</v>
      </c>
      <c r="R979">
        <v>3.8000000000000003</v>
      </c>
      <c r="S979" t="s">
        <v>2310</v>
      </c>
      <c r="V979">
        <f t="shared" si="45"/>
        <v>0</v>
      </c>
      <c r="W979">
        <f t="shared" si="46"/>
        <v>0</v>
      </c>
      <c r="X979" t="str">
        <f t="shared" si="47"/>
        <v>MATCH</v>
      </c>
    </row>
    <row r="980" spans="1:24" x14ac:dyDescent="0.3">
      <c r="A980">
        <v>81</v>
      </c>
      <c r="B980" t="s">
        <v>15</v>
      </c>
      <c r="C980">
        <v>1980800.05</v>
      </c>
      <c r="D980" t="s">
        <v>1966</v>
      </c>
      <c r="E980">
        <v>1980800.05</v>
      </c>
      <c r="F980">
        <v>0</v>
      </c>
      <c r="G980" t="s">
        <v>1967</v>
      </c>
      <c r="H980">
        <v>0</v>
      </c>
      <c r="I980">
        <v>0</v>
      </c>
      <c r="J980">
        <v>1</v>
      </c>
      <c r="K980">
        <v>0</v>
      </c>
      <c r="L980">
        <v>9</v>
      </c>
      <c r="M980">
        <v>0</v>
      </c>
      <c r="N980">
        <v>1</v>
      </c>
      <c r="O980">
        <v>1980800.05</v>
      </c>
      <c r="P980">
        <v>5</v>
      </c>
      <c r="Q980">
        <v>5</v>
      </c>
      <c r="R980">
        <v>4.0999999999999996</v>
      </c>
      <c r="S980" t="s">
        <v>2310</v>
      </c>
      <c r="V980">
        <f t="shared" si="45"/>
        <v>0</v>
      </c>
      <c r="W980">
        <f t="shared" si="46"/>
        <v>0</v>
      </c>
      <c r="X980" t="str">
        <f t="shared" si="47"/>
        <v>MATCH</v>
      </c>
    </row>
    <row r="981" spans="1:24" x14ac:dyDescent="0.3">
      <c r="A981">
        <v>81</v>
      </c>
      <c r="B981" t="s">
        <v>18</v>
      </c>
      <c r="C981">
        <v>1980800.05</v>
      </c>
      <c r="D981" t="s">
        <v>1968</v>
      </c>
      <c r="E981">
        <v>1980800.05</v>
      </c>
      <c r="F981">
        <v>0</v>
      </c>
      <c r="G981" t="s">
        <v>1969</v>
      </c>
      <c r="H981">
        <v>1779203.4</v>
      </c>
      <c r="I981">
        <v>3760003.46</v>
      </c>
      <c r="J981">
        <v>1</v>
      </c>
      <c r="K981">
        <v>0</v>
      </c>
      <c r="L981">
        <v>9</v>
      </c>
      <c r="M981">
        <v>0</v>
      </c>
      <c r="N981">
        <v>1</v>
      </c>
      <c r="O981">
        <v>1980800.05</v>
      </c>
      <c r="P981">
        <v>5</v>
      </c>
      <c r="Q981">
        <v>4</v>
      </c>
      <c r="R981">
        <v>3.8000000000000003</v>
      </c>
      <c r="S981" t="s">
        <v>2310</v>
      </c>
      <c r="V981">
        <f t="shared" si="45"/>
        <v>0</v>
      </c>
      <c r="W981">
        <f t="shared" si="46"/>
        <v>0</v>
      </c>
      <c r="X981" t="str">
        <f t="shared" si="47"/>
        <v>MATCH</v>
      </c>
    </row>
    <row r="982" spans="1:24" x14ac:dyDescent="0.3">
      <c r="A982">
        <v>81</v>
      </c>
      <c r="B982" t="s">
        <v>15</v>
      </c>
      <c r="C982">
        <v>221936.6</v>
      </c>
      <c r="D982" t="s">
        <v>1970</v>
      </c>
      <c r="E982">
        <v>221936.6</v>
      </c>
      <c r="F982">
        <v>0</v>
      </c>
      <c r="G982" t="s">
        <v>1971</v>
      </c>
      <c r="H982">
        <v>0</v>
      </c>
      <c r="I982">
        <v>0</v>
      </c>
      <c r="J982">
        <v>1</v>
      </c>
      <c r="K982">
        <v>0</v>
      </c>
      <c r="L982">
        <v>9</v>
      </c>
      <c r="M982">
        <v>0</v>
      </c>
      <c r="N982">
        <v>1</v>
      </c>
      <c r="O982">
        <v>221936.6</v>
      </c>
      <c r="P982">
        <v>5</v>
      </c>
      <c r="Q982">
        <v>5</v>
      </c>
      <c r="R982">
        <v>4.0999999999999996</v>
      </c>
      <c r="S982" t="s">
        <v>2310</v>
      </c>
      <c r="V982">
        <f t="shared" si="45"/>
        <v>0</v>
      </c>
      <c r="W982">
        <f t="shared" si="46"/>
        <v>0</v>
      </c>
      <c r="X982" t="str">
        <f t="shared" si="47"/>
        <v>MATCH</v>
      </c>
    </row>
    <row r="983" spans="1:24" x14ac:dyDescent="0.3">
      <c r="A983">
        <v>81</v>
      </c>
      <c r="B983" t="s">
        <v>18</v>
      </c>
      <c r="C983">
        <v>221936.6</v>
      </c>
      <c r="D983" t="s">
        <v>1972</v>
      </c>
      <c r="E983">
        <v>221936.6</v>
      </c>
      <c r="F983">
        <v>0</v>
      </c>
      <c r="G983" t="s">
        <v>1973</v>
      </c>
      <c r="H983">
        <v>1811.03</v>
      </c>
      <c r="I983">
        <v>223747.62</v>
      </c>
      <c r="J983">
        <v>1</v>
      </c>
      <c r="K983">
        <v>0</v>
      </c>
      <c r="L983">
        <v>9</v>
      </c>
      <c r="M983">
        <v>0</v>
      </c>
      <c r="N983">
        <v>1</v>
      </c>
      <c r="O983">
        <v>221936.6</v>
      </c>
      <c r="P983">
        <v>5</v>
      </c>
      <c r="Q983">
        <v>4</v>
      </c>
      <c r="R983">
        <v>3.8000000000000003</v>
      </c>
      <c r="S983" t="s">
        <v>2310</v>
      </c>
      <c r="V983">
        <f t="shared" si="45"/>
        <v>0</v>
      </c>
      <c r="W983">
        <f t="shared" si="46"/>
        <v>0</v>
      </c>
      <c r="X983" t="str">
        <f t="shared" si="47"/>
        <v>MATCH</v>
      </c>
    </row>
    <row r="984" spans="1:24" x14ac:dyDescent="0.3">
      <c r="A984">
        <v>82</v>
      </c>
      <c r="B984" t="s">
        <v>15</v>
      </c>
      <c r="C984">
        <v>5338583.38</v>
      </c>
      <c r="D984" t="s">
        <v>1974</v>
      </c>
      <c r="E984">
        <v>5338583.38</v>
      </c>
      <c r="F984">
        <v>0</v>
      </c>
      <c r="G984" t="s">
        <v>1975</v>
      </c>
      <c r="H984">
        <v>0</v>
      </c>
      <c r="I984">
        <v>0</v>
      </c>
      <c r="J984">
        <v>1</v>
      </c>
      <c r="K984">
        <v>0</v>
      </c>
      <c r="L984">
        <v>10</v>
      </c>
      <c r="M984">
        <v>0</v>
      </c>
      <c r="N984">
        <v>1</v>
      </c>
      <c r="O984">
        <v>5338583.38</v>
      </c>
      <c r="P984">
        <v>5</v>
      </c>
      <c r="Q984">
        <v>5</v>
      </c>
      <c r="R984">
        <v>4.0999999999999996</v>
      </c>
      <c r="S984" t="s">
        <v>2310</v>
      </c>
      <c r="V984">
        <f t="shared" si="45"/>
        <v>0</v>
      </c>
      <c r="W984">
        <f t="shared" si="46"/>
        <v>0</v>
      </c>
      <c r="X984" t="str">
        <f t="shared" si="47"/>
        <v>MATCH</v>
      </c>
    </row>
    <row r="985" spans="1:24" x14ac:dyDescent="0.3">
      <c r="A985">
        <v>82</v>
      </c>
      <c r="B985" t="s">
        <v>18</v>
      </c>
      <c r="C985">
        <v>5338583.38</v>
      </c>
      <c r="D985" t="s">
        <v>1976</v>
      </c>
      <c r="E985">
        <v>5338583.38</v>
      </c>
      <c r="F985">
        <v>0</v>
      </c>
      <c r="G985" t="s">
        <v>1977</v>
      </c>
      <c r="H985">
        <v>31250.62</v>
      </c>
      <c r="I985">
        <v>5369834</v>
      </c>
      <c r="J985">
        <v>1</v>
      </c>
      <c r="K985">
        <v>0</v>
      </c>
      <c r="L985">
        <v>10</v>
      </c>
      <c r="M985">
        <v>0</v>
      </c>
      <c r="N985">
        <v>1</v>
      </c>
      <c r="O985">
        <v>5338583.38</v>
      </c>
      <c r="P985">
        <v>5</v>
      </c>
      <c r="Q985">
        <v>4</v>
      </c>
      <c r="R985">
        <v>3.8000000000000003</v>
      </c>
      <c r="S985" t="s">
        <v>2310</v>
      </c>
      <c r="V985">
        <f t="shared" si="45"/>
        <v>0</v>
      </c>
      <c r="W985">
        <f t="shared" si="46"/>
        <v>0</v>
      </c>
      <c r="X985" t="str">
        <f t="shared" si="47"/>
        <v>MATCH</v>
      </c>
    </row>
    <row r="986" spans="1:24" x14ac:dyDescent="0.3">
      <c r="A986">
        <v>82</v>
      </c>
      <c r="B986" t="s">
        <v>15</v>
      </c>
      <c r="C986">
        <v>1534985.07</v>
      </c>
      <c r="D986" t="s">
        <v>1978</v>
      </c>
      <c r="E986">
        <v>1534985.07</v>
      </c>
      <c r="F986">
        <v>0</v>
      </c>
      <c r="G986" t="s">
        <v>1979</v>
      </c>
      <c r="H986">
        <v>0</v>
      </c>
      <c r="I986">
        <v>0</v>
      </c>
      <c r="J986">
        <v>1</v>
      </c>
      <c r="K986">
        <v>0</v>
      </c>
      <c r="L986">
        <v>10</v>
      </c>
      <c r="M986">
        <v>0</v>
      </c>
      <c r="N986">
        <v>1</v>
      </c>
      <c r="O986">
        <v>1534985.07</v>
      </c>
      <c r="P986">
        <v>5</v>
      </c>
      <c r="Q986">
        <v>5</v>
      </c>
      <c r="R986">
        <v>4.0999999999999996</v>
      </c>
      <c r="S986" t="s">
        <v>2310</v>
      </c>
      <c r="V986">
        <f t="shared" si="45"/>
        <v>0</v>
      </c>
      <c r="W986">
        <f t="shared" si="46"/>
        <v>0</v>
      </c>
      <c r="X986" t="str">
        <f t="shared" si="47"/>
        <v>MATCH</v>
      </c>
    </row>
    <row r="987" spans="1:24" x14ac:dyDescent="0.3">
      <c r="A987">
        <v>82</v>
      </c>
      <c r="B987" t="s">
        <v>18</v>
      </c>
      <c r="C987">
        <v>1534985.07</v>
      </c>
      <c r="D987" t="s">
        <v>1980</v>
      </c>
      <c r="E987">
        <v>1534985.07</v>
      </c>
      <c r="F987">
        <v>0</v>
      </c>
      <c r="G987" t="s">
        <v>1981</v>
      </c>
      <c r="H987">
        <v>0</v>
      </c>
      <c r="I987">
        <v>1534985.07</v>
      </c>
      <c r="J987">
        <v>1</v>
      </c>
      <c r="K987">
        <v>0</v>
      </c>
      <c r="L987">
        <v>10</v>
      </c>
      <c r="M987">
        <v>0</v>
      </c>
      <c r="N987">
        <v>1</v>
      </c>
      <c r="O987">
        <v>1534985.07</v>
      </c>
      <c r="P987">
        <v>5</v>
      </c>
      <c r="Q987">
        <v>4</v>
      </c>
      <c r="R987">
        <v>3.8000000000000003</v>
      </c>
      <c r="S987" t="s">
        <v>2310</v>
      </c>
      <c r="V987">
        <f t="shared" si="45"/>
        <v>0</v>
      </c>
      <c r="W987">
        <f t="shared" si="46"/>
        <v>0</v>
      </c>
      <c r="X987" t="str">
        <f t="shared" si="47"/>
        <v>MATCH</v>
      </c>
    </row>
    <row r="988" spans="1:24" x14ac:dyDescent="0.3">
      <c r="A988">
        <v>82</v>
      </c>
      <c r="B988" t="s">
        <v>15</v>
      </c>
      <c r="C988">
        <v>45077.1</v>
      </c>
      <c r="D988" t="s">
        <v>1982</v>
      </c>
      <c r="E988">
        <v>45077.1</v>
      </c>
      <c r="F988">
        <v>0</v>
      </c>
      <c r="G988" t="s">
        <v>1983</v>
      </c>
      <c r="H988">
        <v>0</v>
      </c>
      <c r="I988">
        <v>0</v>
      </c>
      <c r="J988">
        <v>1</v>
      </c>
      <c r="K988">
        <v>0</v>
      </c>
      <c r="L988">
        <v>10</v>
      </c>
      <c r="M988">
        <v>0</v>
      </c>
      <c r="N988">
        <v>1</v>
      </c>
      <c r="O988">
        <v>45077.1</v>
      </c>
      <c r="P988">
        <v>2</v>
      </c>
      <c r="Q988">
        <v>5</v>
      </c>
      <c r="R988">
        <v>2.6</v>
      </c>
      <c r="S988" t="s">
        <v>2312</v>
      </c>
      <c r="V988">
        <f t="shared" si="45"/>
        <v>0</v>
      </c>
      <c r="W988">
        <f t="shared" si="46"/>
        <v>0</v>
      </c>
      <c r="X988" t="str">
        <f t="shared" si="47"/>
        <v>MATCH</v>
      </c>
    </row>
    <row r="989" spans="1:24" x14ac:dyDescent="0.3">
      <c r="A989">
        <v>82</v>
      </c>
      <c r="B989" t="s">
        <v>18</v>
      </c>
      <c r="C989">
        <v>45077.1</v>
      </c>
      <c r="D989" t="s">
        <v>1984</v>
      </c>
      <c r="E989">
        <v>45077.1</v>
      </c>
      <c r="F989">
        <v>0</v>
      </c>
      <c r="G989" t="s">
        <v>1985</v>
      </c>
      <c r="H989">
        <v>126262.18</v>
      </c>
      <c r="I989">
        <v>171339.29</v>
      </c>
      <c r="J989">
        <v>1</v>
      </c>
      <c r="K989">
        <v>0</v>
      </c>
      <c r="L989">
        <v>10</v>
      </c>
      <c r="M989">
        <v>0</v>
      </c>
      <c r="N989">
        <v>1</v>
      </c>
      <c r="O989">
        <v>45077.1</v>
      </c>
      <c r="P989">
        <v>2</v>
      </c>
      <c r="Q989">
        <v>4</v>
      </c>
      <c r="R989">
        <v>2.3000000000000003</v>
      </c>
      <c r="S989" t="s">
        <v>2312</v>
      </c>
      <c r="V989">
        <f t="shared" si="45"/>
        <v>0</v>
      </c>
      <c r="W989">
        <f t="shared" si="46"/>
        <v>0</v>
      </c>
      <c r="X989" t="str">
        <f t="shared" si="47"/>
        <v>MATCH</v>
      </c>
    </row>
    <row r="990" spans="1:24" x14ac:dyDescent="0.3">
      <c r="A990">
        <v>82</v>
      </c>
      <c r="B990" t="s">
        <v>15</v>
      </c>
      <c r="C990">
        <v>10000000</v>
      </c>
      <c r="D990" t="s">
        <v>1986</v>
      </c>
      <c r="E990">
        <v>11000000</v>
      </c>
      <c r="F990">
        <v>987591.59</v>
      </c>
      <c r="G990" t="s">
        <v>1987</v>
      </c>
      <c r="H990">
        <v>0</v>
      </c>
      <c r="I990">
        <v>0</v>
      </c>
      <c r="J990">
        <v>1</v>
      </c>
      <c r="K990">
        <v>0</v>
      </c>
      <c r="L990">
        <v>10</v>
      </c>
      <c r="M990">
        <v>1</v>
      </c>
      <c r="N990">
        <v>0</v>
      </c>
      <c r="O990">
        <v>10012408.41</v>
      </c>
      <c r="P990">
        <v>5</v>
      </c>
      <c r="Q990">
        <v>5</v>
      </c>
      <c r="R990">
        <v>4.0999999999999996</v>
      </c>
      <c r="S990" t="s">
        <v>2310</v>
      </c>
      <c r="V990">
        <f t="shared" si="45"/>
        <v>1000000</v>
      </c>
      <c r="W990">
        <f t="shared" si="46"/>
        <v>12408.410000000033</v>
      </c>
      <c r="X990" t="str">
        <f t="shared" si="47"/>
        <v>BREAK</v>
      </c>
    </row>
    <row r="991" spans="1:24" x14ac:dyDescent="0.3">
      <c r="A991">
        <v>82</v>
      </c>
      <c r="B991" t="s">
        <v>18</v>
      </c>
      <c r="C991">
        <v>10000000</v>
      </c>
      <c r="D991" t="s">
        <v>1988</v>
      </c>
      <c r="E991">
        <v>10000000</v>
      </c>
      <c r="F991">
        <v>0</v>
      </c>
      <c r="G991" t="s">
        <v>1989</v>
      </c>
      <c r="H991">
        <v>373274.84</v>
      </c>
      <c r="I991">
        <v>10400000</v>
      </c>
      <c r="J991">
        <v>1</v>
      </c>
      <c r="K991">
        <v>0</v>
      </c>
      <c r="L991">
        <v>10</v>
      </c>
      <c r="M991">
        <v>1</v>
      </c>
      <c r="N991">
        <v>1</v>
      </c>
      <c r="O991">
        <v>10000000</v>
      </c>
      <c r="P991">
        <v>5</v>
      </c>
      <c r="Q991">
        <v>4</v>
      </c>
      <c r="R991">
        <v>3.9000000000000004</v>
      </c>
      <c r="S991" t="s">
        <v>2310</v>
      </c>
      <c r="V991">
        <f t="shared" si="45"/>
        <v>0</v>
      </c>
      <c r="W991">
        <f t="shared" si="46"/>
        <v>0</v>
      </c>
      <c r="X991" t="str">
        <f t="shared" si="47"/>
        <v>MATCH</v>
      </c>
    </row>
    <row r="992" spans="1:24" x14ac:dyDescent="0.3">
      <c r="A992">
        <v>82</v>
      </c>
      <c r="B992" t="s">
        <v>15</v>
      </c>
      <c r="C992">
        <v>987591.59</v>
      </c>
      <c r="D992" t="s">
        <v>1990</v>
      </c>
      <c r="E992">
        <v>987591.59</v>
      </c>
      <c r="F992">
        <v>0</v>
      </c>
      <c r="G992" t="s">
        <v>1991</v>
      </c>
      <c r="H992">
        <v>0</v>
      </c>
      <c r="I992">
        <v>0</v>
      </c>
      <c r="J992">
        <v>1</v>
      </c>
      <c r="K992">
        <v>0</v>
      </c>
      <c r="L992">
        <v>10</v>
      </c>
      <c r="M992">
        <v>0</v>
      </c>
      <c r="N992">
        <v>1</v>
      </c>
      <c r="O992">
        <v>987591.59</v>
      </c>
      <c r="P992">
        <v>5</v>
      </c>
      <c r="Q992">
        <v>5</v>
      </c>
      <c r="R992">
        <v>4.0999999999999996</v>
      </c>
      <c r="S992" t="s">
        <v>2310</v>
      </c>
      <c r="V992">
        <f t="shared" si="45"/>
        <v>0</v>
      </c>
      <c r="W992">
        <f t="shared" si="46"/>
        <v>0</v>
      </c>
      <c r="X992" t="str">
        <f t="shared" si="47"/>
        <v>MATCH</v>
      </c>
    </row>
    <row r="993" spans="1:24" x14ac:dyDescent="0.3">
      <c r="A993">
        <v>82</v>
      </c>
      <c r="B993" t="s">
        <v>18</v>
      </c>
      <c r="C993">
        <v>987591.59</v>
      </c>
      <c r="D993" t="s">
        <v>1992</v>
      </c>
      <c r="E993">
        <v>987591.59</v>
      </c>
      <c r="F993">
        <v>0</v>
      </c>
      <c r="G993" t="s">
        <v>1993</v>
      </c>
      <c r="H993">
        <v>0</v>
      </c>
      <c r="I993">
        <v>987591.59</v>
      </c>
      <c r="J993">
        <v>1</v>
      </c>
      <c r="K993">
        <v>0</v>
      </c>
      <c r="L993">
        <v>10</v>
      </c>
      <c r="M993">
        <v>0</v>
      </c>
      <c r="N993">
        <v>1</v>
      </c>
      <c r="O993">
        <v>987591.59</v>
      </c>
      <c r="P993">
        <v>5</v>
      </c>
      <c r="Q993">
        <v>4</v>
      </c>
      <c r="R993">
        <v>3.8000000000000003</v>
      </c>
      <c r="S993" t="s">
        <v>2310</v>
      </c>
      <c r="V993">
        <f t="shared" si="45"/>
        <v>0</v>
      </c>
      <c r="W993">
        <f t="shared" si="46"/>
        <v>0</v>
      </c>
      <c r="X993" t="str">
        <f t="shared" si="47"/>
        <v>MATCH</v>
      </c>
    </row>
    <row r="994" spans="1:24" x14ac:dyDescent="0.3">
      <c r="A994">
        <v>83</v>
      </c>
      <c r="B994" t="s">
        <v>15</v>
      </c>
      <c r="C994">
        <v>1534926.96</v>
      </c>
      <c r="D994" t="s">
        <v>1994</v>
      </c>
      <c r="E994">
        <v>1534926.96</v>
      </c>
      <c r="F994">
        <v>0</v>
      </c>
      <c r="G994" t="s">
        <v>1995</v>
      </c>
      <c r="H994">
        <v>0</v>
      </c>
      <c r="I994">
        <v>0</v>
      </c>
      <c r="J994">
        <v>1</v>
      </c>
      <c r="K994">
        <v>0</v>
      </c>
      <c r="L994">
        <v>11</v>
      </c>
      <c r="M994">
        <v>0</v>
      </c>
      <c r="N994">
        <v>1</v>
      </c>
      <c r="O994">
        <v>1534926.96</v>
      </c>
      <c r="P994">
        <v>5</v>
      </c>
      <c r="Q994">
        <v>5</v>
      </c>
      <c r="R994">
        <v>4.0999999999999996</v>
      </c>
      <c r="S994" t="s">
        <v>2310</v>
      </c>
      <c r="V994">
        <f t="shared" si="45"/>
        <v>0</v>
      </c>
      <c r="W994">
        <f t="shared" si="46"/>
        <v>0</v>
      </c>
      <c r="X994" t="str">
        <f t="shared" si="47"/>
        <v>MATCH</v>
      </c>
    </row>
    <row r="995" spans="1:24" x14ac:dyDescent="0.3">
      <c r="A995">
        <v>83</v>
      </c>
      <c r="B995" t="s">
        <v>18</v>
      </c>
      <c r="C995">
        <v>1534926.96</v>
      </c>
      <c r="D995" t="s">
        <v>1996</v>
      </c>
      <c r="E995">
        <v>1534926.96</v>
      </c>
      <c r="F995">
        <v>0</v>
      </c>
      <c r="G995" t="s">
        <v>1997</v>
      </c>
      <c r="H995">
        <v>0</v>
      </c>
      <c r="I995">
        <v>1534926.96</v>
      </c>
      <c r="J995">
        <v>1</v>
      </c>
      <c r="K995">
        <v>0</v>
      </c>
      <c r="L995">
        <v>11</v>
      </c>
      <c r="M995">
        <v>0</v>
      </c>
      <c r="N995">
        <v>1</v>
      </c>
      <c r="O995">
        <v>1534926.96</v>
      </c>
      <c r="P995">
        <v>5</v>
      </c>
      <c r="Q995">
        <v>4</v>
      </c>
      <c r="R995">
        <v>3.8000000000000003</v>
      </c>
      <c r="S995" t="s">
        <v>2310</v>
      </c>
      <c r="V995">
        <f t="shared" si="45"/>
        <v>0</v>
      </c>
      <c r="W995">
        <f t="shared" si="46"/>
        <v>0</v>
      </c>
      <c r="X995" t="str">
        <f t="shared" si="47"/>
        <v>MATCH</v>
      </c>
    </row>
    <row r="996" spans="1:24" x14ac:dyDescent="0.3">
      <c r="A996">
        <v>83</v>
      </c>
      <c r="B996" t="s">
        <v>15</v>
      </c>
      <c r="C996">
        <v>594577.22</v>
      </c>
      <c r="D996" t="s">
        <v>1998</v>
      </c>
      <c r="E996">
        <v>594577.22</v>
      </c>
      <c r="F996">
        <v>0</v>
      </c>
      <c r="G996" t="s">
        <v>1999</v>
      </c>
      <c r="H996">
        <v>0</v>
      </c>
      <c r="I996">
        <v>0</v>
      </c>
      <c r="J996">
        <v>1</v>
      </c>
      <c r="K996">
        <v>0</v>
      </c>
      <c r="L996">
        <v>11</v>
      </c>
      <c r="M996">
        <v>0</v>
      </c>
      <c r="N996">
        <v>1</v>
      </c>
      <c r="O996">
        <v>594577.22</v>
      </c>
      <c r="P996">
        <v>5</v>
      </c>
      <c r="Q996">
        <v>5</v>
      </c>
      <c r="R996">
        <v>4.0999999999999996</v>
      </c>
      <c r="S996" t="s">
        <v>2310</v>
      </c>
      <c r="V996">
        <f t="shared" si="45"/>
        <v>0</v>
      </c>
      <c r="W996">
        <f t="shared" si="46"/>
        <v>0</v>
      </c>
      <c r="X996" t="str">
        <f t="shared" si="47"/>
        <v>MATCH</v>
      </c>
    </row>
    <row r="997" spans="1:24" x14ac:dyDescent="0.3">
      <c r="A997">
        <v>83</v>
      </c>
      <c r="B997" t="s">
        <v>18</v>
      </c>
      <c r="C997">
        <v>594577.22</v>
      </c>
      <c r="D997" t="s">
        <v>2000</v>
      </c>
      <c r="E997">
        <v>594577.22</v>
      </c>
      <c r="F997">
        <v>0</v>
      </c>
      <c r="G997" t="s">
        <v>511</v>
      </c>
      <c r="H997">
        <v>685106.85</v>
      </c>
      <c r="I997">
        <v>1279684.07</v>
      </c>
      <c r="J997">
        <v>1</v>
      </c>
      <c r="K997">
        <v>0</v>
      </c>
      <c r="L997">
        <v>11</v>
      </c>
      <c r="M997">
        <v>0</v>
      </c>
      <c r="N997">
        <v>1</v>
      </c>
      <c r="O997">
        <v>594577.22</v>
      </c>
      <c r="P997">
        <v>5</v>
      </c>
      <c r="Q997">
        <v>4</v>
      </c>
      <c r="R997">
        <v>3.8000000000000003</v>
      </c>
      <c r="S997" t="s">
        <v>2310</v>
      </c>
      <c r="V997">
        <f t="shared" si="45"/>
        <v>0</v>
      </c>
      <c r="W997">
        <f t="shared" si="46"/>
        <v>0</v>
      </c>
      <c r="X997" t="str">
        <f t="shared" si="47"/>
        <v>MATCH</v>
      </c>
    </row>
    <row r="998" spans="1:24" x14ac:dyDescent="0.3">
      <c r="A998">
        <v>83</v>
      </c>
      <c r="B998" t="s">
        <v>15</v>
      </c>
      <c r="C998">
        <v>24412.07</v>
      </c>
      <c r="D998" t="s">
        <v>2001</v>
      </c>
      <c r="E998">
        <v>24412.07</v>
      </c>
      <c r="F998">
        <v>0</v>
      </c>
      <c r="G998" t="s">
        <v>2002</v>
      </c>
      <c r="H998">
        <v>0</v>
      </c>
      <c r="I998">
        <v>0</v>
      </c>
      <c r="J998">
        <v>1</v>
      </c>
      <c r="K998">
        <v>0</v>
      </c>
      <c r="L998">
        <v>11</v>
      </c>
      <c r="M998">
        <v>0</v>
      </c>
      <c r="N998">
        <v>1</v>
      </c>
      <c r="O998">
        <v>24412.07</v>
      </c>
      <c r="P998">
        <v>2</v>
      </c>
      <c r="Q998">
        <v>5</v>
      </c>
      <c r="R998">
        <v>2.6</v>
      </c>
      <c r="S998" t="s">
        <v>2312</v>
      </c>
      <c r="V998">
        <f t="shared" si="45"/>
        <v>0</v>
      </c>
      <c r="W998">
        <f t="shared" si="46"/>
        <v>0</v>
      </c>
      <c r="X998" t="str">
        <f t="shared" si="47"/>
        <v>MATCH</v>
      </c>
    </row>
    <row r="999" spans="1:24" x14ac:dyDescent="0.3">
      <c r="A999">
        <v>83</v>
      </c>
      <c r="B999" t="s">
        <v>18</v>
      </c>
      <c r="C999">
        <v>24412.07</v>
      </c>
      <c r="D999" t="s">
        <v>2003</v>
      </c>
      <c r="E999">
        <v>24412.07</v>
      </c>
      <c r="F999">
        <v>0</v>
      </c>
      <c r="G999" t="s">
        <v>2004</v>
      </c>
      <c r="H999">
        <v>1564103.49</v>
      </c>
      <c r="I999">
        <v>1588515.56</v>
      </c>
      <c r="J999">
        <v>1</v>
      </c>
      <c r="K999">
        <v>0</v>
      </c>
      <c r="L999">
        <v>11</v>
      </c>
      <c r="M999">
        <v>0</v>
      </c>
      <c r="N999">
        <v>1</v>
      </c>
      <c r="O999">
        <v>24412.07</v>
      </c>
      <c r="P999">
        <v>2</v>
      </c>
      <c r="Q999">
        <v>4</v>
      </c>
      <c r="R999">
        <v>2.3000000000000003</v>
      </c>
      <c r="S999" t="s">
        <v>2312</v>
      </c>
      <c r="V999">
        <f t="shared" si="45"/>
        <v>0</v>
      </c>
      <c r="W999">
        <f t="shared" si="46"/>
        <v>0</v>
      </c>
      <c r="X999" t="str">
        <f t="shared" si="47"/>
        <v>MATCH</v>
      </c>
    </row>
    <row r="1000" spans="1:24" x14ac:dyDescent="0.3">
      <c r="A1000">
        <v>83</v>
      </c>
      <c r="B1000" t="s">
        <v>15</v>
      </c>
      <c r="C1000">
        <v>286769.07</v>
      </c>
      <c r="D1000" t="s">
        <v>2005</v>
      </c>
      <c r="E1000">
        <v>286769.07</v>
      </c>
      <c r="F1000">
        <v>0</v>
      </c>
      <c r="G1000" t="s">
        <v>2006</v>
      </c>
      <c r="H1000">
        <v>0</v>
      </c>
      <c r="I1000">
        <v>0</v>
      </c>
      <c r="J1000">
        <v>1</v>
      </c>
      <c r="K1000">
        <v>0</v>
      </c>
      <c r="L1000">
        <v>11</v>
      </c>
      <c r="M1000">
        <v>0</v>
      </c>
      <c r="N1000">
        <v>1</v>
      </c>
      <c r="O1000">
        <v>286769.07</v>
      </c>
      <c r="P1000">
        <v>5</v>
      </c>
      <c r="Q1000">
        <v>5</v>
      </c>
      <c r="R1000">
        <v>4.0999999999999996</v>
      </c>
      <c r="S1000" t="s">
        <v>2310</v>
      </c>
      <c r="V1000">
        <f t="shared" si="45"/>
        <v>0</v>
      </c>
      <c r="W1000">
        <f t="shared" si="46"/>
        <v>0</v>
      </c>
      <c r="X1000" t="str">
        <f t="shared" si="47"/>
        <v>MATCH</v>
      </c>
    </row>
    <row r="1001" spans="1:24" x14ac:dyDescent="0.3">
      <c r="A1001">
        <v>83</v>
      </c>
      <c r="B1001" t="s">
        <v>18</v>
      </c>
      <c r="C1001">
        <v>286769.07</v>
      </c>
      <c r="D1001" t="s">
        <v>2007</v>
      </c>
      <c r="E1001">
        <v>286769.07</v>
      </c>
      <c r="F1001">
        <v>0</v>
      </c>
      <c r="G1001" t="s">
        <v>2008</v>
      </c>
      <c r="H1001">
        <v>0</v>
      </c>
      <c r="I1001">
        <v>286769.07</v>
      </c>
      <c r="J1001">
        <v>1</v>
      </c>
      <c r="K1001">
        <v>0</v>
      </c>
      <c r="L1001">
        <v>11</v>
      </c>
      <c r="M1001">
        <v>0</v>
      </c>
      <c r="N1001">
        <v>1</v>
      </c>
      <c r="O1001">
        <v>286769.07</v>
      </c>
      <c r="P1001">
        <v>5</v>
      </c>
      <c r="Q1001">
        <v>4</v>
      </c>
      <c r="R1001">
        <v>3.8000000000000003</v>
      </c>
      <c r="S1001" t="s">
        <v>2310</v>
      </c>
      <c r="V1001">
        <f t="shared" si="45"/>
        <v>0</v>
      </c>
      <c r="W1001">
        <f t="shared" si="46"/>
        <v>0</v>
      </c>
      <c r="X1001" t="str">
        <f t="shared" si="47"/>
        <v>MATCH</v>
      </c>
    </row>
    <row r="1002" spans="1:24" x14ac:dyDescent="0.3">
      <c r="A1002">
        <v>83</v>
      </c>
      <c r="B1002" t="s">
        <v>15</v>
      </c>
      <c r="C1002">
        <v>365099.76</v>
      </c>
      <c r="D1002" t="s">
        <v>2009</v>
      </c>
      <c r="E1002">
        <v>365099.76</v>
      </c>
      <c r="F1002">
        <v>0</v>
      </c>
      <c r="G1002" t="s">
        <v>2010</v>
      </c>
      <c r="H1002">
        <v>0</v>
      </c>
      <c r="I1002">
        <v>0</v>
      </c>
      <c r="J1002">
        <v>1</v>
      </c>
      <c r="K1002">
        <v>0</v>
      </c>
      <c r="L1002">
        <v>11</v>
      </c>
      <c r="M1002">
        <v>0</v>
      </c>
      <c r="N1002">
        <v>1</v>
      </c>
      <c r="O1002">
        <v>365099.76</v>
      </c>
      <c r="P1002">
        <v>5</v>
      </c>
      <c r="Q1002">
        <v>5</v>
      </c>
      <c r="R1002">
        <v>4.0999999999999996</v>
      </c>
      <c r="S1002" t="s">
        <v>2310</v>
      </c>
      <c r="V1002">
        <f t="shared" si="45"/>
        <v>0</v>
      </c>
      <c r="W1002">
        <f t="shared" si="46"/>
        <v>0</v>
      </c>
      <c r="X1002" t="str">
        <f t="shared" si="47"/>
        <v>MATCH</v>
      </c>
    </row>
    <row r="1003" spans="1:24" x14ac:dyDescent="0.3">
      <c r="A1003">
        <v>83</v>
      </c>
      <c r="B1003" t="s">
        <v>18</v>
      </c>
      <c r="C1003">
        <v>365099.76</v>
      </c>
      <c r="D1003" t="s">
        <v>2011</v>
      </c>
      <c r="E1003">
        <v>365099.76</v>
      </c>
      <c r="F1003">
        <v>0</v>
      </c>
      <c r="G1003" t="s">
        <v>2012</v>
      </c>
      <c r="H1003">
        <v>32745.23</v>
      </c>
      <c r="I1003">
        <v>397844.99</v>
      </c>
      <c r="J1003">
        <v>1</v>
      </c>
      <c r="K1003">
        <v>0</v>
      </c>
      <c r="L1003">
        <v>11</v>
      </c>
      <c r="M1003">
        <v>0</v>
      </c>
      <c r="N1003">
        <v>1</v>
      </c>
      <c r="O1003">
        <v>365099.76</v>
      </c>
      <c r="P1003">
        <v>5</v>
      </c>
      <c r="Q1003">
        <v>4</v>
      </c>
      <c r="R1003">
        <v>3.8000000000000003</v>
      </c>
      <c r="S1003" t="s">
        <v>2310</v>
      </c>
      <c r="V1003">
        <f t="shared" si="45"/>
        <v>0</v>
      </c>
      <c r="W1003">
        <f t="shared" si="46"/>
        <v>0</v>
      </c>
      <c r="X1003" t="str">
        <f t="shared" si="47"/>
        <v>MATCH</v>
      </c>
    </row>
    <row r="1004" spans="1:24" x14ac:dyDescent="0.3">
      <c r="A1004">
        <v>83</v>
      </c>
      <c r="B1004" t="s">
        <v>15</v>
      </c>
      <c r="C1004">
        <v>2498370.12</v>
      </c>
      <c r="D1004" t="s">
        <v>2013</v>
      </c>
      <c r="E1004">
        <v>2498370.12</v>
      </c>
      <c r="F1004">
        <v>0</v>
      </c>
      <c r="G1004" t="s">
        <v>2014</v>
      </c>
      <c r="H1004">
        <v>0</v>
      </c>
      <c r="I1004">
        <v>0</v>
      </c>
      <c r="J1004">
        <v>1</v>
      </c>
      <c r="K1004">
        <v>0</v>
      </c>
      <c r="L1004">
        <v>11</v>
      </c>
      <c r="M1004">
        <v>0</v>
      </c>
      <c r="N1004">
        <v>1</v>
      </c>
      <c r="O1004">
        <v>2498370.12</v>
      </c>
      <c r="P1004">
        <v>5</v>
      </c>
      <c r="Q1004">
        <v>5</v>
      </c>
      <c r="R1004">
        <v>4.0999999999999996</v>
      </c>
      <c r="S1004" t="s">
        <v>2310</v>
      </c>
      <c r="V1004">
        <f t="shared" si="45"/>
        <v>0</v>
      </c>
      <c r="W1004">
        <f t="shared" si="46"/>
        <v>0</v>
      </c>
      <c r="X1004" t="str">
        <f t="shared" si="47"/>
        <v>MATCH</v>
      </c>
    </row>
    <row r="1005" spans="1:24" x14ac:dyDescent="0.3">
      <c r="A1005">
        <v>83</v>
      </c>
      <c r="B1005" t="s">
        <v>18</v>
      </c>
      <c r="C1005">
        <v>2498370.12</v>
      </c>
      <c r="D1005" t="s">
        <v>2015</v>
      </c>
      <c r="E1005">
        <v>2498370.12</v>
      </c>
      <c r="F1005">
        <v>0</v>
      </c>
      <c r="G1005" t="s">
        <v>2016</v>
      </c>
      <c r="H1005">
        <v>2343446.7400000002</v>
      </c>
      <c r="I1005">
        <v>4841816.8600000003</v>
      </c>
      <c r="J1005">
        <v>1</v>
      </c>
      <c r="K1005">
        <v>0</v>
      </c>
      <c r="L1005">
        <v>11</v>
      </c>
      <c r="M1005">
        <v>0</v>
      </c>
      <c r="N1005">
        <v>1</v>
      </c>
      <c r="O1005">
        <v>2498370.12</v>
      </c>
      <c r="P1005">
        <v>5</v>
      </c>
      <c r="Q1005">
        <v>4</v>
      </c>
      <c r="R1005">
        <v>3.8000000000000003</v>
      </c>
      <c r="S1005" t="s">
        <v>2310</v>
      </c>
      <c r="V1005">
        <f t="shared" si="45"/>
        <v>0</v>
      </c>
      <c r="W1005">
        <f t="shared" si="46"/>
        <v>0</v>
      </c>
      <c r="X1005" t="str">
        <f t="shared" si="47"/>
        <v>MATCH</v>
      </c>
    </row>
    <row r="1006" spans="1:24" x14ac:dyDescent="0.3">
      <c r="A1006">
        <v>84</v>
      </c>
      <c r="B1006" t="s">
        <v>15</v>
      </c>
      <c r="C1006">
        <v>8380.7900000000009</v>
      </c>
      <c r="D1006" t="s">
        <v>2017</v>
      </c>
      <c r="E1006">
        <v>8380.7900000000009</v>
      </c>
      <c r="F1006">
        <v>0</v>
      </c>
      <c r="G1006" t="s">
        <v>2018</v>
      </c>
      <c r="H1006">
        <v>0</v>
      </c>
      <c r="I1006">
        <v>0</v>
      </c>
      <c r="J1006">
        <v>1</v>
      </c>
      <c r="K1006">
        <v>0</v>
      </c>
      <c r="L1006">
        <v>12</v>
      </c>
      <c r="M1006">
        <v>0</v>
      </c>
      <c r="N1006">
        <v>1</v>
      </c>
      <c r="O1006">
        <v>8380.7900000000009</v>
      </c>
      <c r="P1006">
        <v>1</v>
      </c>
      <c r="Q1006">
        <v>5</v>
      </c>
      <c r="R1006">
        <v>2.1</v>
      </c>
      <c r="S1006" t="s">
        <v>2312</v>
      </c>
      <c r="V1006">
        <f t="shared" si="45"/>
        <v>0</v>
      </c>
      <c r="W1006">
        <f t="shared" si="46"/>
        <v>0</v>
      </c>
      <c r="X1006" t="str">
        <f t="shared" si="47"/>
        <v>MATCH</v>
      </c>
    </row>
    <row r="1007" spans="1:24" x14ac:dyDescent="0.3">
      <c r="A1007">
        <v>84</v>
      </c>
      <c r="B1007" t="s">
        <v>18</v>
      </c>
      <c r="C1007">
        <v>8380.7900000000009</v>
      </c>
      <c r="D1007" t="s">
        <v>2019</v>
      </c>
      <c r="E1007">
        <v>8380.7900000000009</v>
      </c>
      <c r="F1007">
        <v>0</v>
      </c>
      <c r="G1007" t="s">
        <v>2020</v>
      </c>
      <c r="H1007">
        <v>0</v>
      </c>
      <c r="I1007">
        <v>8380.7900000000009</v>
      </c>
      <c r="J1007">
        <v>1</v>
      </c>
      <c r="K1007">
        <v>0</v>
      </c>
      <c r="L1007">
        <v>12</v>
      </c>
      <c r="M1007">
        <v>0</v>
      </c>
      <c r="N1007">
        <v>1</v>
      </c>
      <c r="O1007">
        <v>8380.7900000000009</v>
      </c>
      <c r="P1007">
        <v>1</v>
      </c>
      <c r="Q1007">
        <v>4</v>
      </c>
      <c r="R1007">
        <v>1.8</v>
      </c>
      <c r="S1007" t="s">
        <v>2311</v>
      </c>
      <c r="V1007">
        <f t="shared" si="45"/>
        <v>0</v>
      </c>
      <c r="W1007">
        <f t="shared" si="46"/>
        <v>0</v>
      </c>
      <c r="X1007" t="str">
        <f t="shared" si="47"/>
        <v>MATCH</v>
      </c>
    </row>
    <row r="1008" spans="1:24" x14ac:dyDescent="0.3">
      <c r="A1008">
        <v>84</v>
      </c>
      <c r="B1008" t="s">
        <v>15</v>
      </c>
      <c r="C1008">
        <v>2627070.5</v>
      </c>
      <c r="D1008" t="s">
        <v>2021</v>
      </c>
      <c r="E1008">
        <v>2627070.5</v>
      </c>
      <c r="F1008">
        <v>0</v>
      </c>
      <c r="G1008" t="s">
        <v>2022</v>
      </c>
      <c r="H1008">
        <v>0</v>
      </c>
      <c r="I1008">
        <v>0</v>
      </c>
      <c r="J1008">
        <v>1</v>
      </c>
      <c r="K1008">
        <v>0</v>
      </c>
      <c r="L1008">
        <v>12</v>
      </c>
      <c r="M1008">
        <v>0</v>
      </c>
      <c r="N1008">
        <v>1</v>
      </c>
      <c r="O1008">
        <v>2627070.5</v>
      </c>
      <c r="P1008">
        <v>5</v>
      </c>
      <c r="Q1008">
        <v>5</v>
      </c>
      <c r="R1008">
        <v>4.0999999999999996</v>
      </c>
      <c r="S1008" t="s">
        <v>2310</v>
      </c>
      <c r="V1008">
        <f t="shared" si="45"/>
        <v>0</v>
      </c>
      <c r="W1008">
        <f t="shared" si="46"/>
        <v>0</v>
      </c>
      <c r="X1008" t="str">
        <f t="shared" si="47"/>
        <v>MATCH</v>
      </c>
    </row>
    <row r="1009" spans="1:24" x14ac:dyDescent="0.3">
      <c r="A1009">
        <v>84</v>
      </c>
      <c r="B1009" t="s">
        <v>18</v>
      </c>
      <c r="C1009">
        <v>2627070.5</v>
      </c>
      <c r="D1009" t="s">
        <v>2023</v>
      </c>
      <c r="E1009">
        <v>2627070.5</v>
      </c>
      <c r="F1009">
        <v>0</v>
      </c>
      <c r="G1009" t="s">
        <v>2024</v>
      </c>
      <c r="H1009">
        <v>463083.63</v>
      </c>
      <c r="I1009">
        <v>3090154.12</v>
      </c>
      <c r="J1009">
        <v>1</v>
      </c>
      <c r="K1009">
        <v>0</v>
      </c>
      <c r="L1009">
        <v>12</v>
      </c>
      <c r="M1009">
        <v>0</v>
      </c>
      <c r="N1009">
        <v>1</v>
      </c>
      <c r="O1009">
        <v>2627070.5</v>
      </c>
      <c r="P1009">
        <v>5</v>
      </c>
      <c r="Q1009">
        <v>4</v>
      </c>
      <c r="R1009">
        <v>3.8000000000000003</v>
      </c>
      <c r="S1009" t="s">
        <v>2310</v>
      </c>
      <c r="V1009">
        <f t="shared" si="45"/>
        <v>0</v>
      </c>
      <c r="W1009">
        <f t="shared" si="46"/>
        <v>0</v>
      </c>
      <c r="X1009" t="str">
        <f t="shared" si="47"/>
        <v>MATCH</v>
      </c>
    </row>
    <row r="1010" spans="1:24" x14ac:dyDescent="0.3">
      <c r="A1010">
        <v>84</v>
      </c>
      <c r="B1010" t="s">
        <v>15</v>
      </c>
      <c r="C1010">
        <v>39379.449999999997</v>
      </c>
      <c r="D1010" t="s">
        <v>2025</v>
      </c>
      <c r="E1010">
        <v>39379.449999999997</v>
      </c>
      <c r="F1010">
        <v>0</v>
      </c>
      <c r="G1010" t="s">
        <v>2026</v>
      </c>
      <c r="H1010">
        <v>0</v>
      </c>
      <c r="I1010">
        <v>0</v>
      </c>
      <c r="J1010">
        <v>1</v>
      </c>
      <c r="K1010">
        <v>0</v>
      </c>
      <c r="L1010">
        <v>12</v>
      </c>
      <c r="M1010">
        <v>0</v>
      </c>
      <c r="N1010">
        <v>1</v>
      </c>
      <c r="O1010">
        <v>39379.449999999997</v>
      </c>
      <c r="P1010">
        <v>2</v>
      </c>
      <c r="Q1010">
        <v>5</v>
      </c>
      <c r="R1010">
        <v>2.6</v>
      </c>
      <c r="S1010" t="s">
        <v>2312</v>
      </c>
      <c r="V1010">
        <f t="shared" si="45"/>
        <v>0</v>
      </c>
      <c r="W1010">
        <f t="shared" si="46"/>
        <v>0</v>
      </c>
      <c r="X1010" t="str">
        <f t="shared" si="47"/>
        <v>MATCH</v>
      </c>
    </row>
    <row r="1011" spans="1:24" x14ac:dyDescent="0.3">
      <c r="A1011">
        <v>84</v>
      </c>
      <c r="B1011" t="s">
        <v>18</v>
      </c>
      <c r="C1011">
        <v>39379.449999999997</v>
      </c>
      <c r="D1011" t="s">
        <v>2027</v>
      </c>
      <c r="E1011">
        <v>39379.449999999997</v>
      </c>
      <c r="F1011">
        <v>0</v>
      </c>
      <c r="G1011" t="s">
        <v>2028</v>
      </c>
      <c r="H1011">
        <v>188532.97</v>
      </c>
      <c r="I1011">
        <v>227912.43</v>
      </c>
      <c r="J1011">
        <v>1</v>
      </c>
      <c r="K1011">
        <v>0</v>
      </c>
      <c r="L1011">
        <v>12</v>
      </c>
      <c r="M1011">
        <v>0</v>
      </c>
      <c r="N1011">
        <v>1</v>
      </c>
      <c r="O1011">
        <v>39379.449999999997</v>
      </c>
      <c r="P1011">
        <v>2</v>
      </c>
      <c r="Q1011">
        <v>4</v>
      </c>
      <c r="R1011">
        <v>2.3000000000000003</v>
      </c>
      <c r="S1011" t="s">
        <v>2312</v>
      </c>
      <c r="V1011">
        <f t="shared" si="45"/>
        <v>0</v>
      </c>
      <c r="W1011">
        <f t="shared" si="46"/>
        <v>0</v>
      </c>
      <c r="X1011" t="str">
        <f t="shared" si="47"/>
        <v>MATCH</v>
      </c>
    </row>
    <row r="1012" spans="1:24" x14ac:dyDescent="0.3">
      <c r="A1012">
        <v>84</v>
      </c>
      <c r="B1012" t="s">
        <v>15</v>
      </c>
      <c r="C1012">
        <v>296349.8</v>
      </c>
      <c r="D1012" t="s">
        <v>2029</v>
      </c>
      <c r="E1012">
        <v>296349.8</v>
      </c>
      <c r="F1012">
        <v>0</v>
      </c>
      <c r="G1012" t="s">
        <v>2030</v>
      </c>
      <c r="H1012">
        <v>0</v>
      </c>
      <c r="I1012">
        <v>0</v>
      </c>
      <c r="J1012">
        <v>1</v>
      </c>
      <c r="K1012">
        <v>0</v>
      </c>
      <c r="L1012">
        <v>12</v>
      </c>
      <c r="M1012">
        <v>0</v>
      </c>
      <c r="N1012">
        <v>1</v>
      </c>
      <c r="O1012">
        <v>296349.8</v>
      </c>
      <c r="P1012">
        <v>5</v>
      </c>
      <c r="Q1012">
        <v>5</v>
      </c>
      <c r="R1012">
        <v>4.0999999999999996</v>
      </c>
      <c r="S1012" t="s">
        <v>2310</v>
      </c>
      <c r="V1012">
        <f t="shared" si="45"/>
        <v>0</v>
      </c>
      <c r="W1012">
        <f t="shared" si="46"/>
        <v>0</v>
      </c>
      <c r="X1012" t="str">
        <f t="shared" si="47"/>
        <v>MATCH</v>
      </c>
    </row>
    <row r="1013" spans="1:24" x14ac:dyDescent="0.3">
      <c r="A1013">
        <v>84</v>
      </c>
      <c r="B1013" t="s">
        <v>18</v>
      </c>
      <c r="C1013">
        <v>296349.8</v>
      </c>
      <c r="D1013" t="s">
        <v>2031</v>
      </c>
      <c r="E1013">
        <v>296349.8</v>
      </c>
      <c r="F1013">
        <v>0</v>
      </c>
      <c r="G1013" t="s">
        <v>2032</v>
      </c>
      <c r="H1013">
        <v>0</v>
      </c>
      <c r="I1013">
        <v>296349.8</v>
      </c>
      <c r="J1013">
        <v>1</v>
      </c>
      <c r="K1013">
        <v>0</v>
      </c>
      <c r="L1013">
        <v>12</v>
      </c>
      <c r="M1013">
        <v>0</v>
      </c>
      <c r="N1013">
        <v>1</v>
      </c>
      <c r="O1013">
        <v>296349.8</v>
      </c>
      <c r="P1013">
        <v>5</v>
      </c>
      <c r="Q1013">
        <v>4</v>
      </c>
      <c r="R1013">
        <v>3.8000000000000003</v>
      </c>
      <c r="S1013" t="s">
        <v>2310</v>
      </c>
      <c r="V1013">
        <f t="shared" si="45"/>
        <v>0</v>
      </c>
      <c r="W1013">
        <f t="shared" si="46"/>
        <v>0</v>
      </c>
      <c r="X1013" t="str">
        <f t="shared" si="47"/>
        <v>MATCH</v>
      </c>
    </row>
    <row r="1014" spans="1:24" x14ac:dyDescent="0.3">
      <c r="A1014">
        <v>84</v>
      </c>
      <c r="B1014" t="s">
        <v>15</v>
      </c>
      <c r="C1014">
        <v>152331.26</v>
      </c>
      <c r="D1014" t="s">
        <v>2033</v>
      </c>
      <c r="E1014">
        <v>152331.26</v>
      </c>
      <c r="F1014">
        <v>0</v>
      </c>
      <c r="G1014" t="s">
        <v>2034</v>
      </c>
      <c r="H1014">
        <v>0</v>
      </c>
      <c r="I1014">
        <v>0</v>
      </c>
      <c r="J1014">
        <v>1</v>
      </c>
      <c r="K1014">
        <v>0</v>
      </c>
      <c r="L1014">
        <v>12</v>
      </c>
      <c r="M1014">
        <v>0</v>
      </c>
      <c r="N1014">
        <v>1</v>
      </c>
      <c r="O1014">
        <v>152331.26</v>
      </c>
      <c r="P1014">
        <v>4</v>
      </c>
      <c r="Q1014">
        <v>5</v>
      </c>
      <c r="R1014">
        <v>3.6</v>
      </c>
      <c r="S1014" t="s">
        <v>2310</v>
      </c>
      <c r="V1014">
        <f t="shared" si="45"/>
        <v>0</v>
      </c>
      <c r="W1014">
        <f t="shared" si="46"/>
        <v>0</v>
      </c>
      <c r="X1014" t="str">
        <f t="shared" si="47"/>
        <v>MATCH</v>
      </c>
    </row>
    <row r="1015" spans="1:24" x14ac:dyDescent="0.3">
      <c r="A1015">
        <v>84</v>
      </c>
      <c r="B1015" t="s">
        <v>18</v>
      </c>
      <c r="C1015">
        <v>152331.26</v>
      </c>
      <c r="D1015" t="s">
        <v>2035</v>
      </c>
      <c r="E1015">
        <v>152331.26</v>
      </c>
      <c r="F1015">
        <v>0</v>
      </c>
      <c r="G1015" t="s">
        <v>2036</v>
      </c>
      <c r="H1015">
        <v>676868.23</v>
      </c>
      <c r="I1015">
        <v>829199.49</v>
      </c>
      <c r="J1015">
        <v>1</v>
      </c>
      <c r="K1015">
        <v>0</v>
      </c>
      <c r="L1015">
        <v>12</v>
      </c>
      <c r="M1015">
        <v>0</v>
      </c>
      <c r="N1015">
        <v>1</v>
      </c>
      <c r="O1015">
        <v>152331.26</v>
      </c>
      <c r="P1015">
        <v>4</v>
      </c>
      <c r="Q1015">
        <v>4</v>
      </c>
      <c r="R1015">
        <v>3.3000000000000003</v>
      </c>
      <c r="S1015" t="s">
        <v>2310</v>
      </c>
      <c r="V1015">
        <f t="shared" si="45"/>
        <v>0</v>
      </c>
      <c r="W1015">
        <f t="shared" si="46"/>
        <v>0</v>
      </c>
      <c r="X1015" t="str">
        <f t="shared" si="47"/>
        <v>MATCH</v>
      </c>
    </row>
    <row r="1016" spans="1:24" x14ac:dyDescent="0.3">
      <c r="A1016">
        <v>84</v>
      </c>
      <c r="B1016" t="s">
        <v>15</v>
      </c>
      <c r="C1016">
        <v>10000000</v>
      </c>
      <c r="D1016" t="s">
        <v>2037</v>
      </c>
      <c r="E1016">
        <v>14800000</v>
      </c>
      <c r="F1016">
        <v>4830219.1500000004</v>
      </c>
      <c r="G1016" t="s">
        <v>2038</v>
      </c>
      <c r="H1016">
        <v>0</v>
      </c>
      <c r="I1016">
        <v>0</v>
      </c>
      <c r="J1016">
        <v>1</v>
      </c>
      <c r="K1016">
        <v>0</v>
      </c>
      <c r="L1016">
        <v>12</v>
      </c>
      <c r="M1016">
        <v>1</v>
      </c>
      <c r="N1016">
        <v>0</v>
      </c>
      <c r="O1016">
        <v>9969780.8499999996</v>
      </c>
      <c r="P1016">
        <v>5</v>
      </c>
      <c r="Q1016">
        <v>5</v>
      </c>
      <c r="R1016">
        <v>4.0999999999999996</v>
      </c>
      <c r="S1016" t="s">
        <v>2310</v>
      </c>
      <c r="V1016">
        <f t="shared" si="45"/>
        <v>4800000</v>
      </c>
      <c r="W1016">
        <f t="shared" si="46"/>
        <v>30219.150000000373</v>
      </c>
      <c r="X1016" t="str">
        <f t="shared" si="47"/>
        <v>BREAK</v>
      </c>
    </row>
    <row r="1017" spans="1:24" x14ac:dyDescent="0.3">
      <c r="A1017">
        <v>84</v>
      </c>
      <c r="B1017" t="s">
        <v>18</v>
      </c>
      <c r="C1017">
        <v>10000000</v>
      </c>
      <c r="D1017" t="s">
        <v>2039</v>
      </c>
      <c r="E1017">
        <v>10000000</v>
      </c>
      <c r="F1017">
        <v>0</v>
      </c>
      <c r="G1017" t="s">
        <v>2040</v>
      </c>
      <c r="H1017">
        <v>0</v>
      </c>
      <c r="I1017">
        <v>10000000</v>
      </c>
      <c r="J1017">
        <v>1</v>
      </c>
      <c r="K1017">
        <v>0</v>
      </c>
      <c r="L1017">
        <v>12</v>
      </c>
      <c r="M1017">
        <v>1</v>
      </c>
      <c r="N1017">
        <v>1</v>
      </c>
      <c r="O1017">
        <v>10000000</v>
      </c>
      <c r="P1017">
        <v>5</v>
      </c>
      <c r="Q1017">
        <v>4</v>
      </c>
      <c r="R1017">
        <v>3.9000000000000004</v>
      </c>
      <c r="S1017" t="s">
        <v>2310</v>
      </c>
      <c r="V1017">
        <f t="shared" si="45"/>
        <v>0</v>
      </c>
      <c r="W1017">
        <f t="shared" si="46"/>
        <v>0</v>
      </c>
      <c r="X1017" t="str">
        <f t="shared" si="47"/>
        <v>MATCH</v>
      </c>
    </row>
    <row r="1018" spans="1:24" x14ac:dyDescent="0.3">
      <c r="A1018">
        <v>84</v>
      </c>
      <c r="B1018" t="s">
        <v>15</v>
      </c>
      <c r="C1018">
        <v>4830219.1500000004</v>
      </c>
      <c r="D1018" t="s">
        <v>2041</v>
      </c>
      <c r="E1018">
        <v>4830219.1500000004</v>
      </c>
      <c r="F1018">
        <v>0</v>
      </c>
      <c r="G1018" t="s">
        <v>2042</v>
      </c>
      <c r="H1018">
        <v>0</v>
      </c>
      <c r="I1018">
        <v>0</v>
      </c>
      <c r="J1018">
        <v>1</v>
      </c>
      <c r="K1018">
        <v>0</v>
      </c>
      <c r="L1018">
        <v>12</v>
      </c>
      <c r="M1018">
        <v>0</v>
      </c>
      <c r="N1018">
        <v>1</v>
      </c>
      <c r="O1018">
        <v>4830219.1500000004</v>
      </c>
      <c r="P1018">
        <v>5</v>
      </c>
      <c r="Q1018">
        <v>5</v>
      </c>
      <c r="R1018">
        <v>4.0999999999999996</v>
      </c>
      <c r="S1018" t="s">
        <v>2310</v>
      </c>
      <c r="V1018">
        <f t="shared" si="45"/>
        <v>0</v>
      </c>
      <c r="W1018">
        <f t="shared" si="46"/>
        <v>0</v>
      </c>
      <c r="X1018" t="str">
        <f t="shared" si="47"/>
        <v>MATCH</v>
      </c>
    </row>
    <row r="1019" spans="1:24" x14ac:dyDescent="0.3">
      <c r="A1019">
        <v>84</v>
      </c>
      <c r="B1019" t="s">
        <v>18</v>
      </c>
      <c r="C1019">
        <v>4830219.1500000004</v>
      </c>
      <c r="D1019" t="s">
        <v>2043</v>
      </c>
      <c r="E1019">
        <v>4830219.1500000004</v>
      </c>
      <c r="F1019">
        <v>0</v>
      </c>
      <c r="G1019" t="s">
        <v>2044</v>
      </c>
      <c r="H1019">
        <v>0</v>
      </c>
      <c r="I1019">
        <v>4830219.1500000004</v>
      </c>
      <c r="J1019">
        <v>1</v>
      </c>
      <c r="K1019">
        <v>0</v>
      </c>
      <c r="L1019">
        <v>12</v>
      </c>
      <c r="M1019">
        <v>0</v>
      </c>
      <c r="N1019">
        <v>1</v>
      </c>
      <c r="O1019">
        <v>4830219.1500000004</v>
      </c>
      <c r="P1019">
        <v>5</v>
      </c>
      <c r="Q1019">
        <v>4</v>
      </c>
      <c r="R1019">
        <v>3.8000000000000003</v>
      </c>
      <c r="S1019" t="s">
        <v>2310</v>
      </c>
      <c r="V1019">
        <f t="shared" si="45"/>
        <v>0</v>
      </c>
      <c r="W1019">
        <f t="shared" si="46"/>
        <v>0</v>
      </c>
      <c r="X1019" t="str">
        <f t="shared" si="47"/>
        <v>MATCH</v>
      </c>
    </row>
    <row r="1020" spans="1:24" x14ac:dyDescent="0.3">
      <c r="A1020">
        <v>84</v>
      </c>
      <c r="B1020" t="s">
        <v>15</v>
      </c>
      <c r="C1020">
        <v>351912.04</v>
      </c>
      <c r="D1020" t="s">
        <v>2045</v>
      </c>
      <c r="E1020">
        <v>351912.04</v>
      </c>
      <c r="F1020">
        <v>0</v>
      </c>
      <c r="G1020" t="s">
        <v>2046</v>
      </c>
      <c r="H1020">
        <v>0</v>
      </c>
      <c r="I1020">
        <v>0</v>
      </c>
      <c r="J1020">
        <v>1</v>
      </c>
      <c r="K1020">
        <v>0</v>
      </c>
      <c r="L1020">
        <v>12</v>
      </c>
      <c r="M1020">
        <v>0</v>
      </c>
      <c r="N1020">
        <v>1</v>
      </c>
      <c r="O1020">
        <v>351912.04</v>
      </c>
      <c r="P1020">
        <v>5</v>
      </c>
      <c r="Q1020">
        <v>5</v>
      </c>
      <c r="R1020">
        <v>4.0999999999999996</v>
      </c>
      <c r="S1020" t="s">
        <v>2310</v>
      </c>
      <c r="V1020">
        <f t="shared" si="45"/>
        <v>0</v>
      </c>
      <c r="W1020">
        <f t="shared" si="46"/>
        <v>0</v>
      </c>
      <c r="X1020" t="str">
        <f t="shared" si="47"/>
        <v>MATCH</v>
      </c>
    </row>
    <row r="1021" spans="1:24" x14ac:dyDescent="0.3">
      <c r="A1021">
        <v>84</v>
      </c>
      <c r="B1021" t="s">
        <v>18</v>
      </c>
      <c r="C1021">
        <v>351912.04</v>
      </c>
      <c r="D1021" t="s">
        <v>2047</v>
      </c>
      <c r="E1021">
        <v>351912.04</v>
      </c>
      <c r="F1021">
        <v>0</v>
      </c>
      <c r="G1021" t="s">
        <v>2048</v>
      </c>
      <c r="H1021">
        <v>196753.09</v>
      </c>
      <c r="I1021">
        <v>548665.13</v>
      </c>
      <c r="J1021">
        <v>1</v>
      </c>
      <c r="K1021">
        <v>0</v>
      </c>
      <c r="L1021">
        <v>12</v>
      </c>
      <c r="M1021">
        <v>0</v>
      </c>
      <c r="N1021">
        <v>1</v>
      </c>
      <c r="O1021">
        <v>351912.04</v>
      </c>
      <c r="P1021">
        <v>5</v>
      </c>
      <c r="Q1021">
        <v>4</v>
      </c>
      <c r="R1021">
        <v>3.8000000000000003</v>
      </c>
      <c r="S1021" t="s">
        <v>2310</v>
      </c>
      <c r="V1021">
        <f t="shared" si="45"/>
        <v>0</v>
      </c>
      <c r="W1021">
        <f t="shared" si="46"/>
        <v>0</v>
      </c>
      <c r="X1021" t="str">
        <f t="shared" si="47"/>
        <v>MATCH</v>
      </c>
    </row>
    <row r="1022" spans="1:24" x14ac:dyDescent="0.3">
      <c r="A1022">
        <v>85</v>
      </c>
      <c r="B1022" t="s">
        <v>15</v>
      </c>
      <c r="C1022">
        <v>64344.59</v>
      </c>
      <c r="D1022" t="s">
        <v>2049</v>
      </c>
      <c r="E1022">
        <v>64344.59</v>
      </c>
      <c r="F1022">
        <v>0</v>
      </c>
      <c r="G1022" t="s">
        <v>2050</v>
      </c>
      <c r="H1022">
        <v>0</v>
      </c>
      <c r="I1022">
        <v>0</v>
      </c>
      <c r="J1022">
        <v>1</v>
      </c>
      <c r="K1022">
        <v>0</v>
      </c>
      <c r="L1022">
        <v>13</v>
      </c>
      <c r="M1022">
        <v>0</v>
      </c>
      <c r="N1022">
        <v>1</v>
      </c>
      <c r="O1022">
        <v>64344.59</v>
      </c>
      <c r="P1022">
        <v>3</v>
      </c>
      <c r="Q1022">
        <v>5</v>
      </c>
      <c r="R1022">
        <v>3.1</v>
      </c>
      <c r="S1022" t="s">
        <v>2310</v>
      </c>
      <c r="V1022">
        <f t="shared" si="45"/>
        <v>0</v>
      </c>
      <c r="W1022">
        <f t="shared" si="46"/>
        <v>0</v>
      </c>
      <c r="X1022" t="str">
        <f t="shared" si="47"/>
        <v>MATCH</v>
      </c>
    </row>
    <row r="1023" spans="1:24" x14ac:dyDescent="0.3">
      <c r="A1023">
        <v>85</v>
      </c>
      <c r="B1023" t="s">
        <v>18</v>
      </c>
      <c r="C1023">
        <v>64344.59</v>
      </c>
      <c r="D1023" t="s">
        <v>2051</v>
      </c>
      <c r="E1023">
        <v>64344.59</v>
      </c>
      <c r="F1023">
        <v>0</v>
      </c>
      <c r="G1023" t="s">
        <v>2052</v>
      </c>
      <c r="H1023">
        <v>0</v>
      </c>
      <c r="I1023">
        <v>64344.59</v>
      </c>
      <c r="J1023">
        <v>1</v>
      </c>
      <c r="K1023">
        <v>0</v>
      </c>
      <c r="L1023">
        <v>13</v>
      </c>
      <c r="M1023">
        <v>0</v>
      </c>
      <c r="N1023">
        <v>1</v>
      </c>
      <c r="O1023">
        <v>64344.59</v>
      </c>
      <c r="P1023">
        <v>3</v>
      </c>
      <c r="Q1023">
        <v>4</v>
      </c>
      <c r="R1023">
        <v>2.8000000000000003</v>
      </c>
      <c r="S1023" t="s">
        <v>2312</v>
      </c>
      <c r="V1023">
        <f t="shared" si="45"/>
        <v>0</v>
      </c>
      <c r="W1023">
        <f t="shared" si="46"/>
        <v>0</v>
      </c>
      <c r="X1023" t="str">
        <f t="shared" si="47"/>
        <v>MATCH</v>
      </c>
    </row>
    <row r="1024" spans="1:24" x14ac:dyDescent="0.3">
      <c r="A1024">
        <v>85</v>
      </c>
      <c r="B1024" t="s">
        <v>15</v>
      </c>
      <c r="C1024">
        <v>4094.07</v>
      </c>
      <c r="D1024" t="s">
        <v>2053</v>
      </c>
      <c r="E1024">
        <v>4094.07</v>
      </c>
      <c r="F1024">
        <v>0</v>
      </c>
      <c r="G1024" t="s">
        <v>2054</v>
      </c>
      <c r="H1024">
        <v>0</v>
      </c>
      <c r="I1024">
        <v>0</v>
      </c>
      <c r="J1024">
        <v>1</v>
      </c>
      <c r="K1024">
        <v>0</v>
      </c>
      <c r="L1024">
        <v>13</v>
      </c>
      <c r="M1024">
        <v>0</v>
      </c>
      <c r="N1024">
        <v>1</v>
      </c>
      <c r="O1024">
        <v>4094.07</v>
      </c>
      <c r="P1024">
        <v>1</v>
      </c>
      <c r="Q1024">
        <v>5</v>
      </c>
      <c r="R1024">
        <v>2.1</v>
      </c>
      <c r="S1024" t="s">
        <v>2312</v>
      </c>
      <c r="V1024">
        <f t="shared" si="45"/>
        <v>0</v>
      </c>
      <c r="W1024">
        <f t="shared" si="46"/>
        <v>0</v>
      </c>
      <c r="X1024" t="str">
        <f t="shared" si="47"/>
        <v>MATCH</v>
      </c>
    </row>
    <row r="1025" spans="1:24" x14ac:dyDescent="0.3">
      <c r="A1025">
        <v>85</v>
      </c>
      <c r="B1025" t="s">
        <v>18</v>
      </c>
      <c r="C1025">
        <v>4094.07</v>
      </c>
      <c r="D1025" t="s">
        <v>2055</v>
      </c>
      <c r="E1025">
        <v>4094.07</v>
      </c>
      <c r="F1025">
        <v>0</v>
      </c>
      <c r="G1025" t="s">
        <v>2056</v>
      </c>
      <c r="H1025">
        <v>296534.2</v>
      </c>
      <c r="I1025">
        <v>300628.27</v>
      </c>
      <c r="J1025">
        <v>1</v>
      </c>
      <c r="K1025">
        <v>0</v>
      </c>
      <c r="L1025">
        <v>13</v>
      </c>
      <c r="M1025">
        <v>0</v>
      </c>
      <c r="N1025">
        <v>1</v>
      </c>
      <c r="O1025">
        <v>4094.07</v>
      </c>
      <c r="P1025">
        <v>1</v>
      </c>
      <c r="Q1025">
        <v>4</v>
      </c>
      <c r="R1025">
        <v>1.8</v>
      </c>
      <c r="S1025" t="s">
        <v>2311</v>
      </c>
      <c r="V1025">
        <f t="shared" si="45"/>
        <v>0</v>
      </c>
      <c r="W1025">
        <f t="shared" si="46"/>
        <v>0</v>
      </c>
      <c r="X1025" t="str">
        <f t="shared" si="47"/>
        <v>MATCH</v>
      </c>
    </row>
    <row r="1026" spans="1:24" x14ac:dyDescent="0.3">
      <c r="A1026">
        <v>85</v>
      </c>
      <c r="B1026" t="s">
        <v>15</v>
      </c>
      <c r="C1026">
        <v>167679.26999999999</v>
      </c>
      <c r="D1026" t="s">
        <v>2057</v>
      </c>
      <c r="E1026">
        <v>167679.26999999999</v>
      </c>
      <c r="F1026">
        <v>0</v>
      </c>
      <c r="G1026" t="s">
        <v>2058</v>
      </c>
      <c r="H1026">
        <v>0</v>
      </c>
      <c r="I1026">
        <v>0</v>
      </c>
      <c r="J1026">
        <v>1</v>
      </c>
      <c r="K1026">
        <v>0</v>
      </c>
      <c r="L1026">
        <v>13</v>
      </c>
      <c r="M1026">
        <v>0</v>
      </c>
      <c r="N1026">
        <v>1</v>
      </c>
      <c r="O1026">
        <v>167679.26999999999</v>
      </c>
      <c r="P1026">
        <v>4</v>
      </c>
      <c r="Q1026">
        <v>5</v>
      </c>
      <c r="R1026">
        <v>3.6</v>
      </c>
      <c r="S1026" t="s">
        <v>2310</v>
      </c>
      <c r="V1026">
        <f t="shared" si="45"/>
        <v>0</v>
      </c>
      <c r="W1026">
        <f t="shared" si="46"/>
        <v>0</v>
      </c>
      <c r="X1026" t="str">
        <f t="shared" si="47"/>
        <v>MATCH</v>
      </c>
    </row>
    <row r="1027" spans="1:24" x14ac:dyDescent="0.3">
      <c r="A1027">
        <v>85</v>
      </c>
      <c r="B1027" t="s">
        <v>18</v>
      </c>
      <c r="C1027">
        <v>167679.26999999999</v>
      </c>
      <c r="D1027" t="s">
        <v>2059</v>
      </c>
      <c r="E1027">
        <v>167679.26999999999</v>
      </c>
      <c r="F1027">
        <v>0</v>
      </c>
      <c r="G1027" t="s">
        <v>2060</v>
      </c>
      <c r="H1027">
        <v>165580.60999999999</v>
      </c>
      <c r="I1027">
        <v>333259.88</v>
      </c>
      <c r="J1027">
        <v>1</v>
      </c>
      <c r="K1027">
        <v>0</v>
      </c>
      <c r="L1027">
        <v>13</v>
      </c>
      <c r="M1027">
        <v>0</v>
      </c>
      <c r="N1027">
        <v>1</v>
      </c>
      <c r="O1027">
        <v>167679.26999999999</v>
      </c>
      <c r="P1027">
        <v>4</v>
      </c>
      <c r="Q1027">
        <v>4</v>
      </c>
      <c r="R1027">
        <v>3.3000000000000003</v>
      </c>
      <c r="S1027" t="s">
        <v>2310</v>
      </c>
      <c r="V1027">
        <f t="shared" ref="V1027:V1090" si="48">E1027-C1027</f>
        <v>0</v>
      </c>
      <c r="W1027">
        <f t="shared" ref="W1027:W1090" si="49">ABS(F1027-V1027)</f>
        <v>0</v>
      </c>
      <c r="X1027" t="str">
        <f t="shared" ref="X1027:X1090" si="50">IF(W1027&lt;1,"MATCH","BREAK")</f>
        <v>MATCH</v>
      </c>
    </row>
    <row r="1028" spans="1:24" x14ac:dyDescent="0.3">
      <c r="A1028">
        <v>85</v>
      </c>
      <c r="B1028" t="s">
        <v>15</v>
      </c>
      <c r="C1028">
        <v>678058.75</v>
      </c>
      <c r="D1028" t="s">
        <v>2061</v>
      </c>
      <c r="E1028">
        <v>678058.75</v>
      </c>
      <c r="F1028">
        <v>0</v>
      </c>
      <c r="G1028" t="s">
        <v>2062</v>
      </c>
      <c r="H1028">
        <v>0</v>
      </c>
      <c r="I1028">
        <v>0</v>
      </c>
      <c r="J1028">
        <v>1</v>
      </c>
      <c r="K1028">
        <v>0</v>
      </c>
      <c r="L1028">
        <v>13</v>
      </c>
      <c r="M1028">
        <v>0</v>
      </c>
      <c r="N1028">
        <v>1</v>
      </c>
      <c r="O1028">
        <v>678058.75</v>
      </c>
      <c r="P1028">
        <v>5</v>
      </c>
      <c r="Q1028">
        <v>5</v>
      </c>
      <c r="R1028">
        <v>4.0999999999999996</v>
      </c>
      <c r="S1028" t="s">
        <v>2310</v>
      </c>
      <c r="V1028">
        <f t="shared" si="48"/>
        <v>0</v>
      </c>
      <c r="W1028">
        <f t="shared" si="49"/>
        <v>0</v>
      </c>
      <c r="X1028" t="str">
        <f t="shared" si="50"/>
        <v>MATCH</v>
      </c>
    </row>
    <row r="1029" spans="1:24" x14ac:dyDescent="0.3">
      <c r="A1029">
        <v>85</v>
      </c>
      <c r="B1029" t="s">
        <v>18</v>
      </c>
      <c r="C1029">
        <v>678058.75</v>
      </c>
      <c r="D1029" t="s">
        <v>2063</v>
      </c>
      <c r="E1029">
        <v>678058.75</v>
      </c>
      <c r="F1029">
        <v>0</v>
      </c>
      <c r="G1029" t="s">
        <v>2064</v>
      </c>
      <c r="H1029">
        <v>7175958.3600000003</v>
      </c>
      <c r="I1029">
        <v>7854017.1100000003</v>
      </c>
      <c r="J1029">
        <v>1</v>
      </c>
      <c r="K1029">
        <v>0</v>
      </c>
      <c r="L1029">
        <v>13</v>
      </c>
      <c r="M1029">
        <v>0</v>
      </c>
      <c r="N1029">
        <v>1</v>
      </c>
      <c r="O1029">
        <v>678058.75</v>
      </c>
      <c r="P1029">
        <v>5</v>
      </c>
      <c r="Q1029">
        <v>4</v>
      </c>
      <c r="R1029">
        <v>3.8000000000000003</v>
      </c>
      <c r="S1029" t="s">
        <v>2310</v>
      </c>
      <c r="V1029">
        <f t="shared" si="48"/>
        <v>0</v>
      </c>
      <c r="W1029">
        <f t="shared" si="49"/>
        <v>0</v>
      </c>
      <c r="X1029" t="str">
        <f t="shared" si="50"/>
        <v>MATCH</v>
      </c>
    </row>
    <row r="1030" spans="1:24" x14ac:dyDescent="0.3">
      <c r="A1030">
        <v>85</v>
      </c>
      <c r="B1030" t="s">
        <v>15</v>
      </c>
      <c r="C1030">
        <v>1529614.71</v>
      </c>
      <c r="D1030" t="s">
        <v>2065</v>
      </c>
      <c r="E1030">
        <v>1529614.71</v>
      </c>
      <c r="F1030">
        <v>0</v>
      </c>
      <c r="G1030" t="s">
        <v>2066</v>
      </c>
      <c r="H1030">
        <v>0</v>
      </c>
      <c r="I1030">
        <v>0</v>
      </c>
      <c r="J1030">
        <v>1</v>
      </c>
      <c r="K1030">
        <v>0</v>
      </c>
      <c r="L1030">
        <v>13</v>
      </c>
      <c r="M1030">
        <v>0</v>
      </c>
      <c r="N1030">
        <v>1</v>
      </c>
      <c r="O1030">
        <v>1529614.71</v>
      </c>
      <c r="P1030">
        <v>5</v>
      </c>
      <c r="Q1030">
        <v>5</v>
      </c>
      <c r="R1030">
        <v>4.0999999999999996</v>
      </c>
      <c r="S1030" t="s">
        <v>2310</v>
      </c>
      <c r="V1030">
        <f t="shared" si="48"/>
        <v>0</v>
      </c>
      <c r="W1030">
        <f t="shared" si="49"/>
        <v>0</v>
      </c>
      <c r="X1030" t="str">
        <f t="shared" si="50"/>
        <v>MATCH</v>
      </c>
    </row>
    <row r="1031" spans="1:24" x14ac:dyDescent="0.3">
      <c r="A1031">
        <v>85</v>
      </c>
      <c r="B1031" t="s">
        <v>18</v>
      </c>
      <c r="C1031">
        <v>1529614.71</v>
      </c>
      <c r="D1031" t="s">
        <v>2067</v>
      </c>
      <c r="E1031">
        <v>1529614.71</v>
      </c>
      <c r="F1031">
        <v>0</v>
      </c>
      <c r="G1031" t="s">
        <v>2068</v>
      </c>
      <c r="H1031">
        <v>0</v>
      </c>
      <c r="I1031">
        <v>1529614.71</v>
      </c>
      <c r="J1031">
        <v>1</v>
      </c>
      <c r="K1031">
        <v>0</v>
      </c>
      <c r="L1031">
        <v>13</v>
      </c>
      <c r="M1031">
        <v>0</v>
      </c>
      <c r="N1031">
        <v>1</v>
      </c>
      <c r="O1031">
        <v>1529614.71</v>
      </c>
      <c r="P1031">
        <v>5</v>
      </c>
      <c r="Q1031">
        <v>4</v>
      </c>
      <c r="R1031">
        <v>3.8000000000000003</v>
      </c>
      <c r="S1031" t="s">
        <v>2310</v>
      </c>
      <c r="V1031">
        <f t="shared" si="48"/>
        <v>0</v>
      </c>
      <c r="W1031">
        <f t="shared" si="49"/>
        <v>0</v>
      </c>
      <c r="X1031" t="str">
        <f t="shared" si="50"/>
        <v>MATCH</v>
      </c>
    </row>
    <row r="1032" spans="1:24" x14ac:dyDescent="0.3">
      <c r="A1032">
        <v>85</v>
      </c>
      <c r="B1032" t="s">
        <v>15</v>
      </c>
      <c r="C1032">
        <v>1440705.58</v>
      </c>
      <c r="D1032" t="s">
        <v>2069</v>
      </c>
      <c r="E1032">
        <v>1440705.58</v>
      </c>
      <c r="F1032">
        <v>0</v>
      </c>
      <c r="G1032" t="s">
        <v>2070</v>
      </c>
      <c r="H1032">
        <v>0</v>
      </c>
      <c r="I1032">
        <v>0</v>
      </c>
      <c r="J1032">
        <v>1</v>
      </c>
      <c r="K1032">
        <v>0</v>
      </c>
      <c r="L1032">
        <v>13</v>
      </c>
      <c r="M1032">
        <v>0</v>
      </c>
      <c r="N1032">
        <v>1</v>
      </c>
      <c r="O1032">
        <v>1440705.58</v>
      </c>
      <c r="P1032">
        <v>5</v>
      </c>
      <c r="Q1032">
        <v>5</v>
      </c>
      <c r="R1032">
        <v>4.0999999999999996</v>
      </c>
      <c r="S1032" t="s">
        <v>2310</v>
      </c>
      <c r="V1032">
        <f t="shared" si="48"/>
        <v>0</v>
      </c>
      <c r="W1032">
        <f t="shared" si="49"/>
        <v>0</v>
      </c>
      <c r="X1032" t="str">
        <f t="shared" si="50"/>
        <v>MATCH</v>
      </c>
    </row>
    <row r="1033" spans="1:24" x14ac:dyDescent="0.3">
      <c r="A1033">
        <v>85</v>
      </c>
      <c r="B1033" t="s">
        <v>18</v>
      </c>
      <c r="C1033">
        <v>1440705.58</v>
      </c>
      <c r="D1033" t="s">
        <v>2071</v>
      </c>
      <c r="E1033">
        <v>1440705.58</v>
      </c>
      <c r="F1033">
        <v>0</v>
      </c>
      <c r="G1033" t="s">
        <v>2072</v>
      </c>
      <c r="H1033">
        <v>0</v>
      </c>
      <c r="I1033">
        <v>1440705.58</v>
      </c>
      <c r="J1033">
        <v>1</v>
      </c>
      <c r="K1033">
        <v>0</v>
      </c>
      <c r="L1033">
        <v>13</v>
      </c>
      <c r="M1033">
        <v>0</v>
      </c>
      <c r="N1033">
        <v>1</v>
      </c>
      <c r="O1033">
        <v>1440705.58</v>
      </c>
      <c r="P1033">
        <v>5</v>
      </c>
      <c r="Q1033">
        <v>4</v>
      </c>
      <c r="R1033">
        <v>3.8000000000000003</v>
      </c>
      <c r="S1033" t="s">
        <v>2310</v>
      </c>
      <c r="V1033">
        <f t="shared" si="48"/>
        <v>0</v>
      </c>
      <c r="W1033">
        <f t="shared" si="49"/>
        <v>0</v>
      </c>
      <c r="X1033" t="str">
        <f t="shared" si="50"/>
        <v>MATCH</v>
      </c>
    </row>
    <row r="1034" spans="1:24" x14ac:dyDescent="0.3">
      <c r="A1034">
        <v>85</v>
      </c>
      <c r="B1034" t="s">
        <v>15</v>
      </c>
      <c r="C1034">
        <v>8924971.5899999999</v>
      </c>
      <c r="D1034" t="s">
        <v>2073</v>
      </c>
      <c r="E1034">
        <v>8924971.5899999999</v>
      </c>
      <c r="F1034">
        <v>0</v>
      </c>
      <c r="G1034" t="s">
        <v>2074</v>
      </c>
      <c r="H1034">
        <v>0</v>
      </c>
      <c r="I1034">
        <v>0</v>
      </c>
      <c r="J1034">
        <v>1</v>
      </c>
      <c r="K1034">
        <v>0</v>
      </c>
      <c r="L1034">
        <v>13</v>
      </c>
      <c r="M1034">
        <v>0</v>
      </c>
      <c r="N1034">
        <v>1</v>
      </c>
      <c r="O1034">
        <v>8924971.5899999999</v>
      </c>
      <c r="P1034">
        <v>5</v>
      </c>
      <c r="Q1034">
        <v>5</v>
      </c>
      <c r="R1034">
        <v>4.0999999999999996</v>
      </c>
      <c r="S1034" t="s">
        <v>2310</v>
      </c>
      <c r="V1034">
        <f t="shared" si="48"/>
        <v>0</v>
      </c>
      <c r="W1034">
        <f t="shared" si="49"/>
        <v>0</v>
      </c>
      <c r="X1034" t="str">
        <f t="shared" si="50"/>
        <v>MATCH</v>
      </c>
    </row>
    <row r="1035" spans="1:24" x14ac:dyDescent="0.3">
      <c r="A1035">
        <v>85</v>
      </c>
      <c r="B1035" t="s">
        <v>18</v>
      </c>
      <c r="C1035">
        <v>8924971.5899999999</v>
      </c>
      <c r="D1035" t="s">
        <v>2075</v>
      </c>
      <c r="E1035">
        <v>8924971.5899999999</v>
      </c>
      <c r="F1035">
        <v>0</v>
      </c>
      <c r="G1035" t="s">
        <v>2076</v>
      </c>
      <c r="H1035">
        <v>59990.3</v>
      </c>
      <c r="I1035">
        <v>8984961.8900000006</v>
      </c>
      <c r="J1035">
        <v>1</v>
      </c>
      <c r="K1035">
        <v>0</v>
      </c>
      <c r="L1035">
        <v>13</v>
      </c>
      <c r="M1035">
        <v>0</v>
      </c>
      <c r="N1035">
        <v>1</v>
      </c>
      <c r="O1035">
        <v>8924971.5899999999</v>
      </c>
      <c r="P1035">
        <v>5</v>
      </c>
      <c r="Q1035">
        <v>4</v>
      </c>
      <c r="R1035">
        <v>3.8000000000000003</v>
      </c>
      <c r="S1035" t="s">
        <v>2310</v>
      </c>
      <c r="V1035">
        <f t="shared" si="48"/>
        <v>0</v>
      </c>
      <c r="W1035">
        <f t="shared" si="49"/>
        <v>0</v>
      </c>
      <c r="X1035" t="str">
        <f t="shared" si="50"/>
        <v>MATCH</v>
      </c>
    </row>
    <row r="1036" spans="1:24" x14ac:dyDescent="0.3">
      <c r="A1036">
        <v>86</v>
      </c>
      <c r="B1036" t="s">
        <v>15</v>
      </c>
      <c r="C1036">
        <v>305817.12</v>
      </c>
      <c r="D1036" t="s">
        <v>2077</v>
      </c>
      <c r="E1036">
        <v>305817.12</v>
      </c>
      <c r="F1036">
        <v>0</v>
      </c>
      <c r="G1036" t="s">
        <v>2078</v>
      </c>
      <c r="H1036">
        <v>0</v>
      </c>
      <c r="I1036">
        <v>0</v>
      </c>
      <c r="J1036">
        <v>1</v>
      </c>
      <c r="K1036">
        <v>0</v>
      </c>
      <c r="L1036">
        <v>14</v>
      </c>
      <c r="M1036">
        <v>0</v>
      </c>
      <c r="N1036">
        <v>1</v>
      </c>
      <c r="O1036">
        <v>305817.12</v>
      </c>
      <c r="P1036">
        <v>5</v>
      </c>
      <c r="Q1036">
        <v>5</v>
      </c>
      <c r="R1036">
        <v>4.0999999999999996</v>
      </c>
      <c r="S1036" t="s">
        <v>2310</v>
      </c>
      <c r="V1036">
        <f t="shared" si="48"/>
        <v>0</v>
      </c>
      <c r="W1036">
        <f t="shared" si="49"/>
        <v>0</v>
      </c>
      <c r="X1036" t="str">
        <f t="shared" si="50"/>
        <v>MATCH</v>
      </c>
    </row>
    <row r="1037" spans="1:24" x14ac:dyDescent="0.3">
      <c r="A1037">
        <v>86</v>
      </c>
      <c r="B1037" t="s">
        <v>18</v>
      </c>
      <c r="C1037">
        <v>305817.12</v>
      </c>
      <c r="D1037" t="s">
        <v>2079</v>
      </c>
      <c r="E1037">
        <v>305817.12</v>
      </c>
      <c r="F1037">
        <v>0</v>
      </c>
      <c r="G1037" t="s">
        <v>2080</v>
      </c>
      <c r="H1037">
        <v>0</v>
      </c>
      <c r="I1037">
        <v>305817.12</v>
      </c>
      <c r="J1037">
        <v>1</v>
      </c>
      <c r="K1037">
        <v>0</v>
      </c>
      <c r="L1037">
        <v>14</v>
      </c>
      <c r="M1037">
        <v>0</v>
      </c>
      <c r="N1037">
        <v>1</v>
      </c>
      <c r="O1037">
        <v>305817.12</v>
      </c>
      <c r="P1037">
        <v>5</v>
      </c>
      <c r="Q1037">
        <v>4</v>
      </c>
      <c r="R1037">
        <v>3.8000000000000003</v>
      </c>
      <c r="S1037" t="s">
        <v>2310</v>
      </c>
      <c r="V1037">
        <f t="shared" si="48"/>
        <v>0</v>
      </c>
      <c r="W1037">
        <f t="shared" si="49"/>
        <v>0</v>
      </c>
      <c r="X1037" t="str">
        <f t="shared" si="50"/>
        <v>MATCH</v>
      </c>
    </row>
    <row r="1038" spans="1:24" x14ac:dyDescent="0.3">
      <c r="A1038">
        <v>86</v>
      </c>
      <c r="B1038" t="s">
        <v>15</v>
      </c>
      <c r="C1038">
        <v>10000000</v>
      </c>
      <c r="D1038" t="s">
        <v>2081</v>
      </c>
      <c r="E1038">
        <v>18900000</v>
      </c>
      <c r="F1038">
        <v>8931607.8900000006</v>
      </c>
      <c r="G1038" t="s">
        <v>2082</v>
      </c>
      <c r="H1038">
        <v>0</v>
      </c>
      <c r="I1038">
        <v>0</v>
      </c>
      <c r="J1038">
        <v>1</v>
      </c>
      <c r="K1038">
        <v>0</v>
      </c>
      <c r="L1038">
        <v>14</v>
      </c>
      <c r="M1038">
        <v>1</v>
      </c>
      <c r="N1038">
        <v>0</v>
      </c>
      <c r="O1038">
        <v>9968392.1099999994</v>
      </c>
      <c r="P1038">
        <v>5</v>
      </c>
      <c r="Q1038">
        <v>5</v>
      </c>
      <c r="R1038">
        <v>4.0999999999999996</v>
      </c>
      <c r="S1038" t="s">
        <v>2310</v>
      </c>
      <c r="V1038">
        <f t="shared" si="48"/>
        <v>8900000</v>
      </c>
      <c r="W1038">
        <f t="shared" si="49"/>
        <v>31607.890000000596</v>
      </c>
      <c r="X1038" t="str">
        <f t="shared" si="50"/>
        <v>BREAK</v>
      </c>
    </row>
    <row r="1039" spans="1:24" x14ac:dyDescent="0.3">
      <c r="A1039">
        <v>86</v>
      </c>
      <c r="B1039" t="s">
        <v>18</v>
      </c>
      <c r="C1039">
        <v>10000000</v>
      </c>
      <c r="D1039" t="s">
        <v>2083</v>
      </c>
      <c r="E1039">
        <v>10000000</v>
      </c>
      <c r="F1039">
        <v>0</v>
      </c>
      <c r="G1039" t="s">
        <v>2084</v>
      </c>
      <c r="H1039">
        <v>0</v>
      </c>
      <c r="I1039">
        <v>10000000</v>
      </c>
      <c r="J1039">
        <v>1</v>
      </c>
      <c r="K1039">
        <v>0</v>
      </c>
      <c r="L1039">
        <v>14</v>
      </c>
      <c r="M1039">
        <v>1</v>
      </c>
      <c r="N1039">
        <v>1</v>
      </c>
      <c r="O1039">
        <v>10000000</v>
      </c>
      <c r="P1039">
        <v>5</v>
      </c>
      <c r="Q1039">
        <v>4</v>
      </c>
      <c r="R1039">
        <v>3.9000000000000004</v>
      </c>
      <c r="S1039" t="s">
        <v>2310</v>
      </c>
      <c r="V1039">
        <f t="shared" si="48"/>
        <v>0</v>
      </c>
      <c r="W1039">
        <f t="shared" si="49"/>
        <v>0</v>
      </c>
      <c r="X1039" t="str">
        <f t="shared" si="50"/>
        <v>MATCH</v>
      </c>
    </row>
    <row r="1040" spans="1:24" x14ac:dyDescent="0.3">
      <c r="A1040">
        <v>86</v>
      </c>
      <c r="B1040" t="s">
        <v>15</v>
      </c>
      <c r="C1040">
        <v>8931607.8900000006</v>
      </c>
      <c r="D1040" t="s">
        <v>2085</v>
      </c>
      <c r="E1040">
        <v>8931607.8900000006</v>
      </c>
      <c r="F1040">
        <v>0</v>
      </c>
      <c r="G1040" t="s">
        <v>2086</v>
      </c>
      <c r="H1040">
        <v>0</v>
      </c>
      <c r="I1040">
        <v>0</v>
      </c>
      <c r="J1040">
        <v>1</v>
      </c>
      <c r="K1040">
        <v>0</v>
      </c>
      <c r="L1040">
        <v>14</v>
      </c>
      <c r="M1040">
        <v>0</v>
      </c>
      <c r="N1040">
        <v>1</v>
      </c>
      <c r="O1040">
        <v>8931607.8900000006</v>
      </c>
      <c r="P1040">
        <v>5</v>
      </c>
      <c r="Q1040">
        <v>5</v>
      </c>
      <c r="R1040">
        <v>4.0999999999999996</v>
      </c>
      <c r="S1040" t="s">
        <v>2310</v>
      </c>
      <c r="V1040">
        <f t="shared" si="48"/>
        <v>0</v>
      </c>
      <c r="W1040">
        <f t="shared" si="49"/>
        <v>0</v>
      </c>
      <c r="X1040" t="str">
        <f t="shared" si="50"/>
        <v>MATCH</v>
      </c>
    </row>
    <row r="1041" spans="1:24" x14ac:dyDescent="0.3">
      <c r="A1041">
        <v>86</v>
      </c>
      <c r="B1041" t="s">
        <v>18</v>
      </c>
      <c r="C1041">
        <v>8931607.8900000006</v>
      </c>
      <c r="D1041" t="s">
        <v>2087</v>
      </c>
      <c r="E1041">
        <v>8931607.8900000006</v>
      </c>
      <c r="F1041">
        <v>0</v>
      </c>
      <c r="G1041" t="s">
        <v>2088</v>
      </c>
      <c r="H1041">
        <v>141515.57</v>
      </c>
      <c r="I1041">
        <v>9073123.4600000009</v>
      </c>
      <c r="J1041">
        <v>1</v>
      </c>
      <c r="K1041">
        <v>0</v>
      </c>
      <c r="L1041">
        <v>14</v>
      </c>
      <c r="M1041">
        <v>0</v>
      </c>
      <c r="N1041">
        <v>1</v>
      </c>
      <c r="O1041">
        <v>8931607.8900000006</v>
      </c>
      <c r="P1041">
        <v>5</v>
      </c>
      <c r="Q1041">
        <v>4</v>
      </c>
      <c r="R1041">
        <v>3.8000000000000003</v>
      </c>
      <c r="S1041" t="s">
        <v>2310</v>
      </c>
      <c r="V1041">
        <f t="shared" si="48"/>
        <v>0</v>
      </c>
      <c r="W1041">
        <f t="shared" si="49"/>
        <v>0</v>
      </c>
      <c r="X1041" t="str">
        <f t="shared" si="50"/>
        <v>MATCH</v>
      </c>
    </row>
    <row r="1042" spans="1:24" x14ac:dyDescent="0.3">
      <c r="A1042">
        <v>86</v>
      </c>
      <c r="B1042" t="s">
        <v>15</v>
      </c>
      <c r="C1042">
        <v>21829.31</v>
      </c>
      <c r="D1042" t="s">
        <v>2089</v>
      </c>
      <c r="E1042">
        <v>21829.31</v>
      </c>
      <c r="F1042">
        <v>0</v>
      </c>
      <c r="G1042" t="s">
        <v>2090</v>
      </c>
      <c r="H1042">
        <v>0</v>
      </c>
      <c r="I1042">
        <v>0</v>
      </c>
      <c r="J1042">
        <v>1</v>
      </c>
      <c r="K1042">
        <v>0</v>
      </c>
      <c r="L1042">
        <v>14</v>
      </c>
      <c r="M1042">
        <v>0</v>
      </c>
      <c r="N1042">
        <v>1</v>
      </c>
      <c r="O1042">
        <v>21829.31</v>
      </c>
      <c r="P1042">
        <v>2</v>
      </c>
      <c r="Q1042">
        <v>5</v>
      </c>
      <c r="R1042">
        <v>2.6</v>
      </c>
      <c r="S1042" t="s">
        <v>2312</v>
      </c>
      <c r="V1042">
        <f t="shared" si="48"/>
        <v>0</v>
      </c>
      <c r="W1042">
        <f t="shared" si="49"/>
        <v>0</v>
      </c>
      <c r="X1042" t="str">
        <f t="shared" si="50"/>
        <v>MATCH</v>
      </c>
    </row>
    <row r="1043" spans="1:24" x14ac:dyDescent="0.3">
      <c r="A1043">
        <v>86</v>
      </c>
      <c r="B1043" t="s">
        <v>18</v>
      </c>
      <c r="C1043">
        <v>21829.31</v>
      </c>
      <c r="D1043" t="s">
        <v>2091</v>
      </c>
      <c r="E1043">
        <v>21829.31</v>
      </c>
      <c r="F1043">
        <v>0</v>
      </c>
      <c r="G1043" t="s">
        <v>2092</v>
      </c>
      <c r="H1043">
        <v>357009.54</v>
      </c>
      <c r="I1043">
        <v>378838.85</v>
      </c>
      <c r="J1043">
        <v>1</v>
      </c>
      <c r="K1043">
        <v>0</v>
      </c>
      <c r="L1043">
        <v>14</v>
      </c>
      <c r="M1043">
        <v>0</v>
      </c>
      <c r="N1043">
        <v>1</v>
      </c>
      <c r="O1043">
        <v>21829.31</v>
      </c>
      <c r="P1043">
        <v>2</v>
      </c>
      <c r="Q1043">
        <v>4</v>
      </c>
      <c r="R1043">
        <v>2.3000000000000003</v>
      </c>
      <c r="S1043" t="s">
        <v>2312</v>
      </c>
      <c r="V1043">
        <f t="shared" si="48"/>
        <v>0</v>
      </c>
      <c r="W1043">
        <f t="shared" si="49"/>
        <v>0</v>
      </c>
      <c r="X1043" t="str">
        <f t="shared" si="50"/>
        <v>MATCH</v>
      </c>
    </row>
    <row r="1044" spans="1:24" x14ac:dyDescent="0.3">
      <c r="A1044">
        <v>86</v>
      </c>
      <c r="B1044" t="s">
        <v>15</v>
      </c>
      <c r="C1044">
        <v>6972164.9699999997</v>
      </c>
      <c r="D1044" t="s">
        <v>2093</v>
      </c>
      <c r="E1044">
        <v>6972164.9699999997</v>
      </c>
      <c r="F1044">
        <v>0</v>
      </c>
      <c r="G1044" t="s">
        <v>2094</v>
      </c>
      <c r="H1044">
        <v>0</v>
      </c>
      <c r="I1044">
        <v>0</v>
      </c>
      <c r="J1044">
        <v>1</v>
      </c>
      <c r="K1044">
        <v>0</v>
      </c>
      <c r="L1044">
        <v>14</v>
      </c>
      <c r="M1044">
        <v>0</v>
      </c>
      <c r="N1044">
        <v>1</v>
      </c>
      <c r="O1044">
        <v>6972164.9699999997</v>
      </c>
      <c r="P1044">
        <v>5</v>
      </c>
      <c r="Q1044">
        <v>5</v>
      </c>
      <c r="R1044">
        <v>4.0999999999999996</v>
      </c>
      <c r="S1044" t="s">
        <v>2310</v>
      </c>
      <c r="V1044">
        <f t="shared" si="48"/>
        <v>0</v>
      </c>
      <c r="W1044">
        <f t="shared" si="49"/>
        <v>0</v>
      </c>
      <c r="X1044" t="str">
        <f t="shared" si="50"/>
        <v>MATCH</v>
      </c>
    </row>
    <row r="1045" spans="1:24" x14ac:dyDescent="0.3">
      <c r="A1045">
        <v>86</v>
      </c>
      <c r="B1045" t="s">
        <v>18</v>
      </c>
      <c r="C1045">
        <v>6972164.9699999997</v>
      </c>
      <c r="D1045" t="s">
        <v>2095</v>
      </c>
      <c r="E1045">
        <v>6972164.9699999997</v>
      </c>
      <c r="F1045">
        <v>0</v>
      </c>
      <c r="G1045" t="s">
        <v>2096</v>
      </c>
      <c r="H1045">
        <v>5680.28</v>
      </c>
      <c r="I1045">
        <v>6977845.25</v>
      </c>
      <c r="J1045">
        <v>1</v>
      </c>
      <c r="K1045">
        <v>0</v>
      </c>
      <c r="L1045">
        <v>14</v>
      </c>
      <c r="M1045">
        <v>0</v>
      </c>
      <c r="N1045">
        <v>1</v>
      </c>
      <c r="O1045">
        <v>6972164.9699999997</v>
      </c>
      <c r="P1045">
        <v>5</v>
      </c>
      <c r="Q1045">
        <v>4</v>
      </c>
      <c r="R1045">
        <v>3.8000000000000003</v>
      </c>
      <c r="S1045" t="s">
        <v>2310</v>
      </c>
      <c r="V1045">
        <f t="shared" si="48"/>
        <v>0</v>
      </c>
      <c r="W1045">
        <f t="shared" si="49"/>
        <v>0</v>
      </c>
      <c r="X1045" t="str">
        <f t="shared" si="50"/>
        <v>MATCH</v>
      </c>
    </row>
    <row r="1046" spans="1:24" x14ac:dyDescent="0.3">
      <c r="A1046">
        <v>86</v>
      </c>
      <c r="B1046" t="s">
        <v>15</v>
      </c>
      <c r="C1046">
        <v>17822.02</v>
      </c>
      <c r="D1046" t="s">
        <v>2097</v>
      </c>
      <c r="E1046">
        <v>17822.02</v>
      </c>
      <c r="F1046">
        <v>0</v>
      </c>
      <c r="G1046" t="s">
        <v>2098</v>
      </c>
      <c r="H1046">
        <v>0</v>
      </c>
      <c r="I1046">
        <v>0</v>
      </c>
      <c r="J1046">
        <v>1</v>
      </c>
      <c r="K1046">
        <v>0</v>
      </c>
      <c r="L1046">
        <v>14</v>
      </c>
      <c r="M1046">
        <v>0</v>
      </c>
      <c r="N1046">
        <v>1</v>
      </c>
      <c r="O1046">
        <v>17822.02</v>
      </c>
      <c r="P1046">
        <v>2</v>
      </c>
      <c r="Q1046">
        <v>5</v>
      </c>
      <c r="R1046">
        <v>2.6</v>
      </c>
      <c r="S1046" t="s">
        <v>2312</v>
      </c>
      <c r="V1046">
        <f t="shared" si="48"/>
        <v>0</v>
      </c>
      <c r="W1046">
        <f t="shared" si="49"/>
        <v>0</v>
      </c>
      <c r="X1046" t="str">
        <f t="shared" si="50"/>
        <v>MATCH</v>
      </c>
    </row>
    <row r="1047" spans="1:24" x14ac:dyDescent="0.3">
      <c r="A1047">
        <v>86</v>
      </c>
      <c r="B1047" t="s">
        <v>18</v>
      </c>
      <c r="C1047">
        <v>17822.02</v>
      </c>
      <c r="D1047" t="s">
        <v>2099</v>
      </c>
      <c r="E1047">
        <v>17822.02</v>
      </c>
      <c r="F1047">
        <v>0</v>
      </c>
      <c r="G1047" t="s">
        <v>2100</v>
      </c>
      <c r="H1047">
        <v>2619609.5299999998</v>
      </c>
      <c r="I1047">
        <v>2637431.5499999998</v>
      </c>
      <c r="J1047">
        <v>1</v>
      </c>
      <c r="K1047">
        <v>0</v>
      </c>
      <c r="L1047">
        <v>14</v>
      </c>
      <c r="M1047">
        <v>0</v>
      </c>
      <c r="N1047">
        <v>1</v>
      </c>
      <c r="O1047">
        <v>17822.02</v>
      </c>
      <c r="P1047">
        <v>2</v>
      </c>
      <c r="Q1047">
        <v>4</v>
      </c>
      <c r="R1047">
        <v>2.3000000000000003</v>
      </c>
      <c r="S1047" t="s">
        <v>2312</v>
      </c>
      <c r="V1047">
        <f t="shared" si="48"/>
        <v>0</v>
      </c>
      <c r="W1047">
        <f t="shared" si="49"/>
        <v>0</v>
      </c>
      <c r="X1047" t="str">
        <f t="shared" si="50"/>
        <v>MATCH</v>
      </c>
    </row>
    <row r="1048" spans="1:24" x14ac:dyDescent="0.3">
      <c r="A1048">
        <v>86</v>
      </c>
      <c r="B1048" t="s">
        <v>15</v>
      </c>
      <c r="C1048">
        <v>88649.1</v>
      </c>
      <c r="D1048" t="s">
        <v>2101</v>
      </c>
      <c r="E1048">
        <v>88649.1</v>
      </c>
      <c r="F1048">
        <v>0</v>
      </c>
      <c r="G1048" t="s">
        <v>2102</v>
      </c>
      <c r="H1048">
        <v>0</v>
      </c>
      <c r="I1048">
        <v>0</v>
      </c>
      <c r="J1048">
        <v>1</v>
      </c>
      <c r="K1048">
        <v>0</v>
      </c>
      <c r="L1048">
        <v>14</v>
      </c>
      <c r="M1048">
        <v>0</v>
      </c>
      <c r="N1048">
        <v>1</v>
      </c>
      <c r="O1048">
        <v>88649.1</v>
      </c>
      <c r="P1048">
        <v>3</v>
      </c>
      <c r="Q1048">
        <v>5</v>
      </c>
      <c r="R1048">
        <v>3.1</v>
      </c>
      <c r="S1048" t="s">
        <v>2310</v>
      </c>
      <c r="V1048">
        <f t="shared" si="48"/>
        <v>0</v>
      </c>
      <c r="W1048">
        <f t="shared" si="49"/>
        <v>0</v>
      </c>
      <c r="X1048" t="str">
        <f t="shared" si="50"/>
        <v>MATCH</v>
      </c>
    </row>
    <row r="1049" spans="1:24" x14ac:dyDescent="0.3">
      <c r="A1049">
        <v>86</v>
      </c>
      <c r="B1049" t="s">
        <v>18</v>
      </c>
      <c r="C1049">
        <v>88649.1</v>
      </c>
      <c r="D1049" t="s">
        <v>2103</v>
      </c>
      <c r="E1049">
        <v>88649.1</v>
      </c>
      <c r="F1049">
        <v>0</v>
      </c>
      <c r="G1049" t="s">
        <v>2104</v>
      </c>
      <c r="H1049">
        <v>2239755.86</v>
      </c>
      <c r="I1049">
        <v>2328404.96</v>
      </c>
      <c r="J1049">
        <v>1</v>
      </c>
      <c r="K1049">
        <v>0</v>
      </c>
      <c r="L1049">
        <v>14</v>
      </c>
      <c r="M1049">
        <v>0</v>
      </c>
      <c r="N1049">
        <v>1</v>
      </c>
      <c r="O1049">
        <v>88649.1</v>
      </c>
      <c r="P1049">
        <v>3</v>
      </c>
      <c r="Q1049">
        <v>4</v>
      </c>
      <c r="R1049">
        <v>2.8000000000000003</v>
      </c>
      <c r="S1049" t="s">
        <v>2312</v>
      </c>
      <c r="V1049">
        <f t="shared" si="48"/>
        <v>0</v>
      </c>
      <c r="W1049">
        <f t="shared" si="49"/>
        <v>0</v>
      </c>
      <c r="X1049" t="str">
        <f t="shared" si="50"/>
        <v>MATCH</v>
      </c>
    </row>
    <row r="1050" spans="1:24" x14ac:dyDescent="0.3">
      <c r="A1050">
        <v>86</v>
      </c>
      <c r="B1050" t="s">
        <v>15</v>
      </c>
      <c r="C1050">
        <v>372344.58</v>
      </c>
      <c r="D1050" t="s">
        <v>2105</v>
      </c>
      <c r="E1050">
        <v>372344.58</v>
      </c>
      <c r="F1050">
        <v>0</v>
      </c>
      <c r="G1050" t="s">
        <v>2106</v>
      </c>
      <c r="H1050">
        <v>0</v>
      </c>
      <c r="I1050">
        <v>0</v>
      </c>
      <c r="J1050">
        <v>1</v>
      </c>
      <c r="K1050">
        <v>0</v>
      </c>
      <c r="L1050">
        <v>14</v>
      </c>
      <c r="M1050">
        <v>0</v>
      </c>
      <c r="N1050">
        <v>1</v>
      </c>
      <c r="O1050">
        <v>372344.58</v>
      </c>
      <c r="P1050">
        <v>5</v>
      </c>
      <c r="Q1050">
        <v>5</v>
      </c>
      <c r="R1050">
        <v>4.0999999999999996</v>
      </c>
      <c r="S1050" t="s">
        <v>2310</v>
      </c>
      <c r="V1050">
        <f t="shared" si="48"/>
        <v>0</v>
      </c>
      <c r="W1050">
        <f t="shared" si="49"/>
        <v>0</v>
      </c>
      <c r="X1050" t="str">
        <f t="shared" si="50"/>
        <v>MATCH</v>
      </c>
    </row>
    <row r="1051" spans="1:24" x14ac:dyDescent="0.3">
      <c r="A1051">
        <v>86</v>
      </c>
      <c r="B1051" t="s">
        <v>18</v>
      </c>
      <c r="C1051">
        <v>372344.58</v>
      </c>
      <c r="D1051" t="s">
        <v>2107</v>
      </c>
      <c r="E1051">
        <v>372344.58</v>
      </c>
      <c r="F1051">
        <v>0</v>
      </c>
      <c r="G1051" t="s">
        <v>2108</v>
      </c>
      <c r="H1051">
        <v>0</v>
      </c>
      <c r="I1051">
        <v>372344.58</v>
      </c>
      <c r="J1051">
        <v>1</v>
      </c>
      <c r="K1051">
        <v>0</v>
      </c>
      <c r="L1051">
        <v>14</v>
      </c>
      <c r="M1051">
        <v>0</v>
      </c>
      <c r="N1051">
        <v>1</v>
      </c>
      <c r="O1051">
        <v>372344.58</v>
      </c>
      <c r="P1051">
        <v>5</v>
      </c>
      <c r="Q1051">
        <v>4</v>
      </c>
      <c r="R1051">
        <v>3.8000000000000003</v>
      </c>
      <c r="S1051" t="s">
        <v>2310</v>
      </c>
      <c r="V1051">
        <f t="shared" si="48"/>
        <v>0</v>
      </c>
      <c r="W1051">
        <f t="shared" si="49"/>
        <v>0</v>
      </c>
      <c r="X1051" t="str">
        <f t="shared" si="50"/>
        <v>MATCH</v>
      </c>
    </row>
    <row r="1052" spans="1:24" x14ac:dyDescent="0.3">
      <c r="A1052">
        <v>86</v>
      </c>
      <c r="B1052" t="s">
        <v>15</v>
      </c>
      <c r="C1052">
        <v>72547.289999999994</v>
      </c>
      <c r="D1052" t="s">
        <v>2109</v>
      </c>
      <c r="E1052">
        <v>72547.289999999994</v>
      </c>
      <c r="F1052">
        <v>0</v>
      </c>
      <c r="G1052" t="s">
        <v>2110</v>
      </c>
      <c r="H1052">
        <v>0</v>
      </c>
      <c r="I1052">
        <v>0</v>
      </c>
      <c r="J1052">
        <v>1</v>
      </c>
      <c r="K1052">
        <v>0</v>
      </c>
      <c r="L1052">
        <v>14</v>
      </c>
      <c r="M1052">
        <v>0</v>
      </c>
      <c r="N1052">
        <v>1</v>
      </c>
      <c r="O1052">
        <v>72547.289999999994</v>
      </c>
      <c r="P1052">
        <v>3</v>
      </c>
      <c r="Q1052">
        <v>5</v>
      </c>
      <c r="R1052">
        <v>3.1</v>
      </c>
      <c r="S1052" t="s">
        <v>2310</v>
      </c>
      <c r="V1052">
        <f t="shared" si="48"/>
        <v>0</v>
      </c>
      <c r="W1052">
        <f t="shared" si="49"/>
        <v>0</v>
      </c>
      <c r="X1052" t="str">
        <f t="shared" si="50"/>
        <v>MATCH</v>
      </c>
    </row>
    <row r="1053" spans="1:24" x14ac:dyDescent="0.3">
      <c r="A1053">
        <v>86</v>
      </c>
      <c r="B1053" t="s">
        <v>18</v>
      </c>
      <c r="C1053">
        <v>72547.289999999994</v>
      </c>
      <c r="D1053" t="s">
        <v>2111</v>
      </c>
      <c r="E1053">
        <v>72547.289999999994</v>
      </c>
      <c r="F1053">
        <v>0</v>
      </c>
      <c r="G1053" t="s">
        <v>2112</v>
      </c>
      <c r="H1053">
        <v>79736.28</v>
      </c>
      <c r="I1053">
        <v>152283.57</v>
      </c>
      <c r="J1053">
        <v>1</v>
      </c>
      <c r="K1053">
        <v>0</v>
      </c>
      <c r="L1053">
        <v>14</v>
      </c>
      <c r="M1053">
        <v>0</v>
      </c>
      <c r="N1053">
        <v>1</v>
      </c>
      <c r="O1053">
        <v>72547.289999999994</v>
      </c>
      <c r="P1053">
        <v>3</v>
      </c>
      <c r="Q1053">
        <v>4</v>
      </c>
      <c r="R1053">
        <v>2.8000000000000003</v>
      </c>
      <c r="S1053" t="s">
        <v>2312</v>
      </c>
      <c r="V1053">
        <f t="shared" si="48"/>
        <v>0</v>
      </c>
      <c r="W1053">
        <f t="shared" si="49"/>
        <v>0</v>
      </c>
      <c r="X1053" t="str">
        <f t="shared" si="50"/>
        <v>MATCH</v>
      </c>
    </row>
    <row r="1054" spans="1:24" x14ac:dyDescent="0.3">
      <c r="A1054">
        <v>87</v>
      </c>
      <c r="B1054" t="s">
        <v>15</v>
      </c>
      <c r="C1054">
        <v>114339.1</v>
      </c>
      <c r="D1054" t="s">
        <v>2113</v>
      </c>
      <c r="E1054">
        <v>114339.1</v>
      </c>
      <c r="F1054">
        <v>0</v>
      </c>
      <c r="G1054" t="s">
        <v>2114</v>
      </c>
      <c r="H1054">
        <v>0</v>
      </c>
      <c r="I1054">
        <v>0</v>
      </c>
      <c r="J1054">
        <v>1</v>
      </c>
      <c r="K1054">
        <v>0</v>
      </c>
      <c r="L1054">
        <v>15</v>
      </c>
      <c r="M1054">
        <v>0</v>
      </c>
      <c r="N1054">
        <v>1</v>
      </c>
      <c r="O1054">
        <v>114339.1</v>
      </c>
      <c r="P1054">
        <v>4</v>
      </c>
      <c r="Q1054">
        <v>5</v>
      </c>
      <c r="R1054">
        <v>3.6</v>
      </c>
      <c r="S1054" t="s">
        <v>2310</v>
      </c>
      <c r="V1054">
        <f t="shared" si="48"/>
        <v>0</v>
      </c>
      <c r="W1054">
        <f t="shared" si="49"/>
        <v>0</v>
      </c>
      <c r="X1054" t="str">
        <f t="shared" si="50"/>
        <v>MATCH</v>
      </c>
    </row>
    <row r="1055" spans="1:24" x14ac:dyDescent="0.3">
      <c r="A1055">
        <v>87</v>
      </c>
      <c r="B1055" t="s">
        <v>18</v>
      </c>
      <c r="C1055">
        <v>114339.1</v>
      </c>
      <c r="D1055" t="s">
        <v>2115</v>
      </c>
      <c r="E1055">
        <v>114339.1</v>
      </c>
      <c r="F1055">
        <v>0</v>
      </c>
      <c r="G1055" t="s">
        <v>2116</v>
      </c>
      <c r="H1055">
        <v>41413.230000000003</v>
      </c>
      <c r="I1055">
        <v>155752.32999999999</v>
      </c>
      <c r="J1055">
        <v>1</v>
      </c>
      <c r="K1055">
        <v>0</v>
      </c>
      <c r="L1055">
        <v>15</v>
      </c>
      <c r="M1055">
        <v>0</v>
      </c>
      <c r="N1055">
        <v>1</v>
      </c>
      <c r="O1055">
        <v>114339.1</v>
      </c>
      <c r="P1055">
        <v>4</v>
      </c>
      <c r="Q1055">
        <v>4</v>
      </c>
      <c r="R1055">
        <v>3.3000000000000003</v>
      </c>
      <c r="S1055" t="s">
        <v>2310</v>
      </c>
      <c r="V1055">
        <f t="shared" si="48"/>
        <v>0</v>
      </c>
      <c r="W1055">
        <f t="shared" si="49"/>
        <v>0</v>
      </c>
      <c r="X1055" t="str">
        <f t="shared" si="50"/>
        <v>MATCH</v>
      </c>
    </row>
    <row r="1056" spans="1:24" x14ac:dyDescent="0.3">
      <c r="A1056">
        <v>87</v>
      </c>
      <c r="B1056" t="s">
        <v>15</v>
      </c>
      <c r="C1056">
        <v>1083860.21</v>
      </c>
      <c r="D1056" t="s">
        <v>2117</v>
      </c>
      <c r="E1056">
        <v>1083860.21</v>
      </c>
      <c r="F1056">
        <v>0</v>
      </c>
      <c r="G1056" t="s">
        <v>2118</v>
      </c>
      <c r="H1056">
        <v>0</v>
      </c>
      <c r="I1056">
        <v>0</v>
      </c>
      <c r="J1056">
        <v>1</v>
      </c>
      <c r="K1056">
        <v>0</v>
      </c>
      <c r="L1056">
        <v>15</v>
      </c>
      <c r="M1056">
        <v>0</v>
      </c>
      <c r="N1056">
        <v>1</v>
      </c>
      <c r="O1056">
        <v>1083860.21</v>
      </c>
      <c r="P1056">
        <v>5</v>
      </c>
      <c r="Q1056">
        <v>5</v>
      </c>
      <c r="R1056">
        <v>4.0999999999999996</v>
      </c>
      <c r="S1056" t="s">
        <v>2310</v>
      </c>
      <c r="V1056">
        <f t="shared" si="48"/>
        <v>0</v>
      </c>
      <c r="W1056">
        <f t="shared" si="49"/>
        <v>0</v>
      </c>
      <c r="X1056" t="str">
        <f t="shared" si="50"/>
        <v>MATCH</v>
      </c>
    </row>
    <row r="1057" spans="1:24" x14ac:dyDescent="0.3">
      <c r="A1057">
        <v>87</v>
      </c>
      <c r="B1057" t="s">
        <v>18</v>
      </c>
      <c r="C1057">
        <v>1083860.21</v>
      </c>
      <c r="D1057" t="s">
        <v>2119</v>
      </c>
      <c r="E1057">
        <v>1083860.21</v>
      </c>
      <c r="F1057">
        <v>0</v>
      </c>
      <c r="G1057" t="s">
        <v>2120</v>
      </c>
      <c r="H1057">
        <v>0</v>
      </c>
      <c r="I1057">
        <v>1083860.21</v>
      </c>
      <c r="J1057">
        <v>1</v>
      </c>
      <c r="K1057">
        <v>0</v>
      </c>
      <c r="L1057">
        <v>15</v>
      </c>
      <c r="M1057">
        <v>0</v>
      </c>
      <c r="N1057">
        <v>1</v>
      </c>
      <c r="O1057">
        <v>1083860.21</v>
      </c>
      <c r="P1057">
        <v>5</v>
      </c>
      <c r="Q1057">
        <v>4</v>
      </c>
      <c r="R1057">
        <v>3.8000000000000003</v>
      </c>
      <c r="S1057" t="s">
        <v>2310</v>
      </c>
      <c r="V1057">
        <f t="shared" si="48"/>
        <v>0</v>
      </c>
      <c r="W1057">
        <f t="shared" si="49"/>
        <v>0</v>
      </c>
      <c r="X1057" t="str">
        <f t="shared" si="50"/>
        <v>MATCH</v>
      </c>
    </row>
    <row r="1058" spans="1:24" x14ac:dyDescent="0.3">
      <c r="A1058">
        <v>87</v>
      </c>
      <c r="B1058" t="s">
        <v>15</v>
      </c>
      <c r="C1058">
        <v>115461.48</v>
      </c>
      <c r="D1058" t="s">
        <v>2121</v>
      </c>
      <c r="E1058">
        <v>115461.48</v>
      </c>
      <c r="F1058">
        <v>0</v>
      </c>
      <c r="G1058" t="s">
        <v>2122</v>
      </c>
      <c r="H1058">
        <v>0</v>
      </c>
      <c r="I1058">
        <v>0</v>
      </c>
      <c r="J1058">
        <v>1</v>
      </c>
      <c r="K1058">
        <v>0</v>
      </c>
      <c r="L1058">
        <v>15</v>
      </c>
      <c r="M1058">
        <v>0</v>
      </c>
      <c r="N1058">
        <v>1</v>
      </c>
      <c r="O1058">
        <v>115461.48</v>
      </c>
      <c r="P1058">
        <v>4</v>
      </c>
      <c r="Q1058">
        <v>5</v>
      </c>
      <c r="R1058">
        <v>3.6</v>
      </c>
      <c r="S1058" t="s">
        <v>2310</v>
      </c>
      <c r="V1058">
        <f t="shared" si="48"/>
        <v>0</v>
      </c>
      <c r="W1058">
        <f t="shared" si="49"/>
        <v>0</v>
      </c>
      <c r="X1058" t="str">
        <f t="shared" si="50"/>
        <v>MATCH</v>
      </c>
    </row>
    <row r="1059" spans="1:24" x14ac:dyDescent="0.3">
      <c r="A1059">
        <v>87</v>
      </c>
      <c r="B1059" t="s">
        <v>18</v>
      </c>
      <c r="C1059">
        <v>115461.48</v>
      </c>
      <c r="D1059" t="s">
        <v>2123</v>
      </c>
      <c r="E1059">
        <v>115461.48</v>
      </c>
      <c r="F1059">
        <v>0</v>
      </c>
      <c r="G1059" t="s">
        <v>2124</v>
      </c>
      <c r="H1059">
        <v>21619.279999999999</v>
      </c>
      <c r="I1059">
        <v>137080.75</v>
      </c>
      <c r="J1059">
        <v>1</v>
      </c>
      <c r="K1059">
        <v>0</v>
      </c>
      <c r="L1059">
        <v>15</v>
      </c>
      <c r="M1059">
        <v>0</v>
      </c>
      <c r="N1059">
        <v>1</v>
      </c>
      <c r="O1059">
        <v>115461.48</v>
      </c>
      <c r="P1059">
        <v>4</v>
      </c>
      <c r="Q1059">
        <v>4</v>
      </c>
      <c r="R1059">
        <v>3.3000000000000003</v>
      </c>
      <c r="S1059" t="s">
        <v>2310</v>
      </c>
      <c r="V1059">
        <f t="shared" si="48"/>
        <v>0</v>
      </c>
      <c r="W1059">
        <f t="shared" si="49"/>
        <v>0</v>
      </c>
      <c r="X1059" t="str">
        <f t="shared" si="50"/>
        <v>MATCH</v>
      </c>
    </row>
    <row r="1060" spans="1:24" x14ac:dyDescent="0.3">
      <c r="A1060">
        <v>88</v>
      </c>
      <c r="B1060" t="s">
        <v>15</v>
      </c>
      <c r="C1060">
        <v>9345700.0700000003</v>
      </c>
      <c r="D1060" t="s">
        <v>2125</v>
      </c>
      <c r="E1060">
        <v>9345700.0700000003</v>
      </c>
      <c r="F1060">
        <v>0</v>
      </c>
      <c r="G1060" t="s">
        <v>2126</v>
      </c>
      <c r="H1060">
        <v>0</v>
      </c>
      <c r="I1060">
        <v>0</v>
      </c>
      <c r="J1060">
        <v>1</v>
      </c>
      <c r="K1060">
        <v>0</v>
      </c>
      <c r="L1060">
        <v>16</v>
      </c>
      <c r="M1060">
        <v>0</v>
      </c>
      <c r="N1060">
        <v>1</v>
      </c>
      <c r="O1060">
        <v>9345700.0700000003</v>
      </c>
      <c r="P1060">
        <v>5</v>
      </c>
      <c r="Q1060">
        <v>5</v>
      </c>
      <c r="R1060">
        <v>4.0999999999999996</v>
      </c>
      <c r="S1060" t="s">
        <v>2310</v>
      </c>
      <c r="V1060">
        <f t="shared" si="48"/>
        <v>0</v>
      </c>
      <c r="W1060">
        <f t="shared" si="49"/>
        <v>0</v>
      </c>
      <c r="X1060" t="str">
        <f t="shared" si="50"/>
        <v>MATCH</v>
      </c>
    </row>
    <row r="1061" spans="1:24" x14ac:dyDescent="0.3">
      <c r="A1061">
        <v>88</v>
      </c>
      <c r="B1061" t="s">
        <v>18</v>
      </c>
      <c r="C1061">
        <v>9345700.0700000003</v>
      </c>
      <c r="D1061" t="s">
        <v>2127</v>
      </c>
      <c r="E1061">
        <v>9345700.0700000003</v>
      </c>
      <c r="F1061">
        <v>0</v>
      </c>
      <c r="G1061" t="s">
        <v>2128</v>
      </c>
      <c r="H1061">
        <v>8922060.4299999997</v>
      </c>
      <c r="I1061">
        <v>18300000</v>
      </c>
      <c r="J1061">
        <v>1</v>
      </c>
      <c r="K1061">
        <v>0</v>
      </c>
      <c r="L1061">
        <v>16</v>
      </c>
      <c r="M1061">
        <v>0</v>
      </c>
      <c r="N1061">
        <v>1</v>
      </c>
      <c r="O1061">
        <v>9345700.0700000003</v>
      </c>
      <c r="P1061">
        <v>5</v>
      </c>
      <c r="Q1061">
        <v>4</v>
      </c>
      <c r="R1061">
        <v>3.8000000000000003</v>
      </c>
      <c r="S1061" t="s">
        <v>2310</v>
      </c>
      <c r="V1061">
        <f t="shared" si="48"/>
        <v>0</v>
      </c>
      <c r="W1061">
        <f t="shared" si="49"/>
        <v>0</v>
      </c>
      <c r="X1061" t="str">
        <f t="shared" si="50"/>
        <v>MATCH</v>
      </c>
    </row>
    <row r="1062" spans="1:24" x14ac:dyDescent="0.3">
      <c r="A1062">
        <v>88</v>
      </c>
      <c r="B1062" t="s">
        <v>15</v>
      </c>
      <c r="C1062">
        <v>337994.64</v>
      </c>
      <c r="D1062" t="s">
        <v>2129</v>
      </c>
      <c r="E1062">
        <v>337994.64</v>
      </c>
      <c r="F1062">
        <v>0</v>
      </c>
      <c r="G1062" t="s">
        <v>2130</v>
      </c>
      <c r="H1062">
        <v>0</v>
      </c>
      <c r="I1062">
        <v>0</v>
      </c>
      <c r="J1062">
        <v>1</v>
      </c>
      <c r="K1062">
        <v>0</v>
      </c>
      <c r="L1062">
        <v>16</v>
      </c>
      <c r="M1062">
        <v>0</v>
      </c>
      <c r="N1062">
        <v>1</v>
      </c>
      <c r="O1062">
        <v>337994.64</v>
      </c>
      <c r="P1062">
        <v>5</v>
      </c>
      <c r="Q1062">
        <v>5</v>
      </c>
      <c r="R1062">
        <v>4.0999999999999996</v>
      </c>
      <c r="S1062" t="s">
        <v>2310</v>
      </c>
      <c r="V1062">
        <f t="shared" si="48"/>
        <v>0</v>
      </c>
      <c r="W1062">
        <f t="shared" si="49"/>
        <v>0</v>
      </c>
      <c r="X1062" t="str">
        <f t="shared" si="50"/>
        <v>MATCH</v>
      </c>
    </row>
    <row r="1063" spans="1:24" x14ac:dyDescent="0.3">
      <c r="A1063">
        <v>88</v>
      </c>
      <c r="B1063" t="s">
        <v>18</v>
      </c>
      <c r="C1063">
        <v>337994.64</v>
      </c>
      <c r="D1063" t="s">
        <v>2131</v>
      </c>
      <c r="E1063">
        <v>337994.64</v>
      </c>
      <c r="F1063">
        <v>0</v>
      </c>
      <c r="G1063" t="s">
        <v>2132</v>
      </c>
      <c r="H1063">
        <v>0</v>
      </c>
      <c r="I1063">
        <v>337994.64</v>
      </c>
      <c r="J1063">
        <v>1</v>
      </c>
      <c r="K1063">
        <v>0</v>
      </c>
      <c r="L1063">
        <v>16</v>
      </c>
      <c r="M1063">
        <v>0</v>
      </c>
      <c r="N1063">
        <v>1</v>
      </c>
      <c r="O1063">
        <v>337994.64</v>
      </c>
      <c r="P1063">
        <v>5</v>
      </c>
      <c r="Q1063">
        <v>4</v>
      </c>
      <c r="R1063">
        <v>3.8000000000000003</v>
      </c>
      <c r="S1063" t="s">
        <v>2310</v>
      </c>
      <c r="V1063">
        <f t="shared" si="48"/>
        <v>0</v>
      </c>
      <c r="W1063">
        <f t="shared" si="49"/>
        <v>0</v>
      </c>
      <c r="X1063" t="str">
        <f t="shared" si="50"/>
        <v>MATCH</v>
      </c>
    </row>
    <row r="1064" spans="1:24" x14ac:dyDescent="0.3">
      <c r="A1064">
        <v>88</v>
      </c>
      <c r="B1064" t="s">
        <v>15</v>
      </c>
      <c r="C1064">
        <v>4022408.76</v>
      </c>
      <c r="D1064" t="s">
        <v>2133</v>
      </c>
      <c r="E1064">
        <v>4022408.76</v>
      </c>
      <c r="F1064">
        <v>0</v>
      </c>
      <c r="G1064" t="s">
        <v>2134</v>
      </c>
      <c r="H1064">
        <v>0</v>
      </c>
      <c r="I1064">
        <v>0</v>
      </c>
      <c r="J1064">
        <v>1</v>
      </c>
      <c r="K1064">
        <v>0</v>
      </c>
      <c r="L1064">
        <v>16</v>
      </c>
      <c r="M1064">
        <v>0</v>
      </c>
      <c r="N1064">
        <v>1</v>
      </c>
      <c r="O1064">
        <v>4022408.76</v>
      </c>
      <c r="P1064">
        <v>5</v>
      </c>
      <c r="Q1064">
        <v>5</v>
      </c>
      <c r="R1064">
        <v>4.0999999999999996</v>
      </c>
      <c r="S1064" t="s">
        <v>2310</v>
      </c>
      <c r="V1064">
        <f t="shared" si="48"/>
        <v>0</v>
      </c>
      <c r="W1064">
        <f t="shared" si="49"/>
        <v>0</v>
      </c>
      <c r="X1064" t="str">
        <f t="shared" si="50"/>
        <v>MATCH</v>
      </c>
    </row>
    <row r="1065" spans="1:24" x14ac:dyDescent="0.3">
      <c r="A1065">
        <v>88</v>
      </c>
      <c r="B1065" t="s">
        <v>18</v>
      </c>
      <c r="C1065">
        <v>4022408.76</v>
      </c>
      <c r="D1065" t="s">
        <v>2135</v>
      </c>
      <c r="E1065">
        <v>4022408.76</v>
      </c>
      <c r="F1065">
        <v>0</v>
      </c>
      <c r="G1065" t="s">
        <v>1782</v>
      </c>
      <c r="H1065">
        <v>4542879.5</v>
      </c>
      <c r="I1065">
        <v>8565288.2599999998</v>
      </c>
      <c r="J1065">
        <v>1</v>
      </c>
      <c r="K1065">
        <v>0</v>
      </c>
      <c r="L1065">
        <v>16</v>
      </c>
      <c r="M1065">
        <v>0</v>
      </c>
      <c r="N1065">
        <v>1</v>
      </c>
      <c r="O1065">
        <v>4022408.76</v>
      </c>
      <c r="P1065">
        <v>5</v>
      </c>
      <c r="Q1065">
        <v>4</v>
      </c>
      <c r="R1065">
        <v>3.8000000000000003</v>
      </c>
      <c r="S1065" t="s">
        <v>2310</v>
      </c>
      <c r="V1065">
        <f t="shared" si="48"/>
        <v>0</v>
      </c>
      <c r="W1065">
        <f t="shared" si="49"/>
        <v>0</v>
      </c>
      <c r="X1065" t="str">
        <f t="shared" si="50"/>
        <v>MATCH</v>
      </c>
    </row>
    <row r="1066" spans="1:24" x14ac:dyDescent="0.3">
      <c r="A1066">
        <v>88</v>
      </c>
      <c r="B1066" t="s">
        <v>15</v>
      </c>
      <c r="C1066">
        <v>3607917.73</v>
      </c>
      <c r="D1066" t="s">
        <v>2136</v>
      </c>
      <c r="E1066">
        <v>3607917.73</v>
      </c>
      <c r="F1066">
        <v>0</v>
      </c>
      <c r="G1066" t="s">
        <v>2137</v>
      </c>
      <c r="H1066">
        <v>0</v>
      </c>
      <c r="I1066">
        <v>0</v>
      </c>
      <c r="J1066">
        <v>1</v>
      </c>
      <c r="K1066">
        <v>0</v>
      </c>
      <c r="L1066">
        <v>16</v>
      </c>
      <c r="M1066">
        <v>0</v>
      </c>
      <c r="N1066">
        <v>1</v>
      </c>
      <c r="O1066">
        <v>3607917.73</v>
      </c>
      <c r="P1066">
        <v>5</v>
      </c>
      <c r="Q1066">
        <v>5</v>
      </c>
      <c r="R1066">
        <v>4.0999999999999996</v>
      </c>
      <c r="S1066" t="s">
        <v>2310</v>
      </c>
      <c r="V1066">
        <f t="shared" si="48"/>
        <v>0</v>
      </c>
      <c r="W1066">
        <f t="shared" si="49"/>
        <v>0</v>
      </c>
      <c r="X1066" t="str">
        <f t="shared" si="50"/>
        <v>MATCH</v>
      </c>
    </row>
    <row r="1067" spans="1:24" x14ac:dyDescent="0.3">
      <c r="A1067">
        <v>88</v>
      </c>
      <c r="B1067" t="s">
        <v>18</v>
      </c>
      <c r="C1067">
        <v>3607917.73</v>
      </c>
      <c r="D1067" t="s">
        <v>2138</v>
      </c>
      <c r="E1067">
        <v>3607917.73</v>
      </c>
      <c r="F1067">
        <v>0</v>
      </c>
      <c r="G1067" t="s">
        <v>2139</v>
      </c>
      <c r="H1067">
        <v>8391754.1300000008</v>
      </c>
      <c r="I1067">
        <v>12000000</v>
      </c>
      <c r="J1067">
        <v>1</v>
      </c>
      <c r="K1067">
        <v>0</v>
      </c>
      <c r="L1067">
        <v>16</v>
      </c>
      <c r="M1067">
        <v>0</v>
      </c>
      <c r="N1067">
        <v>1</v>
      </c>
      <c r="O1067">
        <v>3607917.73</v>
      </c>
      <c r="P1067">
        <v>5</v>
      </c>
      <c r="Q1067">
        <v>4</v>
      </c>
      <c r="R1067">
        <v>3.8000000000000003</v>
      </c>
      <c r="S1067" t="s">
        <v>2310</v>
      </c>
      <c r="V1067">
        <f t="shared" si="48"/>
        <v>0</v>
      </c>
      <c r="W1067">
        <f t="shared" si="49"/>
        <v>0</v>
      </c>
      <c r="X1067" t="str">
        <f t="shared" si="50"/>
        <v>MATCH</v>
      </c>
    </row>
    <row r="1068" spans="1:24" x14ac:dyDescent="0.3">
      <c r="A1068">
        <v>89</v>
      </c>
      <c r="B1068" t="s">
        <v>15</v>
      </c>
      <c r="C1068">
        <v>766631.82</v>
      </c>
      <c r="D1068" t="s">
        <v>2140</v>
      </c>
      <c r="E1068">
        <v>766631.82</v>
      </c>
      <c r="F1068">
        <v>0</v>
      </c>
      <c r="G1068" t="s">
        <v>2141</v>
      </c>
      <c r="H1068">
        <v>0</v>
      </c>
      <c r="I1068">
        <v>0</v>
      </c>
      <c r="J1068">
        <v>1</v>
      </c>
      <c r="K1068">
        <v>0</v>
      </c>
      <c r="L1068">
        <v>17</v>
      </c>
      <c r="M1068">
        <v>0</v>
      </c>
      <c r="N1068">
        <v>1</v>
      </c>
      <c r="O1068">
        <v>766631.82</v>
      </c>
      <c r="P1068">
        <v>5</v>
      </c>
      <c r="Q1068">
        <v>5</v>
      </c>
      <c r="R1068">
        <v>4.0999999999999996</v>
      </c>
      <c r="S1068" t="s">
        <v>2310</v>
      </c>
      <c r="V1068">
        <f t="shared" si="48"/>
        <v>0</v>
      </c>
      <c r="W1068">
        <f t="shared" si="49"/>
        <v>0</v>
      </c>
      <c r="X1068" t="str">
        <f t="shared" si="50"/>
        <v>MATCH</v>
      </c>
    </row>
    <row r="1069" spans="1:24" x14ac:dyDescent="0.3">
      <c r="A1069">
        <v>89</v>
      </c>
      <c r="B1069" t="s">
        <v>18</v>
      </c>
      <c r="C1069">
        <v>766631.82</v>
      </c>
      <c r="D1069" t="s">
        <v>2142</v>
      </c>
      <c r="E1069">
        <v>766631.82</v>
      </c>
      <c r="F1069">
        <v>0</v>
      </c>
      <c r="G1069" t="s">
        <v>2143</v>
      </c>
      <c r="H1069">
        <v>0</v>
      </c>
      <c r="I1069">
        <v>766631.82</v>
      </c>
      <c r="J1069">
        <v>1</v>
      </c>
      <c r="K1069">
        <v>0</v>
      </c>
      <c r="L1069">
        <v>17</v>
      </c>
      <c r="M1069">
        <v>0</v>
      </c>
      <c r="N1069">
        <v>1</v>
      </c>
      <c r="O1069">
        <v>766631.82</v>
      </c>
      <c r="P1069">
        <v>5</v>
      </c>
      <c r="Q1069">
        <v>4</v>
      </c>
      <c r="R1069">
        <v>3.8000000000000003</v>
      </c>
      <c r="S1069" t="s">
        <v>2310</v>
      </c>
      <c r="V1069">
        <f t="shared" si="48"/>
        <v>0</v>
      </c>
      <c r="W1069">
        <f t="shared" si="49"/>
        <v>0</v>
      </c>
      <c r="X1069" t="str">
        <f t="shared" si="50"/>
        <v>MATCH</v>
      </c>
    </row>
    <row r="1070" spans="1:24" x14ac:dyDescent="0.3">
      <c r="A1070">
        <v>89</v>
      </c>
      <c r="B1070" t="s">
        <v>15</v>
      </c>
      <c r="C1070">
        <v>43928.31</v>
      </c>
      <c r="D1070" t="s">
        <v>2144</v>
      </c>
      <c r="E1070">
        <v>43928.31</v>
      </c>
      <c r="F1070">
        <v>0</v>
      </c>
      <c r="G1070" t="s">
        <v>2145</v>
      </c>
      <c r="H1070">
        <v>0</v>
      </c>
      <c r="I1070">
        <v>0</v>
      </c>
      <c r="J1070">
        <v>1</v>
      </c>
      <c r="K1070">
        <v>0</v>
      </c>
      <c r="L1070">
        <v>17</v>
      </c>
      <c r="M1070">
        <v>0</v>
      </c>
      <c r="N1070">
        <v>1</v>
      </c>
      <c r="O1070">
        <v>43928.31</v>
      </c>
      <c r="P1070">
        <v>2</v>
      </c>
      <c r="Q1070">
        <v>5</v>
      </c>
      <c r="R1070">
        <v>2.6</v>
      </c>
      <c r="S1070" t="s">
        <v>2312</v>
      </c>
      <c r="V1070">
        <f t="shared" si="48"/>
        <v>0</v>
      </c>
      <c r="W1070">
        <f t="shared" si="49"/>
        <v>0</v>
      </c>
      <c r="X1070" t="str">
        <f t="shared" si="50"/>
        <v>MATCH</v>
      </c>
    </row>
    <row r="1071" spans="1:24" x14ac:dyDescent="0.3">
      <c r="A1071">
        <v>89</v>
      </c>
      <c r="B1071" t="s">
        <v>18</v>
      </c>
      <c r="C1071">
        <v>43928.31</v>
      </c>
      <c r="D1071" t="s">
        <v>2146</v>
      </c>
      <c r="E1071">
        <v>43928.31</v>
      </c>
      <c r="F1071">
        <v>0</v>
      </c>
      <c r="G1071" t="s">
        <v>2147</v>
      </c>
      <c r="H1071">
        <v>0</v>
      </c>
      <c r="I1071">
        <v>43928.31</v>
      </c>
      <c r="J1071">
        <v>1</v>
      </c>
      <c r="K1071">
        <v>0</v>
      </c>
      <c r="L1071">
        <v>17</v>
      </c>
      <c r="M1071">
        <v>0</v>
      </c>
      <c r="N1071">
        <v>1</v>
      </c>
      <c r="O1071">
        <v>43928.31</v>
      </c>
      <c r="P1071">
        <v>2</v>
      </c>
      <c r="Q1071">
        <v>4</v>
      </c>
      <c r="R1071">
        <v>2.3000000000000003</v>
      </c>
      <c r="S1071" t="s">
        <v>2312</v>
      </c>
      <c r="V1071">
        <f t="shared" si="48"/>
        <v>0</v>
      </c>
      <c r="W1071">
        <f t="shared" si="49"/>
        <v>0</v>
      </c>
      <c r="X1071" t="str">
        <f t="shared" si="50"/>
        <v>MATCH</v>
      </c>
    </row>
    <row r="1072" spans="1:24" x14ac:dyDescent="0.3">
      <c r="A1072">
        <v>89</v>
      </c>
      <c r="B1072" t="s">
        <v>15</v>
      </c>
      <c r="C1072">
        <v>268230.43</v>
      </c>
      <c r="D1072" t="s">
        <v>2148</v>
      </c>
      <c r="E1072">
        <v>268230.43</v>
      </c>
      <c r="F1072">
        <v>0</v>
      </c>
      <c r="G1072" t="s">
        <v>2149</v>
      </c>
      <c r="H1072">
        <v>0</v>
      </c>
      <c r="I1072">
        <v>0</v>
      </c>
      <c r="J1072">
        <v>1</v>
      </c>
      <c r="K1072">
        <v>0</v>
      </c>
      <c r="L1072">
        <v>17</v>
      </c>
      <c r="M1072">
        <v>0</v>
      </c>
      <c r="N1072">
        <v>1</v>
      </c>
      <c r="O1072">
        <v>268230.43</v>
      </c>
      <c r="P1072">
        <v>5</v>
      </c>
      <c r="Q1072">
        <v>5</v>
      </c>
      <c r="R1072">
        <v>4.0999999999999996</v>
      </c>
      <c r="S1072" t="s">
        <v>2310</v>
      </c>
      <c r="V1072">
        <f t="shared" si="48"/>
        <v>0</v>
      </c>
      <c r="W1072">
        <f t="shared" si="49"/>
        <v>0</v>
      </c>
      <c r="X1072" t="str">
        <f t="shared" si="50"/>
        <v>MATCH</v>
      </c>
    </row>
    <row r="1073" spans="1:24" x14ac:dyDescent="0.3">
      <c r="A1073">
        <v>89</v>
      </c>
      <c r="B1073" t="s">
        <v>18</v>
      </c>
      <c r="C1073">
        <v>268230.43</v>
      </c>
      <c r="D1073" t="s">
        <v>2150</v>
      </c>
      <c r="E1073">
        <v>268230.43</v>
      </c>
      <c r="F1073">
        <v>0</v>
      </c>
      <c r="G1073" t="s">
        <v>2151</v>
      </c>
      <c r="H1073">
        <v>0</v>
      </c>
      <c r="I1073">
        <v>268230.43</v>
      </c>
      <c r="J1073">
        <v>1</v>
      </c>
      <c r="K1073">
        <v>0</v>
      </c>
      <c r="L1073">
        <v>17</v>
      </c>
      <c r="M1073">
        <v>0</v>
      </c>
      <c r="N1073">
        <v>1</v>
      </c>
      <c r="O1073">
        <v>268230.43</v>
      </c>
      <c r="P1073">
        <v>5</v>
      </c>
      <c r="Q1073">
        <v>4</v>
      </c>
      <c r="R1073">
        <v>3.8000000000000003</v>
      </c>
      <c r="S1073" t="s">
        <v>2310</v>
      </c>
      <c r="V1073">
        <f t="shared" si="48"/>
        <v>0</v>
      </c>
      <c r="W1073">
        <f t="shared" si="49"/>
        <v>0</v>
      </c>
      <c r="X1073" t="str">
        <f t="shared" si="50"/>
        <v>MATCH</v>
      </c>
    </row>
    <row r="1074" spans="1:24" x14ac:dyDescent="0.3">
      <c r="A1074">
        <v>90</v>
      </c>
      <c r="B1074" t="s">
        <v>15</v>
      </c>
      <c r="C1074">
        <v>1182557.97</v>
      </c>
      <c r="D1074" t="s">
        <v>2152</v>
      </c>
      <c r="E1074">
        <v>1182557.97</v>
      </c>
      <c r="F1074">
        <v>0</v>
      </c>
      <c r="G1074" t="s">
        <v>2153</v>
      </c>
      <c r="H1074">
        <v>0</v>
      </c>
      <c r="I1074">
        <v>0</v>
      </c>
      <c r="J1074">
        <v>1</v>
      </c>
      <c r="K1074">
        <v>0</v>
      </c>
      <c r="L1074">
        <v>18</v>
      </c>
      <c r="M1074">
        <v>0</v>
      </c>
      <c r="N1074">
        <v>1</v>
      </c>
      <c r="O1074">
        <v>1182557.97</v>
      </c>
      <c r="P1074">
        <v>5</v>
      </c>
      <c r="Q1074">
        <v>5</v>
      </c>
      <c r="R1074">
        <v>4.0999999999999996</v>
      </c>
      <c r="S1074" t="s">
        <v>2310</v>
      </c>
      <c r="V1074">
        <f t="shared" si="48"/>
        <v>0</v>
      </c>
      <c r="W1074">
        <f t="shared" si="49"/>
        <v>0</v>
      </c>
      <c r="X1074" t="str">
        <f t="shared" si="50"/>
        <v>MATCH</v>
      </c>
    </row>
    <row r="1075" spans="1:24" x14ac:dyDescent="0.3">
      <c r="A1075">
        <v>90</v>
      </c>
      <c r="B1075" t="s">
        <v>18</v>
      </c>
      <c r="C1075">
        <v>1182557.97</v>
      </c>
      <c r="D1075" t="s">
        <v>2154</v>
      </c>
      <c r="E1075">
        <v>1182557.97</v>
      </c>
      <c r="F1075">
        <v>0</v>
      </c>
      <c r="G1075" t="s">
        <v>2155</v>
      </c>
      <c r="H1075">
        <v>141273.74</v>
      </c>
      <c r="I1075">
        <v>1323831.71</v>
      </c>
      <c r="J1075">
        <v>1</v>
      </c>
      <c r="K1075">
        <v>0</v>
      </c>
      <c r="L1075">
        <v>18</v>
      </c>
      <c r="M1075">
        <v>0</v>
      </c>
      <c r="N1075">
        <v>1</v>
      </c>
      <c r="O1075">
        <v>1182557.97</v>
      </c>
      <c r="P1075">
        <v>5</v>
      </c>
      <c r="Q1075">
        <v>4</v>
      </c>
      <c r="R1075">
        <v>3.8000000000000003</v>
      </c>
      <c r="S1075" t="s">
        <v>2310</v>
      </c>
      <c r="V1075">
        <f t="shared" si="48"/>
        <v>0</v>
      </c>
      <c r="W1075">
        <f t="shared" si="49"/>
        <v>0</v>
      </c>
      <c r="X1075" t="str">
        <f t="shared" si="50"/>
        <v>MATCH</v>
      </c>
    </row>
    <row r="1076" spans="1:24" x14ac:dyDescent="0.3">
      <c r="A1076">
        <v>90</v>
      </c>
      <c r="B1076" t="s">
        <v>15</v>
      </c>
      <c r="C1076">
        <v>113309.55</v>
      </c>
      <c r="D1076" t="s">
        <v>2156</v>
      </c>
      <c r="E1076">
        <v>113309.55</v>
      </c>
      <c r="F1076">
        <v>0</v>
      </c>
      <c r="G1076" t="s">
        <v>2157</v>
      </c>
      <c r="H1076">
        <v>0</v>
      </c>
      <c r="I1076">
        <v>0</v>
      </c>
      <c r="J1076">
        <v>1</v>
      </c>
      <c r="K1076">
        <v>0</v>
      </c>
      <c r="L1076">
        <v>18</v>
      </c>
      <c r="M1076">
        <v>0</v>
      </c>
      <c r="N1076">
        <v>1</v>
      </c>
      <c r="O1076">
        <v>113309.55</v>
      </c>
      <c r="P1076">
        <v>4</v>
      </c>
      <c r="Q1076">
        <v>5</v>
      </c>
      <c r="R1076">
        <v>3.6</v>
      </c>
      <c r="S1076" t="s">
        <v>2310</v>
      </c>
      <c r="V1076">
        <f t="shared" si="48"/>
        <v>0</v>
      </c>
      <c r="W1076">
        <f t="shared" si="49"/>
        <v>0</v>
      </c>
      <c r="X1076" t="str">
        <f t="shared" si="50"/>
        <v>MATCH</v>
      </c>
    </row>
    <row r="1077" spans="1:24" x14ac:dyDescent="0.3">
      <c r="A1077">
        <v>90</v>
      </c>
      <c r="B1077" t="s">
        <v>18</v>
      </c>
      <c r="C1077">
        <v>113309.55</v>
      </c>
      <c r="D1077" t="s">
        <v>2158</v>
      </c>
      <c r="E1077">
        <v>113309.55</v>
      </c>
      <c r="F1077">
        <v>0</v>
      </c>
      <c r="G1077" t="s">
        <v>2159</v>
      </c>
      <c r="H1077">
        <v>0</v>
      </c>
      <c r="I1077">
        <v>113309.55</v>
      </c>
      <c r="J1077">
        <v>1</v>
      </c>
      <c r="K1077">
        <v>0</v>
      </c>
      <c r="L1077">
        <v>18</v>
      </c>
      <c r="M1077">
        <v>0</v>
      </c>
      <c r="N1077">
        <v>1</v>
      </c>
      <c r="O1077">
        <v>113309.55</v>
      </c>
      <c r="P1077">
        <v>4</v>
      </c>
      <c r="Q1077">
        <v>4</v>
      </c>
      <c r="R1077">
        <v>3.3000000000000003</v>
      </c>
      <c r="S1077" t="s">
        <v>2310</v>
      </c>
      <c r="V1077">
        <f t="shared" si="48"/>
        <v>0</v>
      </c>
      <c r="W1077">
        <f t="shared" si="49"/>
        <v>0</v>
      </c>
      <c r="X1077" t="str">
        <f t="shared" si="50"/>
        <v>MATCH</v>
      </c>
    </row>
    <row r="1078" spans="1:24" x14ac:dyDescent="0.3">
      <c r="A1078">
        <v>90</v>
      </c>
      <c r="B1078" t="s">
        <v>15</v>
      </c>
      <c r="C1078">
        <v>703833.48</v>
      </c>
      <c r="D1078" t="s">
        <v>2160</v>
      </c>
      <c r="E1078">
        <v>703833.48</v>
      </c>
      <c r="F1078">
        <v>0</v>
      </c>
      <c r="G1078" t="s">
        <v>2161</v>
      </c>
      <c r="H1078">
        <v>0</v>
      </c>
      <c r="I1078">
        <v>0</v>
      </c>
      <c r="J1078">
        <v>1</v>
      </c>
      <c r="K1078">
        <v>0</v>
      </c>
      <c r="L1078">
        <v>18</v>
      </c>
      <c r="M1078">
        <v>0</v>
      </c>
      <c r="N1078">
        <v>1</v>
      </c>
      <c r="O1078">
        <v>703833.48</v>
      </c>
      <c r="P1078">
        <v>5</v>
      </c>
      <c r="Q1078">
        <v>5</v>
      </c>
      <c r="R1078">
        <v>4.0999999999999996</v>
      </c>
      <c r="S1078" t="s">
        <v>2310</v>
      </c>
      <c r="V1078">
        <f t="shared" si="48"/>
        <v>0</v>
      </c>
      <c r="W1078">
        <f t="shared" si="49"/>
        <v>0</v>
      </c>
      <c r="X1078" t="str">
        <f t="shared" si="50"/>
        <v>MATCH</v>
      </c>
    </row>
    <row r="1079" spans="1:24" x14ac:dyDescent="0.3">
      <c r="A1079">
        <v>90</v>
      </c>
      <c r="B1079" t="s">
        <v>18</v>
      </c>
      <c r="C1079">
        <v>703833.48</v>
      </c>
      <c r="D1079" t="s">
        <v>2162</v>
      </c>
      <c r="E1079">
        <v>703833.48</v>
      </c>
      <c r="F1079">
        <v>0</v>
      </c>
      <c r="G1079" t="s">
        <v>2163</v>
      </c>
      <c r="H1079">
        <v>0</v>
      </c>
      <c r="I1079">
        <v>703833.48</v>
      </c>
      <c r="J1079">
        <v>1</v>
      </c>
      <c r="K1079">
        <v>0</v>
      </c>
      <c r="L1079">
        <v>18</v>
      </c>
      <c r="M1079">
        <v>0</v>
      </c>
      <c r="N1079">
        <v>1</v>
      </c>
      <c r="O1079">
        <v>703833.48</v>
      </c>
      <c r="P1079">
        <v>5</v>
      </c>
      <c r="Q1079">
        <v>4</v>
      </c>
      <c r="R1079">
        <v>3.8000000000000003</v>
      </c>
      <c r="S1079" t="s">
        <v>2310</v>
      </c>
      <c r="V1079">
        <f t="shared" si="48"/>
        <v>0</v>
      </c>
      <c r="W1079">
        <f t="shared" si="49"/>
        <v>0</v>
      </c>
      <c r="X1079" t="str">
        <f t="shared" si="50"/>
        <v>MATCH</v>
      </c>
    </row>
    <row r="1080" spans="1:24" x14ac:dyDescent="0.3">
      <c r="A1080">
        <v>90</v>
      </c>
      <c r="B1080" t="s">
        <v>15</v>
      </c>
      <c r="C1080">
        <v>134515.35999999999</v>
      </c>
      <c r="D1080" t="s">
        <v>2164</v>
      </c>
      <c r="E1080">
        <v>134515.35999999999</v>
      </c>
      <c r="F1080">
        <v>0</v>
      </c>
      <c r="G1080" t="s">
        <v>2165</v>
      </c>
      <c r="H1080">
        <v>0</v>
      </c>
      <c r="I1080">
        <v>0</v>
      </c>
      <c r="J1080">
        <v>1</v>
      </c>
      <c r="K1080">
        <v>0</v>
      </c>
      <c r="L1080">
        <v>18</v>
      </c>
      <c r="M1080">
        <v>0</v>
      </c>
      <c r="N1080">
        <v>1</v>
      </c>
      <c r="O1080">
        <v>134515.35999999999</v>
      </c>
      <c r="P1080">
        <v>4</v>
      </c>
      <c r="Q1080">
        <v>5</v>
      </c>
      <c r="R1080">
        <v>3.6</v>
      </c>
      <c r="S1080" t="s">
        <v>2310</v>
      </c>
      <c r="V1080">
        <f t="shared" si="48"/>
        <v>0</v>
      </c>
      <c r="W1080">
        <f t="shared" si="49"/>
        <v>0</v>
      </c>
      <c r="X1080" t="str">
        <f t="shared" si="50"/>
        <v>MATCH</v>
      </c>
    </row>
    <row r="1081" spans="1:24" x14ac:dyDescent="0.3">
      <c r="A1081">
        <v>90</v>
      </c>
      <c r="B1081" t="s">
        <v>18</v>
      </c>
      <c r="C1081">
        <v>134515.35999999999</v>
      </c>
      <c r="D1081" t="s">
        <v>2166</v>
      </c>
      <c r="E1081">
        <v>134515.35999999999</v>
      </c>
      <c r="F1081">
        <v>0</v>
      </c>
      <c r="G1081" t="s">
        <v>2167</v>
      </c>
      <c r="H1081">
        <v>29488.06</v>
      </c>
      <c r="I1081">
        <v>164003.41</v>
      </c>
      <c r="J1081">
        <v>1</v>
      </c>
      <c r="K1081">
        <v>0</v>
      </c>
      <c r="L1081">
        <v>18</v>
      </c>
      <c r="M1081">
        <v>0</v>
      </c>
      <c r="N1081">
        <v>1</v>
      </c>
      <c r="O1081">
        <v>134515.35999999999</v>
      </c>
      <c r="P1081">
        <v>4</v>
      </c>
      <c r="Q1081">
        <v>4</v>
      </c>
      <c r="R1081">
        <v>3.3000000000000003</v>
      </c>
      <c r="S1081" t="s">
        <v>2310</v>
      </c>
      <c r="V1081">
        <f t="shared" si="48"/>
        <v>0</v>
      </c>
      <c r="W1081">
        <f t="shared" si="49"/>
        <v>0</v>
      </c>
      <c r="X1081" t="str">
        <f t="shared" si="50"/>
        <v>MATCH</v>
      </c>
    </row>
    <row r="1082" spans="1:24" x14ac:dyDescent="0.3">
      <c r="A1082">
        <v>90</v>
      </c>
      <c r="B1082" t="s">
        <v>15</v>
      </c>
      <c r="C1082">
        <v>266746.42</v>
      </c>
      <c r="D1082" t="s">
        <v>2168</v>
      </c>
      <c r="E1082">
        <v>266746.42</v>
      </c>
      <c r="F1082">
        <v>0</v>
      </c>
      <c r="G1082" t="s">
        <v>2169</v>
      </c>
      <c r="H1082">
        <v>0</v>
      </c>
      <c r="I1082">
        <v>0</v>
      </c>
      <c r="J1082">
        <v>1</v>
      </c>
      <c r="K1082">
        <v>0</v>
      </c>
      <c r="L1082">
        <v>18</v>
      </c>
      <c r="M1082">
        <v>0</v>
      </c>
      <c r="N1082">
        <v>1</v>
      </c>
      <c r="O1082">
        <v>266746.42</v>
      </c>
      <c r="P1082">
        <v>5</v>
      </c>
      <c r="Q1082">
        <v>5</v>
      </c>
      <c r="R1082">
        <v>4.0999999999999996</v>
      </c>
      <c r="S1082" t="s">
        <v>2310</v>
      </c>
      <c r="V1082">
        <f t="shared" si="48"/>
        <v>0</v>
      </c>
      <c r="W1082">
        <f t="shared" si="49"/>
        <v>0</v>
      </c>
      <c r="X1082" t="str">
        <f t="shared" si="50"/>
        <v>MATCH</v>
      </c>
    </row>
    <row r="1083" spans="1:24" x14ac:dyDescent="0.3">
      <c r="A1083">
        <v>90</v>
      </c>
      <c r="B1083" t="s">
        <v>18</v>
      </c>
      <c r="C1083">
        <v>266746.42</v>
      </c>
      <c r="D1083" t="s">
        <v>2170</v>
      </c>
      <c r="E1083">
        <v>266746.42</v>
      </c>
      <c r="F1083">
        <v>0</v>
      </c>
      <c r="G1083" t="s">
        <v>2171</v>
      </c>
      <c r="H1083">
        <v>4433931.7699999996</v>
      </c>
      <c r="I1083">
        <v>4700678.1900000004</v>
      </c>
      <c r="J1083">
        <v>1</v>
      </c>
      <c r="K1083">
        <v>0</v>
      </c>
      <c r="L1083">
        <v>18</v>
      </c>
      <c r="M1083">
        <v>0</v>
      </c>
      <c r="N1083">
        <v>1</v>
      </c>
      <c r="O1083">
        <v>266746.42</v>
      </c>
      <c r="P1083">
        <v>5</v>
      </c>
      <c r="Q1083">
        <v>4</v>
      </c>
      <c r="R1083">
        <v>3.8000000000000003</v>
      </c>
      <c r="S1083" t="s">
        <v>2310</v>
      </c>
      <c r="V1083">
        <f t="shared" si="48"/>
        <v>0</v>
      </c>
      <c r="W1083">
        <f t="shared" si="49"/>
        <v>0</v>
      </c>
      <c r="X1083" t="str">
        <f t="shared" si="50"/>
        <v>MATCH</v>
      </c>
    </row>
    <row r="1084" spans="1:24" x14ac:dyDescent="0.3">
      <c r="A1084">
        <v>90</v>
      </c>
      <c r="B1084" t="s">
        <v>15</v>
      </c>
      <c r="C1084">
        <v>7696836.3499999996</v>
      </c>
      <c r="D1084" t="s">
        <v>2172</v>
      </c>
      <c r="E1084">
        <v>7696836.3499999996</v>
      </c>
      <c r="F1084">
        <v>0</v>
      </c>
      <c r="G1084" t="s">
        <v>2173</v>
      </c>
      <c r="H1084">
        <v>0</v>
      </c>
      <c r="I1084">
        <v>0</v>
      </c>
      <c r="J1084">
        <v>1</v>
      </c>
      <c r="K1084">
        <v>0</v>
      </c>
      <c r="L1084">
        <v>18</v>
      </c>
      <c r="M1084">
        <v>0</v>
      </c>
      <c r="N1084">
        <v>1</v>
      </c>
      <c r="O1084">
        <v>7696836.3499999996</v>
      </c>
      <c r="P1084">
        <v>5</v>
      </c>
      <c r="Q1084">
        <v>5</v>
      </c>
      <c r="R1084">
        <v>4.0999999999999996</v>
      </c>
      <c r="S1084" t="s">
        <v>2310</v>
      </c>
      <c r="V1084">
        <f t="shared" si="48"/>
        <v>0</v>
      </c>
      <c r="W1084">
        <f t="shared" si="49"/>
        <v>0</v>
      </c>
      <c r="X1084" t="str">
        <f t="shared" si="50"/>
        <v>MATCH</v>
      </c>
    </row>
    <row r="1085" spans="1:24" x14ac:dyDescent="0.3">
      <c r="A1085">
        <v>90</v>
      </c>
      <c r="B1085" t="s">
        <v>18</v>
      </c>
      <c r="C1085">
        <v>7696836.3499999996</v>
      </c>
      <c r="D1085" t="s">
        <v>2174</v>
      </c>
      <c r="E1085">
        <v>7696836.3499999996</v>
      </c>
      <c r="F1085">
        <v>0</v>
      </c>
      <c r="G1085" t="s">
        <v>2175</v>
      </c>
      <c r="H1085">
        <v>180993.45</v>
      </c>
      <c r="I1085">
        <v>7877829.7999999998</v>
      </c>
      <c r="J1085">
        <v>1</v>
      </c>
      <c r="K1085">
        <v>0</v>
      </c>
      <c r="L1085">
        <v>18</v>
      </c>
      <c r="M1085">
        <v>0</v>
      </c>
      <c r="N1085">
        <v>1</v>
      </c>
      <c r="O1085">
        <v>7696836.3499999996</v>
      </c>
      <c r="P1085">
        <v>5</v>
      </c>
      <c r="Q1085">
        <v>4</v>
      </c>
      <c r="R1085">
        <v>3.8000000000000003</v>
      </c>
      <c r="S1085" t="s">
        <v>2310</v>
      </c>
      <c r="V1085">
        <f t="shared" si="48"/>
        <v>0</v>
      </c>
      <c r="W1085">
        <f t="shared" si="49"/>
        <v>0</v>
      </c>
      <c r="X1085" t="str">
        <f t="shared" si="50"/>
        <v>MATCH</v>
      </c>
    </row>
    <row r="1086" spans="1:24" x14ac:dyDescent="0.3">
      <c r="A1086">
        <v>90</v>
      </c>
      <c r="B1086" t="s">
        <v>15</v>
      </c>
      <c r="C1086">
        <v>39664.74</v>
      </c>
      <c r="D1086" t="s">
        <v>2176</v>
      </c>
      <c r="E1086">
        <v>39664.74</v>
      </c>
      <c r="F1086">
        <v>0</v>
      </c>
      <c r="G1086" t="s">
        <v>2177</v>
      </c>
      <c r="H1086">
        <v>0</v>
      </c>
      <c r="I1086">
        <v>0</v>
      </c>
      <c r="J1086">
        <v>1</v>
      </c>
      <c r="K1086">
        <v>0</v>
      </c>
      <c r="L1086">
        <v>18</v>
      </c>
      <c r="M1086">
        <v>0</v>
      </c>
      <c r="N1086">
        <v>1</v>
      </c>
      <c r="O1086">
        <v>39664.74</v>
      </c>
      <c r="P1086">
        <v>2</v>
      </c>
      <c r="Q1086">
        <v>5</v>
      </c>
      <c r="R1086">
        <v>2.6</v>
      </c>
      <c r="S1086" t="s">
        <v>2312</v>
      </c>
      <c r="V1086">
        <f t="shared" si="48"/>
        <v>0</v>
      </c>
      <c r="W1086">
        <f t="shared" si="49"/>
        <v>0</v>
      </c>
      <c r="X1086" t="str">
        <f t="shared" si="50"/>
        <v>MATCH</v>
      </c>
    </row>
    <row r="1087" spans="1:24" x14ac:dyDescent="0.3">
      <c r="A1087">
        <v>90</v>
      </c>
      <c r="B1087" t="s">
        <v>18</v>
      </c>
      <c r="C1087">
        <v>39664.74</v>
      </c>
      <c r="D1087" t="s">
        <v>2178</v>
      </c>
      <c r="E1087">
        <v>39664.74</v>
      </c>
      <c r="F1087">
        <v>0</v>
      </c>
      <c r="G1087" t="s">
        <v>2179</v>
      </c>
      <c r="H1087">
        <v>0</v>
      </c>
      <c r="I1087">
        <v>39664.74</v>
      </c>
      <c r="J1087">
        <v>1</v>
      </c>
      <c r="K1087">
        <v>0</v>
      </c>
      <c r="L1087">
        <v>18</v>
      </c>
      <c r="M1087">
        <v>0</v>
      </c>
      <c r="N1087">
        <v>1</v>
      </c>
      <c r="O1087">
        <v>39664.74</v>
      </c>
      <c r="P1087">
        <v>2</v>
      </c>
      <c r="Q1087">
        <v>4</v>
      </c>
      <c r="R1087">
        <v>2.3000000000000003</v>
      </c>
      <c r="S1087" t="s">
        <v>2312</v>
      </c>
      <c r="V1087">
        <f t="shared" si="48"/>
        <v>0</v>
      </c>
      <c r="W1087">
        <f t="shared" si="49"/>
        <v>0</v>
      </c>
      <c r="X1087" t="str">
        <f t="shared" si="50"/>
        <v>MATCH</v>
      </c>
    </row>
    <row r="1088" spans="1:24" x14ac:dyDescent="0.3">
      <c r="A1088">
        <v>90</v>
      </c>
      <c r="B1088" t="s">
        <v>15</v>
      </c>
      <c r="C1088">
        <v>249791.3</v>
      </c>
      <c r="D1088" t="s">
        <v>2180</v>
      </c>
      <c r="E1088">
        <v>249791.3</v>
      </c>
      <c r="F1088">
        <v>0</v>
      </c>
      <c r="G1088" t="s">
        <v>2181</v>
      </c>
      <c r="H1088">
        <v>0</v>
      </c>
      <c r="I1088">
        <v>0</v>
      </c>
      <c r="J1088">
        <v>1</v>
      </c>
      <c r="K1088">
        <v>0</v>
      </c>
      <c r="L1088">
        <v>18</v>
      </c>
      <c r="M1088">
        <v>0</v>
      </c>
      <c r="N1088">
        <v>1</v>
      </c>
      <c r="O1088">
        <v>249791.3</v>
      </c>
      <c r="P1088">
        <v>5</v>
      </c>
      <c r="Q1088">
        <v>5</v>
      </c>
      <c r="R1088">
        <v>4.0999999999999996</v>
      </c>
      <c r="S1088" t="s">
        <v>2310</v>
      </c>
      <c r="V1088">
        <f t="shared" si="48"/>
        <v>0</v>
      </c>
      <c r="W1088">
        <f t="shared" si="49"/>
        <v>0</v>
      </c>
      <c r="X1088" t="str">
        <f t="shared" si="50"/>
        <v>MATCH</v>
      </c>
    </row>
    <row r="1089" spans="1:24" x14ac:dyDescent="0.3">
      <c r="A1089">
        <v>90</v>
      </c>
      <c r="B1089" t="s">
        <v>18</v>
      </c>
      <c r="C1089">
        <v>249791.3</v>
      </c>
      <c r="D1089" t="s">
        <v>2182</v>
      </c>
      <c r="E1089">
        <v>249791.3</v>
      </c>
      <c r="F1089">
        <v>0</v>
      </c>
      <c r="G1089" t="s">
        <v>2183</v>
      </c>
      <c r="H1089">
        <v>0</v>
      </c>
      <c r="I1089">
        <v>249791.3</v>
      </c>
      <c r="J1089">
        <v>1</v>
      </c>
      <c r="K1089">
        <v>0</v>
      </c>
      <c r="L1089">
        <v>18</v>
      </c>
      <c r="M1089">
        <v>0</v>
      </c>
      <c r="N1089">
        <v>1</v>
      </c>
      <c r="O1089">
        <v>249791.3</v>
      </c>
      <c r="P1089">
        <v>5</v>
      </c>
      <c r="Q1089">
        <v>4</v>
      </c>
      <c r="R1089">
        <v>3.8000000000000003</v>
      </c>
      <c r="S1089" t="s">
        <v>2310</v>
      </c>
      <c r="V1089">
        <f t="shared" si="48"/>
        <v>0</v>
      </c>
      <c r="W1089">
        <f t="shared" si="49"/>
        <v>0</v>
      </c>
      <c r="X1089" t="str">
        <f t="shared" si="50"/>
        <v>MATCH</v>
      </c>
    </row>
    <row r="1090" spans="1:24" x14ac:dyDescent="0.3">
      <c r="A1090">
        <v>91</v>
      </c>
      <c r="B1090" t="s">
        <v>15</v>
      </c>
      <c r="C1090">
        <v>921668.95</v>
      </c>
      <c r="D1090" t="s">
        <v>2184</v>
      </c>
      <c r="E1090">
        <v>921668.95</v>
      </c>
      <c r="F1090">
        <v>0</v>
      </c>
      <c r="G1090" t="s">
        <v>2185</v>
      </c>
      <c r="H1090">
        <v>0</v>
      </c>
      <c r="I1090">
        <v>0</v>
      </c>
      <c r="J1090">
        <v>1</v>
      </c>
      <c r="K1090">
        <v>0</v>
      </c>
      <c r="L1090">
        <v>19</v>
      </c>
      <c r="M1090">
        <v>0</v>
      </c>
      <c r="N1090">
        <v>1</v>
      </c>
      <c r="O1090">
        <v>921668.95</v>
      </c>
      <c r="P1090">
        <v>5</v>
      </c>
      <c r="Q1090">
        <v>5</v>
      </c>
      <c r="R1090">
        <v>4.0999999999999996</v>
      </c>
      <c r="S1090" t="s">
        <v>2310</v>
      </c>
      <c r="V1090">
        <f t="shared" si="48"/>
        <v>0</v>
      </c>
      <c r="W1090">
        <f t="shared" si="49"/>
        <v>0</v>
      </c>
      <c r="X1090" t="str">
        <f t="shared" si="50"/>
        <v>MATCH</v>
      </c>
    </row>
    <row r="1091" spans="1:24" x14ac:dyDescent="0.3">
      <c r="A1091">
        <v>91</v>
      </c>
      <c r="B1091" t="s">
        <v>18</v>
      </c>
      <c r="C1091">
        <v>921668.95</v>
      </c>
      <c r="D1091" t="s">
        <v>2186</v>
      </c>
      <c r="E1091">
        <v>921668.95</v>
      </c>
      <c r="F1091">
        <v>0</v>
      </c>
      <c r="G1091" t="s">
        <v>2187</v>
      </c>
      <c r="H1091">
        <v>96395.54</v>
      </c>
      <c r="I1091">
        <v>1018064.5</v>
      </c>
      <c r="J1091">
        <v>1</v>
      </c>
      <c r="K1091">
        <v>0</v>
      </c>
      <c r="L1091">
        <v>19</v>
      </c>
      <c r="M1091">
        <v>0</v>
      </c>
      <c r="N1091">
        <v>1</v>
      </c>
      <c r="O1091">
        <v>921668.95</v>
      </c>
      <c r="P1091">
        <v>5</v>
      </c>
      <c r="Q1091">
        <v>4</v>
      </c>
      <c r="R1091">
        <v>3.8000000000000003</v>
      </c>
      <c r="S1091" t="s">
        <v>2310</v>
      </c>
      <c r="V1091">
        <f t="shared" ref="V1091:V1143" si="51">E1091-C1091</f>
        <v>0</v>
      </c>
      <c r="W1091">
        <f t="shared" ref="W1091:W1143" si="52">ABS(F1091-V1091)</f>
        <v>0</v>
      </c>
      <c r="X1091" t="str">
        <f t="shared" ref="X1091:X1143" si="53">IF(W1091&lt;1,"MATCH","BREAK")</f>
        <v>MATCH</v>
      </c>
    </row>
    <row r="1092" spans="1:24" x14ac:dyDescent="0.3">
      <c r="A1092">
        <v>91</v>
      </c>
      <c r="B1092" t="s">
        <v>15</v>
      </c>
      <c r="C1092">
        <v>737285.03</v>
      </c>
      <c r="D1092" t="s">
        <v>2188</v>
      </c>
      <c r="E1092">
        <v>737285.03</v>
      </c>
      <c r="F1092">
        <v>0</v>
      </c>
      <c r="G1092" t="s">
        <v>2189</v>
      </c>
      <c r="H1092">
        <v>0</v>
      </c>
      <c r="I1092">
        <v>0</v>
      </c>
      <c r="J1092">
        <v>1</v>
      </c>
      <c r="K1092">
        <v>0</v>
      </c>
      <c r="L1092">
        <v>19</v>
      </c>
      <c r="M1092">
        <v>0</v>
      </c>
      <c r="N1092">
        <v>1</v>
      </c>
      <c r="O1092">
        <v>737285.03</v>
      </c>
      <c r="P1092">
        <v>5</v>
      </c>
      <c r="Q1092">
        <v>5</v>
      </c>
      <c r="R1092">
        <v>4.0999999999999996</v>
      </c>
      <c r="S1092" t="s">
        <v>2310</v>
      </c>
      <c r="V1092">
        <f t="shared" si="51"/>
        <v>0</v>
      </c>
      <c r="W1092">
        <f t="shared" si="52"/>
        <v>0</v>
      </c>
      <c r="X1092" t="str">
        <f t="shared" si="53"/>
        <v>MATCH</v>
      </c>
    </row>
    <row r="1093" spans="1:24" x14ac:dyDescent="0.3">
      <c r="A1093">
        <v>91</v>
      </c>
      <c r="B1093" t="s">
        <v>18</v>
      </c>
      <c r="C1093">
        <v>737285.03</v>
      </c>
      <c r="D1093" t="s">
        <v>2190</v>
      </c>
      <c r="E1093">
        <v>737285.03</v>
      </c>
      <c r="F1093">
        <v>0</v>
      </c>
      <c r="G1093" t="s">
        <v>2191</v>
      </c>
      <c r="H1093">
        <v>0</v>
      </c>
      <c r="I1093">
        <v>737285.03</v>
      </c>
      <c r="J1093">
        <v>1</v>
      </c>
      <c r="K1093">
        <v>0</v>
      </c>
      <c r="L1093">
        <v>19</v>
      </c>
      <c r="M1093">
        <v>0</v>
      </c>
      <c r="N1093">
        <v>1</v>
      </c>
      <c r="O1093">
        <v>737285.03</v>
      </c>
      <c r="P1093">
        <v>5</v>
      </c>
      <c r="Q1093">
        <v>4</v>
      </c>
      <c r="R1093">
        <v>3.8000000000000003</v>
      </c>
      <c r="S1093" t="s">
        <v>2310</v>
      </c>
      <c r="V1093">
        <f t="shared" si="51"/>
        <v>0</v>
      </c>
      <c r="W1093">
        <f t="shared" si="52"/>
        <v>0</v>
      </c>
      <c r="X1093" t="str">
        <f t="shared" si="53"/>
        <v>MATCH</v>
      </c>
    </row>
    <row r="1094" spans="1:24" x14ac:dyDescent="0.3">
      <c r="A1094">
        <v>91</v>
      </c>
      <c r="B1094" t="s">
        <v>15</v>
      </c>
      <c r="C1094">
        <v>28308.97</v>
      </c>
      <c r="D1094" t="s">
        <v>2192</v>
      </c>
      <c r="E1094">
        <v>28308.97</v>
      </c>
      <c r="F1094">
        <v>0</v>
      </c>
      <c r="G1094" t="s">
        <v>2193</v>
      </c>
      <c r="H1094">
        <v>0</v>
      </c>
      <c r="I1094">
        <v>0</v>
      </c>
      <c r="J1094">
        <v>1</v>
      </c>
      <c r="K1094">
        <v>0</v>
      </c>
      <c r="L1094">
        <v>19</v>
      </c>
      <c r="M1094">
        <v>0</v>
      </c>
      <c r="N1094">
        <v>1</v>
      </c>
      <c r="O1094">
        <v>28308.97</v>
      </c>
      <c r="P1094">
        <v>2</v>
      </c>
      <c r="Q1094">
        <v>5</v>
      </c>
      <c r="R1094">
        <v>2.6</v>
      </c>
      <c r="S1094" t="s">
        <v>2312</v>
      </c>
      <c r="V1094">
        <f t="shared" si="51"/>
        <v>0</v>
      </c>
      <c r="W1094">
        <f t="shared" si="52"/>
        <v>0</v>
      </c>
      <c r="X1094" t="str">
        <f t="shared" si="53"/>
        <v>MATCH</v>
      </c>
    </row>
    <row r="1095" spans="1:24" x14ac:dyDescent="0.3">
      <c r="A1095">
        <v>91</v>
      </c>
      <c r="B1095" t="s">
        <v>18</v>
      </c>
      <c r="C1095">
        <v>28308.97</v>
      </c>
      <c r="D1095" t="s">
        <v>2194</v>
      </c>
      <c r="E1095">
        <v>28308.97</v>
      </c>
      <c r="F1095">
        <v>0</v>
      </c>
      <c r="G1095" t="s">
        <v>2195</v>
      </c>
      <c r="H1095">
        <v>0</v>
      </c>
      <c r="I1095">
        <v>28308.97</v>
      </c>
      <c r="J1095">
        <v>1</v>
      </c>
      <c r="K1095">
        <v>0</v>
      </c>
      <c r="L1095">
        <v>19</v>
      </c>
      <c r="M1095">
        <v>0</v>
      </c>
      <c r="N1095">
        <v>1</v>
      </c>
      <c r="O1095">
        <v>28308.97</v>
      </c>
      <c r="P1095">
        <v>2</v>
      </c>
      <c r="Q1095">
        <v>4</v>
      </c>
      <c r="R1095">
        <v>2.3000000000000003</v>
      </c>
      <c r="S1095" t="s">
        <v>2312</v>
      </c>
      <c r="V1095">
        <f t="shared" si="51"/>
        <v>0</v>
      </c>
      <c r="W1095">
        <f t="shared" si="52"/>
        <v>0</v>
      </c>
      <c r="X1095" t="str">
        <f t="shared" si="53"/>
        <v>MATCH</v>
      </c>
    </row>
    <row r="1096" spans="1:24" x14ac:dyDescent="0.3">
      <c r="A1096">
        <v>91</v>
      </c>
      <c r="B1096" t="s">
        <v>15</v>
      </c>
      <c r="C1096">
        <v>482679.6</v>
      </c>
      <c r="D1096" t="s">
        <v>2196</v>
      </c>
      <c r="E1096">
        <v>482679.6</v>
      </c>
      <c r="F1096">
        <v>0</v>
      </c>
      <c r="G1096" t="s">
        <v>2197</v>
      </c>
      <c r="H1096">
        <v>0</v>
      </c>
      <c r="I1096">
        <v>0</v>
      </c>
      <c r="J1096">
        <v>1</v>
      </c>
      <c r="K1096">
        <v>0</v>
      </c>
      <c r="L1096">
        <v>19</v>
      </c>
      <c r="M1096">
        <v>0</v>
      </c>
      <c r="N1096">
        <v>1</v>
      </c>
      <c r="O1096">
        <v>482679.6</v>
      </c>
      <c r="P1096">
        <v>5</v>
      </c>
      <c r="Q1096">
        <v>5</v>
      </c>
      <c r="R1096">
        <v>4.0999999999999996</v>
      </c>
      <c r="S1096" t="s">
        <v>2310</v>
      </c>
      <c r="V1096">
        <f t="shared" si="51"/>
        <v>0</v>
      </c>
      <c r="W1096">
        <f t="shared" si="52"/>
        <v>0</v>
      </c>
      <c r="X1096" t="str">
        <f t="shared" si="53"/>
        <v>MATCH</v>
      </c>
    </row>
    <row r="1097" spans="1:24" x14ac:dyDescent="0.3">
      <c r="A1097">
        <v>91</v>
      </c>
      <c r="B1097" t="s">
        <v>18</v>
      </c>
      <c r="C1097">
        <v>482679.6</v>
      </c>
      <c r="D1097" t="s">
        <v>2198</v>
      </c>
      <c r="E1097">
        <v>482679.6</v>
      </c>
      <c r="F1097">
        <v>0</v>
      </c>
      <c r="G1097" t="s">
        <v>2199</v>
      </c>
      <c r="H1097">
        <v>0</v>
      </c>
      <c r="I1097">
        <v>482679.6</v>
      </c>
      <c r="J1097">
        <v>1</v>
      </c>
      <c r="K1097">
        <v>0</v>
      </c>
      <c r="L1097">
        <v>19</v>
      </c>
      <c r="M1097">
        <v>0</v>
      </c>
      <c r="N1097">
        <v>1</v>
      </c>
      <c r="O1097">
        <v>482679.6</v>
      </c>
      <c r="P1097">
        <v>5</v>
      </c>
      <c r="Q1097">
        <v>4</v>
      </c>
      <c r="R1097">
        <v>3.8000000000000003</v>
      </c>
      <c r="S1097" t="s">
        <v>2310</v>
      </c>
      <c r="V1097">
        <f t="shared" si="51"/>
        <v>0</v>
      </c>
      <c r="W1097">
        <f t="shared" si="52"/>
        <v>0</v>
      </c>
      <c r="X1097" t="str">
        <f t="shared" si="53"/>
        <v>MATCH</v>
      </c>
    </row>
    <row r="1098" spans="1:24" x14ac:dyDescent="0.3">
      <c r="A1098">
        <v>92</v>
      </c>
      <c r="B1098" t="s">
        <v>15</v>
      </c>
      <c r="C1098">
        <v>1461930.03</v>
      </c>
      <c r="D1098" t="s">
        <v>2200</v>
      </c>
      <c r="E1098">
        <v>1461930.03</v>
      </c>
      <c r="F1098">
        <v>0</v>
      </c>
      <c r="G1098" t="s">
        <v>2201</v>
      </c>
      <c r="H1098">
        <v>0</v>
      </c>
      <c r="I1098">
        <v>0</v>
      </c>
      <c r="J1098">
        <v>1</v>
      </c>
      <c r="K1098">
        <v>0</v>
      </c>
      <c r="L1098">
        <v>20</v>
      </c>
      <c r="M1098">
        <v>0</v>
      </c>
      <c r="N1098">
        <v>1</v>
      </c>
      <c r="O1098">
        <v>1461930.03</v>
      </c>
      <c r="P1098">
        <v>5</v>
      </c>
      <c r="Q1098">
        <v>5</v>
      </c>
      <c r="R1098">
        <v>4.0999999999999996</v>
      </c>
      <c r="S1098" t="s">
        <v>2310</v>
      </c>
      <c r="V1098">
        <f t="shared" si="51"/>
        <v>0</v>
      </c>
      <c r="W1098">
        <f t="shared" si="52"/>
        <v>0</v>
      </c>
      <c r="X1098" t="str">
        <f t="shared" si="53"/>
        <v>MATCH</v>
      </c>
    </row>
    <row r="1099" spans="1:24" x14ac:dyDescent="0.3">
      <c r="A1099">
        <v>92</v>
      </c>
      <c r="B1099" t="s">
        <v>18</v>
      </c>
      <c r="C1099">
        <v>1461930.03</v>
      </c>
      <c r="D1099" t="s">
        <v>2202</v>
      </c>
      <c r="E1099">
        <v>1461930.03</v>
      </c>
      <c r="F1099">
        <v>0</v>
      </c>
      <c r="G1099" t="s">
        <v>2203</v>
      </c>
      <c r="H1099">
        <v>3762496.73</v>
      </c>
      <c r="I1099">
        <v>5224426.76</v>
      </c>
      <c r="J1099">
        <v>1</v>
      </c>
      <c r="K1099">
        <v>0</v>
      </c>
      <c r="L1099">
        <v>20</v>
      </c>
      <c r="M1099">
        <v>0</v>
      </c>
      <c r="N1099">
        <v>1</v>
      </c>
      <c r="O1099">
        <v>1461930.03</v>
      </c>
      <c r="P1099">
        <v>5</v>
      </c>
      <c r="Q1099">
        <v>4</v>
      </c>
      <c r="R1099">
        <v>3.8000000000000003</v>
      </c>
      <c r="S1099" t="s">
        <v>2310</v>
      </c>
      <c r="V1099">
        <f t="shared" si="51"/>
        <v>0</v>
      </c>
      <c r="W1099">
        <f t="shared" si="52"/>
        <v>0</v>
      </c>
      <c r="X1099" t="str">
        <f t="shared" si="53"/>
        <v>MATCH</v>
      </c>
    </row>
    <row r="1100" spans="1:24" x14ac:dyDescent="0.3">
      <c r="A1100">
        <v>92</v>
      </c>
      <c r="B1100" t="s">
        <v>15</v>
      </c>
      <c r="C1100">
        <v>271908.40000000002</v>
      </c>
      <c r="D1100" t="s">
        <v>2204</v>
      </c>
      <c r="E1100">
        <v>271908.40000000002</v>
      </c>
      <c r="F1100">
        <v>0</v>
      </c>
      <c r="G1100" t="s">
        <v>2205</v>
      </c>
      <c r="H1100">
        <v>0</v>
      </c>
      <c r="I1100">
        <v>0</v>
      </c>
      <c r="J1100">
        <v>1</v>
      </c>
      <c r="K1100">
        <v>0</v>
      </c>
      <c r="L1100">
        <v>20</v>
      </c>
      <c r="M1100">
        <v>0</v>
      </c>
      <c r="N1100">
        <v>1</v>
      </c>
      <c r="O1100">
        <v>271908.40000000002</v>
      </c>
      <c r="P1100">
        <v>5</v>
      </c>
      <c r="Q1100">
        <v>5</v>
      </c>
      <c r="R1100">
        <v>4.0999999999999996</v>
      </c>
      <c r="S1100" t="s">
        <v>2310</v>
      </c>
      <c r="V1100">
        <f t="shared" si="51"/>
        <v>0</v>
      </c>
      <c r="W1100">
        <f t="shared" si="52"/>
        <v>0</v>
      </c>
      <c r="X1100" t="str">
        <f t="shared" si="53"/>
        <v>MATCH</v>
      </c>
    </row>
    <row r="1101" spans="1:24" x14ac:dyDescent="0.3">
      <c r="A1101">
        <v>92</v>
      </c>
      <c r="B1101" t="s">
        <v>18</v>
      </c>
      <c r="C1101">
        <v>271908.40000000002</v>
      </c>
      <c r="D1101" t="s">
        <v>2206</v>
      </c>
      <c r="E1101">
        <v>271908.40000000002</v>
      </c>
      <c r="F1101">
        <v>0</v>
      </c>
      <c r="G1101" t="s">
        <v>2207</v>
      </c>
      <c r="H1101">
        <v>1488088.26</v>
      </c>
      <c r="I1101">
        <v>1759996.66</v>
      </c>
      <c r="J1101">
        <v>1</v>
      </c>
      <c r="K1101">
        <v>0</v>
      </c>
      <c r="L1101">
        <v>20</v>
      </c>
      <c r="M1101">
        <v>0</v>
      </c>
      <c r="N1101">
        <v>1</v>
      </c>
      <c r="O1101">
        <v>271908.40000000002</v>
      </c>
      <c r="P1101">
        <v>5</v>
      </c>
      <c r="Q1101">
        <v>4</v>
      </c>
      <c r="R1101">
        <v>3.8000000000000003</v>
      </c>
      <c r="S1101" t="s">
        <v>2310</v>
      </c>
      <c r="V1101">
        <f t="shared" si="51"/>
        <v>0</v>
      </c>
      <c r="W1101">
        <f t="shared" si="52"/>
        <v>0</v>
      </c>
      <c r="X1101" t="str">
        <f t="shared" si="53"/>
        <v>MATCH</v>
      </c>
    </row>
    <row r="1102" spans="1:24" x14ac:dyDescent="0.3">
      <c r="A1102">
        <v>92</v>
      </c>
      <c r="B1102" t="s">
        <v>15</v>
      </c>
      <c r="C1102">
        <v>101903.69</v>
      </c>
      <c r="D1102" t="s">
        <v>2208</v>
      </c>
      <c r="E1102">
        <v>101903.69</v>
      </c>
      <c r="F1102">
        <v>0</v>
      </c>
      <c r="G1102" t="s">
        <v>2209</v>
      </c>
      <c r="H1102">
        <v>0</v>
      </c>
      <c r="I1102">
        <v>0</v>
      </c>
      <c r="J1102">
        <v>1</v>
      </c>
      <c r="K1102">
        <v>0</v>
      </c>
      <c r="L1102">
        <v>20</v>
      </c>
      <c r="M1102">
        <v>0</v>
      </c>
      <c r="N1102">
        <v>1</v>
      </c>
      <c r="O1102">
        <v>101903.69</v>
      </c>
      <c r="P1102">
        <v>4</v>
      </c>
      <c r="Q1102">
        <v>5</v>
      </c>
      <c r="R1102">
        <v>3.6</v>
      </c>
      <c r="S1102" t="s">
        <v>2310</v>
      </c>
      <c r="V1102">
        <f t="shared" si="51"/>
        <v>0</v>
      </c>
      <c r="W1102">
        <f t="shared" si="52"/>
        <v>0</v>
      </c>
      <c r="X1102" t="str">
        <f t="shared" si="53"/>
        <v>MATCH</v>
      </c>
    </row>
    <row r="1103" spans="1:24" x14ac:dyDescent="0.3">
      <c r="A1103">
        <v>92</v>
      </c>
      <c r="B1103" t="s">
        <v>18</v>
      </c>
      <c r="C1103">
        <v>101903.69</v>
      </c>
      <c r="D1103" t="s">
        <v>2210</v>
      </c>
      <c r="E1103">
        <v>101903.69</v>
      </c>
      <c r="F1103">
        <v>0</v>
      </c>
      <c r="G1103" t="s">
        <v>2211</v>
      </c>
      <c r="H1103">
        <v>280117.63</v>
      </c>
      <c r="I1103">
        <v>382021.32</v>
      </c>
      <c r="J1103">
        <v>1</v>
      </c>
      <c r="K1103">
        <v>0</v>
      </c>
      <c r="L1103">
        <v>20</v>
      </c>
      <c r="M1103">
        <v>0</v>
      </c>
      <c r="N1103">
        <v>1</v>
      </c>
      <c r="O1103">
        <v>101903.69</v>
      </c>
      <c r="P1103">
        <v>4</v>
      </c>
      <c r="Q1103">
        <v>4</v>
      </c>
      <c r="R1103">
        <v>3.3000000000000003</v>
      </c>
      <c r="S1103" t="s">
        <v>2310</v>
      </c>
      <c r="V1103">
        <f t="shared" si="51"/>
        <v>0</v>
      </c>
      <c r="W1103">
        <f t="shared" si="52"/>
        <v>0</v>
      </c>
      <c r="X1103" t="str">
        <f t="shared" si="53"/>
        <v>MATCH</v>
      </c>
    </row>
    <row r="1104" spans="1:24" x14ac:dyDescent="0.3">
      <c r="A1104">
        <v>92</v>
      </c>
      <c r="B1104" t="s">
        <v>15</v>
      </c>
      <c r="C1104">
        <v>21574.55</v>
      </c>
      <c r="D1104" t="s">
        <v>2212</v>
      </c>
      <c r="E1104">
        <v>21574.55</v>
      </c>
      <c r="F1104">
        <v>0</v>
      </c>
      <c r="G1104" t="s">
        <v>2213</v>
      </c>
      <c r="H1104">
        <v>0</v>
      </c>
      <c r="I1104">
        <v>0</v>
      </c>
      <c r="J1104">
        <v>1</v>
      </c>
      <c r="K1104">
        <v>0</v>
      </c>
      <c r="L1104">
        <v>20</v>
      </c>
      <c r="M1104">
        <v>0</v>
      </c>
      <c r="N1104">
        <v>1</v>
      </c>
      <c r="O1104">
        <v>21574.55</v>
      </c>
      <c r="P1104">
        <v>2</v>
      </c>
      <c r="Q1104">
        <v>5</v>
      </c>
      <c r="R1104">
        <v>2.6</v>
      </c>
      <c r="S1104" t="s">
        <v>2312</v>
      </c>
      <c r="V1104">
        <f t="shared" si="51"/>
        <v>0</v>
      </c>
      <c r="W1104">
        <f t="shared" si="52"/>
        <v>0</v>
      </c>
      <c r="X1104" t="str">
        <f t="shared" si="53"/>
        <v>MATCH</v>
      </c>
    </row>
    <row r="1105" spans="1:24" x14ac:dyDescent="0.3">
      <c r="A1105">
        <v>92</v>
      </c>
      <c r="B1105" t="s">
        <v>18</v>
      </c>
      <c r="C1105">
        <v>21574.55</v>
      </c>
      <c r="D1105" t="s">
        <v>2214</v>
      </c>
      <c r="E1105">
        <v>21574.55</v>
      </c>
      <c r="F1105">
        <v>0</v>
      </c>
      <c r="G1105" t="s">
        <v>2215</v>
      </c>
      <c r="H1105">
        <v>0</v>
      </c>
      <c r="I1105">
        <v>21574.55</v>
      </c>
      <c r="J1105">
        <v>1</v>
      </c>
      <c r="K1105">
        <v>0</v>
      </c>
      <c r="L1105">
        <v>20</v>
      </c>
      <c r="M1105">
        <v>0</v>
      </c>
      <c r="N1105">
        <v>1</v>
      </c>
      <c r="O1105">
        <v>21574.55</v>
      </c>
      <c r="P1105">
        <v>2</v>
      </c>
      <c r="Q1105">
        <v>4</v>
      </c>
      <c r="R1105">
        <v>2.3000000000000003</v>
      </c>
      <c r="S1105" t="s">
        <v>2312</v>
      </c>
      <c r="V1105">
        <f t="shared" si="51"/>
        <v>0</v>
      </c>
      <c r="W1105">
        <f t="shared" si="52"/>
        <v>0</v>
      </c>
      <c r="X1105" t="str">
        <f t="shared" si="53"/>
        <v>MATCH</v>
      </c>
    </row>
    <row r="1106" spans="1:24" x14ac:dyDescent="0.3">
      <c r="A1106">
        <v>92</v>
      </c>
      <c r="B1106" t="s">
        <v>15</v>
      </c>
      <c r="C1106">
        <v>19742.71</v>
      </c>
      <c r="D1106" t="s">
        <v>2216</v>
      </c>
      <c r="E1106">
        <v>19742.71</v>
      </c>
      <c r="F1106">
        <v>0</v>
      </c>
      <c r="G1106" t="s">
        <v>2217</v>
      </c>
      <c r="H1106">
        <v>0</v>
      </c>
      <c r="I1106">
        <v>0</v>
      </c>
      <c r="J1106">
        <v>1</v>
      </c>
      <c r="K1106">
        <v>0</v>
      </c>
      <c r="L1106">
        <v>20</v>
      </c>
      <c r="M1106">
        <v>0</v>
      </c>
      <c r="N1106">
        <v>1</v>
      </c>
      <c r="O1106">
        <v>19742.71</v>
      </c>
      <c r="P1106">
        <v>2</v>
      </c>
      <c r="Q1106">
        <v>5</v>
      </c>
      <c r="R1106">
        <v>2.6</v>
      </c>
      <c r="S1106" t="s">
        <v>2312</v>
      </c>
      <c r="V1106">
        <f t="shared" si="51"/>
        <v>0</v>
      </c>
      <c r="W1106">
        <f t="shared" si="52"/>
        <v>0</v>
      </c>
      <c r="X1106" t="str">
        <f t="shared" si="53"/>
        <v>MATCH</v>
      </c>
    </row>
    <row r="1107" spans="1:24" x14ac:dyDescent="0.3">
      <c r="A1107">
        <v>92</v>
      </c>
      <c r="B1107" t="s">
        <v>18</v>
      </c>
      <c r="C1107">
        <v>19742.71</v>
      </c>
      <c r="D1107" t="s">
        <v>2218</v>
      </c>
      <c r="E1107">
        <v>19742.71</v>
      </c>
      <c r="F1107">
        <v>0</v>
      </c>
      <c r="G1107" t="s">
        <v>2219</v>
      </c>
      <c r="H1107">
        <v>2098671.6800000002</v>
      </c>
      <c r="I1107">
        <v>2118414.39</v>
      </c>
      <c r="J1107">
        <v>1</v>
      </c>
      <c r="K1107">
        <v>0</v>
      </c>
      <c r="L1107">
        <v>20</v>
      </c>
      <c r="M1107">
        <v>0</v>
      </c>
      <c r="N1107">
        <v>1</v>
      </c>
      <c r="O1107">
        <v>19742.71</v>
      </c>
      <c r="P1107">
        <v>2</v>
      </c>
      <c r="Q1107">
        <v>4</v>
      </c>
      <c r="R1107">
        <v>2.3000000000000003</v>
      </c>
      <c r="S1107" t="s">
        <v>2312</v>
      </c>
      <c r="V1107">
        <f t="shared" si="51"/>
        <v>0</v>
      </c>
      <c r="W1107">
        <f t="shared" si="52"/>
        <v>0</v>
      </c>
      <c r="X1107" t="str">
        <f t="shared" si="53"/>
        <v>MATCH</v>
      </c>
    </row>
    <row r="1108" spans="1:24" x14ac:dyDescent="0.3">
      <c r="A1108">
        <v>93</v>
      </c>
      <c r="B1108" t="s">
        <v>15</v>
      </c>
      <c r="C1108">
        <v>38150.22</v>
      </c>
      <c r="D1108" t="s">
        <v>2220</v>
      </c>
      <c r="E1108">
        <v>38150.22</v>
      </c>
      <c r="F1108">
        <v>0</v>
      </c>
      <c r="G1108" t="s">
        <v>2221</v>
      </c>
      <c r="H1108">
        <v>0</v>
      </c>
      <c r="I1108">
        <v>0</v>
      </c>
      <c r="J1108">
        <v>1</v>
      </c>
      <c r="K1108">
        <v>0</v>
      </c>
      <c r="L1108">
        <v>21</v>
      </c>
      <c r="M1108">
        <v>0</v>
      </c>
      <c r="N1108">
        <v>1</v>
      </c>
      <c r="O1108">
        <v>38150.22</v>
      </c>
      <c r="P1108">
        <v>2</v>
      </c>
      <c r="Q1108">
        <v>5</v>
      </c>
      <c r="R1108">
        <v>2.6</v>
      </c>
      <c r="S1108" t="s">
        <v>2312</v>
      </c>
      <c r="V1108">
        <f t="shared" si="51"/>
        <v>0</v>
      </c>
      <c r="W1108">
        <f t="shared" si="52"/>
        <v>0</v>
      </c>
      <c r="X1108" t="str">
        <f t="shared" si="53"/>
        <v>MATCH</v>
      </c>
    </row>
    <row r="1109" spans="1:24" x14ac:dyDescent="0.3">
      <c r="A1109">
        <v>93</v>
      </c>
      <c r="B1109" t="s">
        <v>18</v>
      </c>
      <c r="C1109">
        <v>38150.22</v>
      </c>
      <c r="D1109" t="s">
        <v>2222</v>
      </c>
      <c r="E1109">
        <v>38150.22</v>
      </c>
      <c r="F1109">
        <v>0</v>
      </c>
      <c r="G1109" t="s">
        <v>2223</v>
      </c>
      <c r="H1109">
        <v>30220.14</v>
      </c>
      <c r="I1109">
        <v>68370.36</v>
      </c>
      <c r="J1109">
        <v>1</v>
      </c>
      <c r="K1109">
        <v>0</v>
      </c>
      <c r="L1109">
        <v>21</v>
      </c>
      <c r="M1109">
        <v>0</v>
      </c>
      <c r="N1109">
        <v>1</v>
      </c>
      <c r="O1109">
        <v>38150.22</v>
      </c>
      <c r="P1109">
        <v>2</v>
      </c>
      <c r="Q1109">
        <v>4</v>
      </c>
      <c r="R1109">
        <v>2.3000000000000003</v>
      </c>
      <c r="S1109" t="s">
        <v>2312</v>
      </c>
      <c r="V1109">
        <f t="shared" si="51"/>
        <v>0</v>
      </c>
      <c r="W1109">
        <f t="shared" si="52"/>
        <v>0</v>
      </c>
      <c r="X1109" t="str">
        <f t="shared" si="53"/>
        <v>MATCH</v>
      </c>
    </row>
    <row r="1110" spans="1:24" x14ac:dyDescent="0.3">
      <c r="A1110">
        <v>93</v>
      </c>
      <c r="B1110" t="s">
        <v>15</v>
      </c>
      <c r="C1110">
        <v>886588.02</v>
      </c>
      <c r="D1110" t="s">
        <v>2224</v>
      </c>
      <c r="E1110">
        <v>886588.02</v>
      </c>
      <c r="F1110">
        <v>0</v>
      </c>
      <c r="G1110" t="s">
        <v>2225</v>
      </c>
      <c r="H1110">
        <v>0</v>
      </c>
      <c r="I1110">
        <v>0</v>
      </c>
      <c r="J1110">
        <v>1</v>
      </c>
      <c r="K1110">
        <v>0</v>
      </c>
      <c r="L1110">
        <v>21</v>
      </c>
      <c r="M1110">
        <v>0</v>
      </c>
      <c r="N1110">
        <v>1</v>
      </c>
      <c r="O1110">
        <v>886588.02</v>
      </c>
      <c r="P1110">
        <v>5</v>
      </c>
      <c r="Q1110">
        <v>5</v>
      </c>
      <c r="R1110">
        <v>4.0999999999999996</v>
      </c>
      <c r="S1110" t="s">
        <v>2310</v>
      </c>
      <c r="V1110">
        <f t="shared" si="51"/>
        <v>0</v>
      </c>
      <c r="W1110">
        <f t="shared" si="52"/>
        <v>0</v>
      </c>
      <c r="X1110" t="str">
        <f t="shared" si="53"/>
        <v>MATCH</v>
      </c>
    </row>
    <row r="1111" spans="1:24" x14ac:dyDescent="0.3">
      <c r="A1111">
        <v>93</v>
      </c>
      <c r="B1111" t="s">
        <v>18</v>
      </c>
      <c r="C1111">
        <v>886588.02</v>
      </c>
      <c r="D1111" t="s">
        <v>2226</v>
      </c>
      <c r="E1111">
        <v>886588.02</v>
      </c>
      <c r="F1111">
        <v>0</v>
      </c>
      <c r="G1111" t="s">
        <v>2227</v>
      </c>
      <c r="H1111">
        <v>0</v>
      </c>
      <c r="I1111">
        <v>886588.02</v>
      </c>
      <c r="J1111">
        <v>1</v>
      </c>
      <c r="K1111">
        <v>0</v>
      </c>
      <c r="L1111">
        <v>21</v>
      </c>
      <c r="M1111">
        <v>0</v>
      </c>
      <c r="N1111">
        <v>1</v>
      </c>
      <c r="O1111">
        <v>886588.02</v>
      </c>
      <c r="P1111">
        <v>5</v>
      </c>
      <c r="Q1111">
        <v>4</v>
      </c>
      <c r="R1111">
        <v>3.8000000000000003</v>
      </c>
      <c r="S1111" t="s">
        <v>2310</v>
      </c>
      <c r="V1111">
        <f t="shared" si="51"/>
        <v>0</v>
      </c>
      <c r="W1111">
        <f t="shared" si="52"/>
        <v>0</v>
      </c>
      <c r="X1111" t="str">
        <f t="shared" si="53"/>
        <v>MATCH</v>
      </c>
    </row>
    <row r="1112" spans="1:24" x14ac:dyDescent="0.3">
      <c r="A1112">
        <v>93</v>
      </c>
      <c r="B1112" t="s">
        <v>15</v>
      </c>
      <c r="C1112">
        <v>4120.1400000000003</v>
      </c>
      <c r="D1112" t="s">
        <v>2228</v>
      </c>
      <c r="E1112">
        <v>4120.1400000000003</v>
      </c>
      <c r="F1112">
        <v>0</v>
      </c>
      <c r="G1112" t="s">
        <v>2229</v>
      </c>
      <c r="H1112">
        <v>0</v>
      </c>
      <c r="I1112">
        <v>0</v>
      </c>
      <c r="J1112">
        <v>1</v>
      </c>
      <c r="K1112">
        <v>0</v>
      </c>
      <c r="L1112">
        <v>21</v>
      </c>
      <c r="M1112">
        <v>0</v>
      </c>
      <c r="N1112">
        <v>1</v>
      </c>
      <c r="O1112">
        <v>4120.1400000000003</v>
      </c>
      <c r="P1112">
        <v>1</v>
      </c>
      <c r="Q1112">
        <v>5</v>
      </c>
      <c r="R1112">
        <v>2.1</v>
      </c>
      <c r="S1112" t="s">
        <v>2312</v>
      </c>
      <c r="V1112">
        <f t="shared" si="51"/>
        <v>0</v>
      </c>
      <c r="W1112">
        <f t="shared" si="52"/>
        <v>0</v>
      </c>
      <c r="X1112" t="str">
        <f t="shared" si="53"/>
        <v>MATCH</v>
      </c>
    </row>
    <row r="1113" spans="1:24" x14ac:dyDescent="0.3">
      <c r="A1113">
        <v>93</v>
      </c>
      <c r="B1113" t="s">
        <v>18</v>
      </c>
      <c r="C1113">
        <v>4120.1400000000003</v>
      </c>
      <c r="D1113" t="s">
        <v>2230</v>
      </c>
      <c r="E1113">
        <v>4120.1400000000003</v>
      </c>
      <c r="F1113">
        <v>0</v>
      </c>
      <c r="G1113" t="s">
        <v>2231</v>
      </c>
      <c r="H1113">
        <v>0</v>
      </c>
      <c r="I1113">
        <v>4120.1400000000003</v>
      </c>
      <c r="J1113">
        <v>1</v>
      </c>
      <c r="K1113">
        <v>0</v>
      </c>
      <c r="L1113">
        <v>21</v>
      </c>
      <c r="M1113">
        <v>0</v>
      </c>
      <c r="N1113">
        <v>1</v>
      </c>
      <c r="O1113">
        <v>4120.1400000000003</v>
      </c>
      <c r="P1113">
        <v>1</v>
      </c>
      <c r="Q1113">
        <v>4</v>
      </c>
      <c r="R1113">
        <v>1.8</v>
      </c>
      <c r="S1113" t="s">
        <v>2311</v>
      </c>
      <c r="V1113">
        <f t="shared" si="51"/>
        <v>0</v>
      </c>
      <c r="W1113">
        <f t="shared" si="52"/>
        <v>0</v>
      </c>
      <c r="X1113" t="str">
        <f t="shared" si="53"/>
        <v>MATCH</v>
      </c>
    </row>
    <row r="1114" spans="1:24" x14ac:dyDescent="0.3">
      <c r="A1114">
        <v>93</v>
      </c>
      <c r="B1114" t="s">
        <v>15</v>
      </c>
      <c r="C1114">
        <v>3206623.39</v>
      </c>
      <c r="D1114" t="s">
        <v>2232</v>
      </c>
      <c r="E1114">
        <v>3206623.39</v>
      </c>
      <c r="F1114">
        <v>0</v>
      </c>
      <c r="G1114" t="s">
        <v>2233</v>
      </c>
      <c r="H1114">
        <v>0</v>
      </c>
      <c r="I1114">
        <v>0</v>
      </c>
      <c r="J1114">
        <v>1</v>
      </c>
      <c r="K1114">
        <v>0</v>
      </c>
      <c r="L1114">
        <v>21</v>
      </c>
      <c r="M1114">
        <v>0</v>
      </c>
      <c r="N1114">
        <v>1</v>
      </c>
      <c r="O1114">
        <v>3206623.39</v>
      </c>
      <c r="P1114">
        <v>5</v>
      </c>
      <c r="Q1114">
        <v>5</v>
      </c>
      <c r="R1114">
        <v>4.0999999999999996</v>
      </c>
      <c r="S1114" t="s">
        <v>2310</v>
      </c>
      <c r="V1114">
        <f t="shared" si="51"/>
        <v>0</v>
      </c>
      <c r="W1114">
        <f t="shared" si="52"/>
        <v>0</v>
      </c>
      <c r="X1114" t="str">
        <f t="shared" si="53"/>
        <v>MATCH</v>
      </c>
    </row>
    <row r="1115" spans="1:24" x14ac:dyDescent="0.3">
      <c r="A1115">
        <v>93</v>
      </c>
      <c r="B1115" t="s">
        <v>18</v>
      </c>
      <c r="C1115">
        <v>3206623.39</v>
      </c>
      <c r="D1115" t="s">
        <v>2234</v>
      </c>
      <c r="E1115">
        <v>3206623.39</v>
      </c>
      <c r="F1115">
        <v>0</v>
      </c>
      <c r="G1115" t="s">
        <v>2235</v>
      </c>
      <c r="H1115">
        <v>3449811.9</v>
      </c>
      <c r="I1115">
        <v>6965506.6699999999</v>
      </c>
      <c r="J1115">
        <v>1</v>
      </c>
      <c r="K1115">
        <v>0</v>
      </c>
      <c r="L1115">
        <v>21</v>
      </c>
      <c r="M1115">
        <v>0</v>
      </c>
      <c r="N1115">
        <v>1</v>
      </c>
      <c r="O1115">
        <v>3206623.39</v>
      </c>
      <c r="P1115">
        <v>5</v>
      </c>
      <c r="Q1115">
        <v>4</v>
      </c>
      <c r="R1115">
        <v>3.8000000000000003</v>
      </c>
      <c r="S1115" t="s">
        <v>2310</v>
      </c>
      <c r="V1115">
        <f t="shared" si="51"/>
        <v>0</v>
      </c>
      <c r="W1115">
        <f t="shared" si="52"/>
        <v>0</v>
      </c>
      <c r="X1115" t="str">
        <f t="shared" si="53"/>
        <v>MATCH</v>
      </c>
    </row>
    <row r="1116" spans="1:24" x14ac:dyDescent="0.3">
      <c r="A1116">
        <v>93</v>
      </c>
      <c r="B1116" t="s">
        <v>15</v>
      </c>
      <c r="C1116">
        <v>315654.19</v>
      </c>
      <c r="D1116" t="s">
        <v>2236</v>
      </c>
      <c r="E1116">
        <v>315654.19</v>
      </c>
      <c r="F1116">
        <v>0</v>
      </c>
      <c r="G1116" t="s">
        <v>2237</v>
      </c>
      <c r="H1116">
        <v>0</v>
      </c>
      <c r="I1116">
        <v>0</v>
      </c>
      <c r="J1116">
        <v>1</v>
      </c>
      <c r="K1116">
        <v>0</v>
      </c>
      <c r="L1116">
        <v>21</v>
      </c>
      <c r="M1116">
        <v>0</v>
      </c>
      <c r="N1116">
        <v>1</v>
      </c>
      <c r="O1116">
        <v>315654.19</v>
      </c>
      <c r="P1116">
        <v>5</v>
      </c>
      <c r="Q1116">
        <v>5</v>
      </c>
      <c r="R1116">
        <v>4.0999999999999996</v>
      </c>
      <c r="S1116" t="s">
        <v>2310</v>
      </c>
      <c r="V1116">
        <f t="shared" si="51"/>
        <v>0</v>
      </c>
      <c r="W1116">
        <f t="shared" si="52"/>
        <v>0</v>
      </c>
      <c r="X1116" t="str">
        <f t="shared" si="53"/>
        <v>MATCH</v>
      </c>
    </row>
    <row r="1117" spans="1:24" x14ac:dyDescent="0.3">
      <c r="A1117">
        <v>93</v>
      </c>
      <c r="B1117" t="s">
        <v>18</v>
      </c>
      <c r="C1117">
        <v>315654.19</v>
      </c>
      <c r="D1117" t="s">
        <v>2238</v>
      </c>
      <c r="E1117">
        <v>315654.19</v>
      </c>
      <c r="F1117">
        <v>0</v>
      </c>
      <c r="G1117" t="s">
        <v>2239</v>
      </c>
      <c r="H1117">
        <v>0</v>
      </c>
      <c r="I1117">
        <v>315654.19</v>
      </c>
      <c r="J1117">
        <v>1</v>
      </c>
      <c r="K1117">
        <v>0</v>
      </c>
      <c r="L1117">
        <v>21</v>
      </c>
      <c r="M1117">
        <v>0</v>
      </c>
      <c r="N1117">
        <v>1</v>
      </c>
      <c r="O1117">
        <v>315654.19</v>
      </c>
      <c r="P1117">
        <v>5</v>
      </c>
      <c r="Q1117">
        <v>4</v>
      </c>
      <c r="R1117">
        <v>3.8000000000000003</v>
      </c>
      <c r="S1117" t="s">
        <v>2310</v>
      </c>
      <c r="V1117">
        <f t="shared" si="51"/>
        <v>0</v>
      </c>
      <c r="W1117">
        <f t="shared" si="52"/>
        <v>0</v>
      </c>
      <c r="X1117" t="str">
        <f t="shared" si="53"/>
        <v>MATCH</v>
      </c>
    </row>
    <row r="1118" spans="1:24" x14ac:dyDescent="0.3">
      <c r="A1118">
        <v>93</v>
      </c>
      <c r="B1118" t="s">
        <v>15</v>
      </c>
      <c r="C1118">
        <v>175313.96</v>
      </c>
      <c r="D1118" t="s">
        <v>2240</v>
      </c>
      <c r="E1118">
        <v>175313.96</v>
      </c>
      <c r="F1118">
        <v>0</v>
      </c>
      <c r="G1118" t="s">
        <v>2241</v>
      </c>
      <c r="H1118">
        <v>0</v>
      </c>
      <c r="I1118">
        <v>0</v>
      </c>
      <c r="J1118">
        <v>1</v>
      </c>
      <c r="K1118">
        <v>0</v>
      </c>
      <c r="L1118">
        <v>21</v>
      </c>
      <c r="M1118">
        <v>0</v>
      </c>
      <c r="N1118">
        <v>1</v>
      </c>
      <c r="O1118">
        <v>175313.96</v>
      </c>
      <c r="P1118">
        <v>4</v>
      </c>
      <c r="Q1118">
        <v>5</v>
      </c>
      <c r="R1118">
        <v>3.6</v>
      </c>
      <c r="S1118" t="s">
        <v>2310</v>
      </c>
      <c r="V1118">
        <f t="shared" si="51"/>
        <v>0</v>
      </c>
      <c r="W1118">
        <f t="shared" si="52"/>
        <v>0</v>
      </c>
      <c r="X1118" t="str">
        <f t="shared" si="53"/>
        <v>MATCH</v>
      </c>
    </row>
    <row r="1119" spans="1:24" x14ac:dyDescent="0.3">
      <c r="A1119">
        <v>93</v>
      </c>
      <c r="B1119" t="s">
        <v>18</v>
      </c>
      <c r="C1119">
        <v>175313.96</v>
      </c>
      <c r="D1119" t="s">
        <v>2242</v>
      </c>
      <c r="E1119">
        <v>175313.96</v>
      </c>
      <c r="F1119">
        <v>0</v>
      </c>
      <c r="G1119" t="s">
        <v>2243</v>
      </c>
      <c r="H1119">
        <v>2911229.9</v>
      </c>
      <c r="I1119">
        <v>3086543.86</v>
      </c>
      <c r="J1119">
        <v>1</v>
      </c>
      <c r="K1119">
        <v>0</v>
      </c>
      <c r="L1119">
        <v>21</v>
      </c>
      <c r="M1119">
        <v>0</v>
      </c>
      <c r="N1119">
        <v>1</v>
      </c>
      <c r="O1119">
        <v>175313.96</v>
      </c>
      <c r="P1119">
        <v>4</v>
      </c>
      <c r="Q1119">
        <v>4</v>
      </c>
      <c r="R1119">
        <v>3.3000000000000003</v>
      </c>
      <c r="S1119" t="s">
        <v>2310</v>
      </c>
      <c r="V1119">
        <f t="shared" si="51"/>
        <v>0</v>
      </c>
      <c r="W1119">
        <f t="shared" si="52"/>
        <v>0</v>
      </c>
      <c r="X1119" t="str">
        <f t="shared" si="53"/>
        <v>MATCH</v>
      </c>
    </row>
    <row r="1120" spans="1:24" x14ac:dyDescent="0.3">
      <c r="A1120">
        <v>93</v>
      </c>
      <c r="B1120" t="s">
        <v>15</v>
      </c>
      <c r="C1120">
        <v>3723738.06</v>
      </c>
      <c r="D1120" t="s">
        <v>2244</v>
      </c>
      <c r="E1120">
        <v>3723738.06</v>
      </c>
      <c r="F1120">
        <v>0</v>
      </c>
      <c r="G1120" t="s">
        <v>2245</v>
      </c>
      <c r="H1120">
        <v>0</v>
      </c>
      <c r="I1120">
        <v>0</v>
      </c>
      <c r="J1120">
        <v>1</v>
      </c>
      <c r="K1120">
        <v>0</v>
      </c>
      <c r="L1120">
        <v>21</v>
      </c>
      <c r="M1120">
        <v>0</v>
      </c>
      <c r="N1120">
        <v>1</v>
      </c>
      <c r="O1120">
        <v>3723738.06</v>
      </c>
      <c r="P1120">
        <v>5</v>
      </c>
      <c r="Q1120">
        <v>5</v>
      </c>
      <c r="R1120">
        <v>4.0999999999999996</v>
      </c>
      <c r="S1120" t="s">
        <v>2310</v>
      </c>
      <c r="V1120">
        <f t="shared" si="51"/>
        <v>0</v>
      </c>
      <c r="W1120">
        <f t="shared" si="52"/>
        <v>0</v>
      </c>
      <c r="X1120" t="str">
        <f t="shared" si="53"/>
        <v>MATCH</v>
      </c>
    </row>
    <row r="1121" spans="1:24" x14ac:dyDescent="0.3">
      <c r="A1121">
        <v>93</v>
      </c>
      <c r="B1121" t="s">
        <v>18</v>
      </c>
      <c r="C1121">
        <v>3723738.06</v>
      </c>
      <c r="D1121" t="s">
        <v>2246</v>
      </c>
      <c r="E1121">
        <v>3723738.06</v>
      </c>
      <c r="F1121">
        <v>0</v>
      </c>
      <c r="G1121" t="s">
        <v>2247</v>
      </c>
      <c r="H1121">
        <v>3216391.21</v>
      </c>
      <c r="I1121">
        <v>6940129.2699999996</v>
      </c>
      <c r="J1121">
        <v>1</v>
      </c>
      <c r="K1121">
        <v>0</v>
      </c>
      <c r="L1121">
        <v>21</v>
      </c>
      <c r="M1121">
        <v>0</v>
      </c>
      <c r="N1121">
        <v>1</v>
      </c>
      <c r="O1121">
        <v>3723738.06</v>
      </c>
      <c r="P1121">
        <v>5</v>
      </c>
      <c r="Q1121">
        <v>4</v>
      </c>
      <c r="R1121">
        <v>3.8000000000000003</v>
      </c>
      <c r="S1121" t="s">
        <v>2310</v>
      </c>
      <c r="V1121">
        <f t="shared" si="51"/>
        <v>0</v>
      </c>
      <c r="W1121">
        <f t="shared" si="52"/>
        <v>0</v>
      </c>
      <c r="X1121" t="str">
        <f t="shared" si="53"/>
        <v>MATCH</v>
      </c>
    </row>
    <row r="1122" spans="1:24" x14ac:dyDescent="0.3">
      <c r="A1122">
        <v>93</v>
      </c>
      <c r="B1122" t="s">
        <v>15</v>
      </c>
      <c r="C1122">
        <v>269545.63</v>
      </c>
      <c r="D1122" t="s">
        <v>2248</v>
      </c>
      <c r="E1122">
        <v>269545.63</v>
      </c>
      <c r="F1122">
        <v>0</v>
      </c>
      <c r="G1122" t="s">
        <v>2249</v>
      </c>
      <c r="H1122">
        <v>0</v>
      </c>
      <c r="I1122">
        <v>0</v>
      </c>
      <c r="J1122">
        <v>1</v>
      </c>
      <c r="K1122">
        <v>0</v>
      </c>
      <c r="L1122">
        <v>21</v>
      </c>
      <c r="M1122">
        <v>0</v>
      </c>
      <c r="N1122">
        <v>1</v>
      </c>
      <c r="O1122">
        <v>269545.63</v>
      </c>
      <c r="P1122">
        <v>5</v>
      </c>
      <c r="Q1122">
        <v>5</v>
      </c>
      <c r="R1122">
        <v>4.0999999999999996</v>
      </c>
      <c r="S1122" t="s">
        <v>2310</v>
      </c>
      <c r="V1122">
        <f t="shared" si="51"/>
        <v>0</v>
      </c>
      <c r="W1122">
        <f t="shared" si="52"/>
        <v>0</v>
      </c>
      <c r="X1122" t="str">
        <f t="shared" si="53"/>
        <v>MATCH</v>
      </c>
    </row>
    <row r="1123" spans="1:24" x14ac:dyDescent="0.3">
      <c r="A1123">
        <v>93</v>
      </c>
      <c r="B1123" t="s">
        <v>18</v>
      </c>
      <c r="C1123">
        <v>269545.63</v>
      </c>
      <c r="D1123" t="s">
        <v>2250</v>
      </c>
      <c r="E1123">
        <v>269545.63</v>
      </c>
      <c r="F1123">
        <v>0</v>
      </c>
      <c r="G1123" t="s">
        <v>2251</v>
      </c>
      <c r="H1123">
        <v>905690.55</v>
      </c>
      <c r="I1123">
        <v>1175236.17</v>
      </c>
      <c r="J1123">
        <v>1</v>
      </c>
      <c r="K1123">
        <v>0</v>
      </c>
      <c r="L1123">
        <v>21</v>
      </c>
      <c r="M1123">
        <v>0</v>
      </c>
      <c r="N1123">
        <v>1</v>
      </c>
      <c r="O1123">
        <v>269545.63</v>
      </c>
      <c r="P1123">
        <v>5</v>
      </c>
      <c r="Q1123">
        <v>4</v>
      </c>
      <c r="R1123">
        <v>3.8000000000000003</v>
      </c>
      <c r="S1123" t="s">
        <v>2310</v>
      </c>
      <c r="V1123">
        <f t="shared" si="51"/>
        <v>0</v>
      </c>
      <c r="W1123">
        <f t="shared" si="52"/>
        <v>0</v>
      </c>
      <c r="X1123" t="str">
        <f t="shared" si="53"/>
        <v>MATCH</v>
      </c>
    </row>
    <row r="1124" spans="1:24" x14ac:dyDescent="0.3">
      <c r="A1124">
        <v>94</v>
      </c>
      <c r="B1124" t="s">
        <v>15</v>
      </c>
      <c r="C1124">
        <v>2169679.91</v>
      </c>
      <c r="D1124" t="s">
        <v>2252</v>
      </c>
      <c r="E1124">
        <v>2169679.91</v>
      </c>
      <c r="F1124">
        <v>0</v>
      </c>
      <c r="G1124" t="s">
        <v>2253</v>
      </c>
      <c r="H1124">
        <v>0</v>
      </c>
      <c r="I1124">
        <v>0</v>
      </c>
      <c r="J1124">
        <v>1</v>
      </c>
      <c r="K1124">
        <v>0</v>
      </c>
      <c r="L1124">
        <v>22</v>
      </c>
      <c r="M1124">
        <v>0</v>
      </c>
      <c r="N1124">
        <v>1</v>
      </c>
      <c r="O1124">
        <v>2169679.91</v>
      </c>
      <c r="P1124">
        <v>5</v>
      </c>
      <c r="Q1124">
        <v>5</v>
      </c>
      <c r="R1124">
        <v>4.0999999999999996</v>
      </c>
      <c r="S1124" t="s">
        <v>2310</v>
      </c>
      <c r="V1124">
        <f t="shared" si="51"/>
        <v>0</v>
      </c>
      <c r="W1124">
        <f t="shared" si="52"/>
        <v>0</v>
      </c>
      <c r="X1124" t="str">
        <f t="shared" si="53"/>
        <v>MATCH</v>
      </c>
    </row>
    <row r="1125" spans="1:24" x14ac:dyDescent="0.3">
      <c r="A1125">
        <v>94</v>
      </c>
      <c r="B1125" t="s">
        <v>18</v>
      </c>
      <c r="C1125">
        <v>2169679.91</v>
      </c>
      <c r="D1125" t="s">
        <v>2254</v>
      </c>
      <c r="E1125">
        <v>2169679.91</v>
      </c>
      <c r="F1125">
        <v>0</v>
      </c>
      <c r="G1125" t="s">
        <v>2255</v>
      </c>
      <c r="H1125">
        <v>0</v>
      </c>
      <c r="I1125">
        <v>2169679.91</v>
      </c>
      <c r="J1125">
        <v>1</v>
      </c>
      <c r="K1125">
        <v>0</v>
      </c>
      <c r="L1125">
        <v>22</v>
      </c>
      <c r="M1125">
        <v>0</v>
      </c>
      <c r="N1125">
        <v>1</v>
      </c>
      <c r="O1125">
        <v>2169679.91</v>
      </c>
      <c r="P1125">
        <v>5</v>
      </c>
      <c r="Q1125">
        <v>4</v>
      </c>
      <c r="R1125">
        <v>3.8000000000000003</v>
      </c>
      <c r="S1125" t="s">
        <v>2310</v>
      </c>
      <c r="V1125">
        <f t="shared" si="51"/>
        <v>0</v>
      </c>
      <c r="W1125">
        <f t="shared" si="52"/>
        <v>0</v>
      </c>
      <c r="X1125" t="str">
        <f t="shared" si="53"/>
        <v>MATCH</v>
      </c>
    </row>
    <row r="1126" spans="1:24" x14ac:dyDescent="0.3">
      <c r="A1126">
        <v>94</v>
      </c>
      <c r="B1126" t="s">
        <v>15</v>
      </c>
      <c r="C1126">
        <v>1454592.61</v>
      </c>
      <c r="D1126" t="s">
        <v>2256</v>
      </c>
      <c r="E1126">
        <v>1454592.61</v>
      </c>
      <c r="F1126">
        <v>0</v>
      </c>
      <c r="G1126" t="s">
        <v>2257</v>
      </c>
      <c r="H1126">
        <v>0</v>
      </c>
      <c r="I1126">
        <v>0</v>
      </c>
      <c r="J1126">
        <v>1</v>
      </c>
      <c r="K1126">
        <v>0</v>
      </c>
      <c r="L1126">
        <v>22</v>
      </c>
      <c r="M1126">
        <v>0</v>
      </c>
      <c r="N1126">
        <v>1</v>
      </c>
      <c r="O1126">
        <v>1454592.61</v>
      </c>
      <c r="P1126">
        <v>5</v>
      </c>
      <c r="Q1126">
        <v>5</v>
      </c>
      <c r="R1126">
        <v>4.0999999999999996</v>
      </c>
      <c r="S1126" t="s">
        <v>2310</v>
      </c>
      <c r="V1126">
        <f t="shared" si="51"/>
        <v>0</v>
      </c>
      <c r="W1126">
        <f t="shared" si="52"/>
        <v>0</v>
      </c>
      <c r="X1126" t="str">
        <f t="shared" si="53"/>
        <v>MATCH</v>
      </c>
    </row>
    <row r="1127" spans="1:24" x14ac:dyDescent="0.3">
      <c r="A1127">
        <v>94</v>
      </c>
      <c r="B1127" t="s">
        <v>18</v>
      </c>
      <c r="C1127">
        <v>1454592.61</v>
      </c>
      <c r="D1127" t="s">
        <v>2258</v>
      </c>
      <c r="E1127">
        <v>1454592.61</v>
      </c>
      <c r="F1127">
        <v>0</v>
      </c>
      <c r="G1127" t="s">
        <v>2259</v>
      </c>
      <c r="H1127">
        <v>264042.92</v>
      </c>
      <c r="I1127">
        <v>1718635.53</v>
      </c>
      <c r="J1127">
        <v>1</v>
      </c>
      <c r="K1127">
        <v>0</v>
      </c>
      <c r="L1127">
        <v>22</v>
      </c>
      <c r="M1127">
        <v>0</v>
      </c>
      <c r="N1127">
        <v>1</v>
      </c>
      <c r="O1127">
        <v>1454592.61</v>
      </c>
      <c r="P1127">
        <v>5</v>
      </c>
      <c r="Q1127">
        <v>4</v>
      </c>
      <c r="R1127">
        <v>3.8000000000000003</v>
      </c>
      <c r="S1127" t="s">
        <v>2310</v>
      </c>
      <c r="V1127">
        <f t="shared" si="51"/>
        <v>0</v>
      </c>
      <c r="W1127">
        <f t="shared" si="52"/>
        <v>0</v>
      </c>
      <c r="X1127" t="str">
        <f t="shared" si="53"/>
        <v>MATCH</v>
      </c>
    </row>
    <row r="1128" spans="1:24" x14ac:dyDescent="0.3">
      <c r="A1128">
        <v>94</v>
      </c>
      <c r="B1128" t="s">
        <v>15</v>
      </c>
      <c r="C1128">
        <v>460635.82</v>
      </c>
      <c r="D1128" t="s">
        <v>2260</v>
      </c>
      <c r="E1128">
        <v>460635.82</v>
      </c>
      <c r="F1128">
        <v>0</v>
      </c>
      <c r="G1128" t="s">
        <v>2261</v>
      </c>
      <c r="H1128">
        <v>0</v>
      </c>
      <c r="I1128">
        <v>0</v>
      </c>
      <c r="J1128">
        <v>1</v>
      </c>
      <c r="K1128">
        <v>0</v>
      </c>
      <c r="L1128">
        <v>22</v>
      </c>
      <c r="M1128">
        <v>0</v>
      </c>
      <c r="N1128">
        <v>1</v>
      </c>
      <c r="O1128">
        <v>460635.82</v>
      </c>
      <c r="P1128">
        <v>5</v>
      </c>
      <c r="Q1128">
        <v>5</v>
      </c>
      <c r="R1128">
        <v>4.0999999999999996</v>
      </c>
      <c r="S1128" t="s">
        <v>2310</v>
      </c>
      <c r="V1128">
        <f t="shared" si="51"/>
        <v>0</v>
      </c>
      <c r="W1128">
        <f t="shared" si="52"/>
        <v>0</v>
      </c>
      <c r="X1128" t="str">
        <f t="shared" si="53"/>
        <v>MATCH</v>
      </c>
    </row>
    <row r="1129" spans="1:24" x14ac:dyDescent="0.3">
      <c r="A1129">
        <v>94</v>
      </c>
      <c r="B1129" t="s">
        <v>18</v>
      </c>
      <c r="C1129">
        <v>460635.82</v>
      </c>
      <c r="D1129" t="s">
        <v>2262</v>
      </c>
      <c r="E1129">
        <v>460635.82</v>
      </c>
      <c r="F1129">
        <v>0</v>
      </c>
      <c r="G1129" t="s">
        <v>2263</v>
      </c>
      <c r="H1129">
        <v>544728.68999999994</v>
      </c>
      <c r="I1129">
        <v>1005364.51</v>
      </c>
      <c r="J1129">
        <v>1</v>
      </c>
      <c r="K1129">
        <v>0</v>
      </c>
      <c r="L1129">
        <v>22</v>
      </c>
      <c r="M1129">
        <v>0</v>
      </c>
      <c r="N1129">
        <v>1</v>
      </c>
      <c r="O1129">
        <v>460635.82</v>
      </c>
      <c r="P1129">
        <v>5</v>
      </c>
      <c r="Q1129">
        <v>4</v>
      </c>
      <c r="R1129">
        <v>3.8000000000000003</v>
      </c>
      <c r="S1129" t="s">
        <v>2310</v>
      </c>
      <c r="V1129">
        <f t="shared" si="51"/>
        <v>0</v>
      </c>
      <c r="W1129">
        <f t="shared" si="52"/>
        <v>0</v>
      </c>
      <c r="X1129" t="str">
        <f t="shared" si="53"/>
        <v>MATCH</v>
      </c>
    </row>
    <row r="1130" spans="1:24" x14ac:dyDescent="0.3">
      <c r="A1130">
        <v>94</v>
      </c>
      <c r="B1130" t="s">
        <v>15</v>
      </c>
      <c r="C1130">
        <v>2393539.65</v>
      </c>
      <c r="D1130" t="s">
        <v>2264</v>
      </c>
      <c r="E1130">
        <v>2393539.65</v>
      </c>
      <c r="F1130">
        <v>0</v>
      </c>
      <c r="G1130" t="s">
        <v>2265</v>
      </c>
      <c r="H1130">
        <v>0</v>
      </c>
      <c r="I1130">
        <v>0</v>
      </c>
      <c r="J1130">
        <v>1</v>
      </c>
      <c r="K1130">
        <v>0</v>
      </c>
      <c r="L1130">
        <v>22</v>
      </c>
      <c r="M1130">
        <v>0</v>
      </c>
      <c r="N1130">
        <v>1</v>
      </c>
      <c r="O1130">
        <v>2393539.65</v>
      </c>
      <c r="P1130">
        <v>5</v>
      </c>
      <c r="Q1130">
        <v>5</v>
      </c>
      <c r="R1130">
        <v>4.0999999999999996</v>
      </c>
      <c r="S1130" t="s">
        <v>2310</v>
      </c>
      <c r="V1130">
        <f t="shared" si="51"/>
        <v>0</v>
      </c>
      <c r="W1130">
        <f t="shared" si="52"/>
        <v>0</v>
      </c>
      <c r="X1130" t="str">
        <f t="shared" si="53"/>
        <v>MATCH</v>
      </c>
    </row>
    <row r="1131" spans="1:24" x14ac:dyDescent="0.3">
      <c r="A1131">
        <v>94</v>
      </c>
      <c r="B1131" t="s">
        <v>18</v>
      </c>
      <c r="C1131">
        <v>2393539.65</v>
      </c>
      <c r="D1131" t="s">
        <v>2266</v>
      </c>
      <c r="E1131">
        <v>2393539.65</v>
      </c>
      <c r="F1131">
        <v>0</v>
      </c>
      <c r="G1131" t="s">
        <v>2267</v>
      </c>
      <c r="H1131">
        <v>5157128.07</v>
      </c>
      <c r="I1131">
        <v>7550667.7300000004</v>
      </c>
      <c r="J1131">
        <v>1</v>
      </c>
      <c r="K1131">
        <v>0</v>
      </c>
      <c r="L1131">
        <v>22</v>
      </c>
      <c r="M1131">
        <v>0</v>
      </c>
      <c r="N1131">
        <v>1</v>
      </c>
      <c r="O1131">
        <v>2393539.65</v>
      </c>
      <c r="P1131">
        <v>5</v>
      </c>
      <c r="Q1131">
        <v>4</v>
      </c>
      <c r="R1131">
        <v>3.8000000000000003</v>
      </c>
      <c r="S1131" t="s">
        <v>2310</v>
      </c>
      <c r="V1131">
        <f t="shared" si="51"/>
        <v>0</v>
      </c>
      <c r="W1131">
        <f t="shared" si="52"/>
        <v>0</v>
      </c>
      <c r="X1131" t="str">
        <f t="shared" si="53"/>
        <v>MATCH</v>
      </c>
    </row>
    <row r="1132" spans="1:24" x14ac:dyDescent="0.3">
      <c r="A1132">
        <v>94</v>
      </c>
      <c r="B1132" t="s">
        <v>15</v>
      </c>
      <c r="C1132">
        <v>445257.43</v>
      </c>
      <c r="D1132" t="s">
        <v>2268</v>
      </c>
      <c r="E1132">
        <v>445257.43</v>
      </c>
      <c r="F1132">
        <v>0</v>
      </c>
      <c r="G1132" t="s">
        <v>2269</v>
      </c>
      <c r="H1132">
        <v>0</v>
      </c>
      <c r="I1132">
        <v>0</v>
      </c>
      <c r="J1132">
        <v>1</v>
      </c>
      <c r="K1132">
        <v>0</v>
      </c>
      <c r="L1132">
        <v>22</v>
      </c>
      <c r="M1132">
        <v>0</v>
      </c>
      <c r="N1132">
        <v>1</v>
      </c>
      <c r="O1132">
        <v>445257.43</v>
      </c>
      <c r="P1132">
        <v>5</v>
      </c>
      <c r="Q1132">
        <v>5</v>
      </c>
      <c r="R1132">
        <v>4.0999999999999996</v>
      </c>
      <c r="S1132" t="s">
        <v>2310</v>
      </c>
      <c r="V1132">
        <f t="shared" si="51"/>
        <v>0</v>
      </c>
      <c r="W1132">
        <f t="shared" si="52"/>
        <v>0</v>
      </c>
      <c r="X1132" t="str">
        <f t="shared" si="53"/>
        <v>MATCH</v>
      </c>
    </row>
    <row r="1133" spans="1:24" x14ac:dyDescent="0.3">
      <c r="A1133">
        <v>94</v>
      </c>
      <c r="B1133" t="s">
        <v>18</v>
      </c>
      <c r="C1133">
        <v>445257.43</v>
      </c>
      <c r="D1133" t="s">
        <v>2270</v>
      </c>
      <c r="E1133">
        <v>445257.43</v>
      </c>
      <c r="F1133">
        <v>0</v>
      </c>
      <c r="G1133" t="s">
        <v>2271</v>
      </c>
      <c r="H1133">
        <v>0</v>
      </c>
      <c r="I1133">
        <v>445257.43</v>
      </c>
      <c r="J1133">
        <v>1</v>
      </c>
      <c r="K1133">
        <v>0</v>
      </c>
      <c r="L1133">
        <v>22</v>
      </c>
      <c r="M1133">
        <v>0</v>
      </c>
      <c r="N1133">
        <v>1</v>
      </c>
      <c r="O1133">
        <v>445257.43</v>
      </c>
      <c r="P1133">
        <v>5</v>
      </c>
      <c r="Q1133">
        <v>4</v>
      </c>
      <c r="R1133">
        <v>3.8000000000000003</v>
      </c>
      <c r="S1133" t="s">
        <v>2310</v>
      </c>
      <c r="V1133">
        <f t="shared" si="51"/>
        <v>0</v>
      </c>
      <c r="W1133">
        <f t="shared" si="52"/>
        <v>0</v>
      </c>
      <c r="X1133" t="str">
        <f t="shared" si="53"/>
        <v>MATCH</v>
      </c>
    </row>
    <row r="1134" spans="1:24" x14ac:dyDescent="0.3">
      <c r="A1134">
        <v>94</v>
      </c>
      <c r="B1134" t="s">
        <v>15</v>
      </c>
      <c r="C1134">
        <v>363378.75</v>
      </c>
      <c r="D1134" t="s">
        <v>2272</v>
      </c>
      <c r="E1134">
        <v>363378.75</v>
      </c>
      <c r="F1134">
        <v>0</v>
      </c>
      <c r="G1134" t="s">
        <v>2273</v>
      </c>
      <c r="H1134">
        <v>0</v>
      </c>
      <c r="I1134">
        <v>0</v>
      </c>
      <c r="J1134">
        <v>1</v>
      </c>
      <c r="K1134">
        <v>0</v>
      </c>
      <c r="L1134">
        <v>22</v>
      </c>
      <c r="M1134">
        <v>0</v>
      </c>
      <c r="N1134">
        <v>1</v>
      </c>
      <c r="O1134">
        <v>363378.75</v>
      </c>
      <c r="P1134">
        <v>5</v>
      </c>
      <c r="Q1134">
        <v>5</v>
      </c>
      <c r="R1134">
        <v>4.0999999999999996</v>
      </c>
      <c r="S1134" t="s">
        <v>2310</v>
      </c>
      <c r="V1134">
        <f t="shared" si="51"/>
        <v>0</v>
      </c>
      <c r="W1134">
        <f t="shared" si="52"/>
        <v>0</v>
      </c>
      <c r="X1134" t="str">
        <f t="shared" si="53"/>
        <v>MATCH</v>
      </c>
    </row>
    <row r="1135" spans="1:24" x14ac:dyDescent="0.3">
      <c r="A1135">
        <v>94</v>
      </c>
      <c r="B1135" t="s">
        <v>18</v>
      </c>
      <c r="C1135">
        <v>363378.75</v>
      </c>
      <c r="D1135" t="s">
        <v>2274</v>
      </c>
      <c r="E1135">
        <v>363378.75</v>
      </c>
      <c r="F1135">
        <v>0</v>
      </c>
      <c r="G1135" t="s">
        <v>2275</v>
      </c>
      <c r="H1135">
        <v>3609871.44</v>
      </c>
      <c r="I1135">
        <v>3973250.18</v>
      </c>
      <c r="J1135">
        <v>1</v>
      </c>
      <c r="K1135">
        <v>0</v>
      </c>
      <c r="L1135">
        <v>22</v>
      </c>
      <c r="M1135">
        <v>0</v>
      </c>
      <c r="N1135">
        <v>1</v>
      </c>
      <c r="O1135">
        <v>363378.75</v>
      </c>
      <c r="P1135">
        <v>5</v>
      </c>
      <c r="Q1135">
        <v>4</v>
      </c>
      <c r="R1135">
        <v>3.8000000000000003</v>
      </c>
      <c r="S1135" t="s">
        <v>2310</v>
      </c>
      <c r="V1135">
        <f t="shared" si="51"/>
        <v>0</v>
      </c>
      <c r="W1135">
        <f t="shared" si="52"/>
        <v>0</v>
      </c>
      <c r="X1135" t="str">
        <f t="shared" si="53"/>
        <v>MATCH</v>
      </c>
    </row>
    <row r="1136" spans="1:24" x14ac:dyDescent="0.3">
      <c r="A1136">
        <v>95</v>
      </c>
      <c r="B1136" t="s">
        <v>15</v>
      </c>
      <c r="C1136">
        <v>655676.97</v>
      </c>
      <c r="D1136" t="s">
        <v>2276</v>
      </c>
      <c r="E1136">
        <v>655676.97</v>
      </c>
      <c r="F1136">
        <v>0</v>
      </c>
      <c r="G1136" t="s">
        <v>2277</v>
      </c>
      <c r="H1136">
        <v>0</v>
      </c>
      <c r="I1136">
        <v>0</v>
      </c>
      <c r="J1136">
        <v>1</v>
      </c>
      <c r="K1136">
        <v>0</v>
      </c>
      <c r="L1136">
        <v>23</v>
      </c>
      <c r="M1136">
        <v>0</v>
      </c>
      <c r="N1136">
        <v>1</v>
      </c>
      <c r="O1136">
        <v>655676.97</v>
      </c>
      <c r="P1136">
        <v>5</v>
      </c>
      <c r="Q1136">
        <v>5</v>
      </c>
      <c r="R1136">
        <v>4.0999999999999996</v>
      </c>
      <c r="S1136" t="s">
        <v>2310</v>
      </c>
      <c r="V1136">
        <f t="shared" si="51"/>
        <v>0</v>
      </c>
      <c r="W1136">
        <f t="shared" si="52"/>
        <v>0</v>
      </c>
      <c r="X1136" t="str">
        <f t="shared" si="53"/>
        <v>MATCH</v>
      </c>
    </row>
    <row r="1137" spans="1:24" x14ac:dyDescent="0.3">
      <c r="A1137">
        <v>95</v>
      </c>
      <c r="B1137" t="s">
        <v>18</v>
      </c>
      <c r="C1137">
        <v>655676.97</v>
      </c>
      <c r="D1137" t="s">
        <v>2278</v>
      </c>
      <c r="E1137">
        <v>655676.97</v>
      </c>
      <c r="F1137">
        <v>0</v>
      </c>
      <c r="G1137" t="s">
        <v>2279</v>
      </c>
      <c r="H1137">
        <v>53614.28</v>
      </c>
      <c r="I1137">
        <v>709291.25</v>
      </c>
      <c r="J1137">
        <v>1</v>
      </c>
      <c r="K1137">
        <v>0</v>
      </c>
      <c r="L1137">
        <v>23</v>
      </c>
      <c r="M1137">
        <v>0</v>
      </c>
      <c r="N1137">
        <v>1</v>
      </c>
      <c r="O1137">
        <v>655676.97</v>
      </c>
      <c r="P1137">
        <v>5</v>
      </c>
      <c r="Q1137">
        <v>4</v>
      </c>
      <c r="R1137">
        <v>3.8000000000000003</v>
      </c>
      <c r="S1137" t="s">
        <v>2310</v>
      </c>
      <c r="V1137">
        <f t="shared" si="51"/>
        <v>0</v>
      </c>
      <c r="W1137">
        <f t="shared" si="52"/>
        <v>0</v>
      </c>
      <c r="X1137" t="str">
        <f t="shared" si="53"/>
        <v>MATCH</v>
      </c>
    </row>
    <row r="1138" spans="1:24" x14ac:dyDescent="0.3">
      <c r="A1138">
        <v>95</v>
      </c>
      <c r="B1138" t="s">
        <v>15</v>
      </c>
      <c r="C1138">
        <v>56745.14</v>
      </c>
      <c r="D1138" t="s">
        <v>2280</v>
      </c>
      <c r="E1138">
        <v>56745.14</v>
      </c>
      <c r="F1138">
        <v>0</v>
      </c>
      <c r="G1138" t="s">
        <v>2281</v>
      </c>
      <c r="H1138">
        <v>0</v>
      </c>
      <c r="I1138">
        <v>0</v>
      </c>
      <c r="J1138">
        <v>1</v>
      </c>
      <c r="K1138">
        <v>0</v>
      </c>
      <c r="L1138">
        <v>23</v>
      </c>
      <c r="M1138">
        <v>0</v>
      </c>
      <c r="N1138">
        <v>1</v>
      </c>
      <c r="O1138">
        <v>56745.14</v>
      </c>
      <c r="P1138">
        <v>3</v>
      </c>
      <c r="Q1138">
        <v>5</v>
      </c>
      <c r="R1138">
        <v>3.1</v>
      </c>
      <c r="S1138" t="s">
        <v>2310</v>
      </c>
      <c r="V1138">
        <f t="shared" si="51"/>
        <v>0</v>
      </c>
      <c r="W1138">
        <f t="shared" si="52"/>
        <v>0</v>
      </c>
      <c r="X1138" t="str">
        <f t="shared" si="53"/>
        <v>MATCH</v>
      </c>
    </row>
    <row r="1139" spans="1:24" x14ac:dyDescent="0.3">
      <c r="A1139">
        <v>95</v>
      </c>
      <c r="B1139" t="s">
        <v>18</v>
      </c>
      <c r="C1139">
        <v>56745.14</v>
      </c>
      <c r="D1139" t="s">
        <v>2282</v>
      </c>
      <c r="E1139">
        <v>56745.14</v>
      </c>
      <c r="F1139">
        <v>0</v>
      </c>
      <c r="G1139" t="s">
        <v>2283</v>
      </c>
      <c r="H1139">
        <v>51433.88</v>
      </c>
      <c r="I1139">
        <v>108179.02</v>
      </c>
      <c r="J1139">
        <v>1</v>
      </c>
      <c r="K1139">
        <v>0</v>
      </c>
      <c r="L1139">
        <v>23</v>
      </c>
      <c r="M1139">
        <v>0</v>
      </c>
      <c r="N1139">
        <v>1</v>
      </c>
      <c r="O1139">
        <v>56745.14</v>
      </c>
      <c r="P1139">
        <v>3</v>
      </c>
      <c r="Q1139">
        <v>4</v>
      </c>
      <c r="R1139">
        <v>2.8000000000000003</v>
      </c>
      <c r="S1139" t="s">
        <v>2312</v>
      </c>
      <c r="V1139">
        <f t="shared" si="51"/>
        <v>0</v>
      </c>
      <c r="W1139">
        <f t="shared" si="52"/>
        <v>0</v>
      </c>
      <c r="X1139" t="str">
        <f t="shared" si="53"/>
        <v>MATCH</v>
      </c>
    </row>
    <row r="1140" spans="1:24" x14ac:dyDescent="0.3">
      <c r="A1140">
        <v>95</v>
      </c>
      <c r="B1140" t="s">
        <v>15</v>
      </c>
      <c r="C1140">
        <v>33676.589999999997</v>
      </c>
      <c r="D1140" t="s">
        <v>2284</v>
      </c>
      <c r="E1140">
        <v>33676.589999999997</v>
      </c>
      <c r="F1140">
        <v>0</v>
      </c>
      <c r="G1140" t="s">
        <v>2285</v>
      </c>
      <c r="H1140">
        <v>0</v>
      </c>
      <c r="I1140">
        <v>0</v>
      </c>
      <c r="J1140">
        <v>1</v>
      </c>
      <c r="K1140">
        <v>0</v>
      </c>
      <c r="L1140">
        <v>23</v>
      </c>
      <c r="M1140">
        <v>0</v>
      </c>
      <c r="N1140">
        <v>1</v>
      </c>
      <c r="O1140">
        <v>33676.589999999997</v>
      </c>
      <c r="P1140">
        <v>2</v>
      </c>
      <c r="Q1140">
        <v>5</v>
      </c>
      <c r="R1140">
        <v>2.6</v>
      </c>
      <c r="S1140" t="s">
        <v>2312</v>
      </c>
      <c r="V1140">
        <f t="shared" si="51"/>
        <v>0</v>
      </c>
      <c r="W1140">
        <f t="shared" si="52"/>
        <v>0</v>
      </c>
      <c r="X1140" t="str">
        <f t="shared" si="53"/>
        <v>MATCH</v>
      </c>
    </row>
    <row r="1141" spans="1:24" x14ac:dyDescent="0.3">
      <c r="A1141">
        <v>95</v>
      </c>
      <c r="B1141" t="s">
        <v>18</v>
      </c>
      <c r="C1141">
        <v>33676.589999999997</v>
      </c>
      <c r="D1141" t="s">
        <v>2286</v>
      </c>
      <c r="E1141">
        <v>33676.589999999997</v>
      </c>
      <c r="F1141">
        <v>0</v>
      </c>
      <c r="G1141" t="s">
        <v>2287</v>
      </c>
      <c r="H1141">
        <v>0</v>
      </c>
      <c r="I1141">
        <v>33676.589999999997</v>
      </c>
      <c r="J1141">
        <v>1</v>
      </c>
      <c r="K1141">
        <v>0</v>
      </c>
      <c r="L1141">
        <v>23</v>
      </c>
      <c r="M1141">
        <v>0</v>
      </c>
      <c r="N1141">
        <v>1</v>
      </c>
      <c r="O1141">
        <v>33676.589999999997</v>
      </c>
      <c r="P1141">
        <v>2</v>
      </c>
      <c r="Q1141">
        <v>4</v>
      </c>
      <c r="R1141">
        <v>2.3000000000000003</v>
      </c>
      <c r="S1141" t="s">
        <v>2312</v>
      </c>
      <c r="V1141">
        <f t="shared" si="51"/>
        <v>0</v>
      </c>
      <c r="W1141">
        <f t="shared" si="52"/>
        <v>0</v>
      </c>
      <c r="X1141" t="str">
        <f t="shared" si="53"/>
        <v>MATCH</v>
      </c>
    </row>
    <row r="1142" spans="1:24" x14ac:dyDescent="0.3">
      <c r="A1142">
        <v>95</v>
      </c>
      <c r="B1142" t="s">
        <v>15</v>
      </c>
      <c r="C1142">
        <v>87999.25</v>
      </c>
      <c r="D1142" t="s">
        <v>2288</v>
      </c>
      <c r="E1142">
        <v>87999.25</v>
      </c>
      <c r="F1142">
        <v>0</v>
      </c>
      <c r="G1142" t="s">
        <v>2289</v>
      </c>
      <c r="H1142">
        <v>0</v>
      </c>
      <c r="I1142">
        <v>0</v>
      </c>
      <c r="J1142">
        <v>1</v>
      </c>
      <c r="K1142">
        <v>0</v>
      </c>
      <c r="L1142">
        <v>23</v>
      </c>
      <c r="M1142">
        <v>0</v>
      </c>
      <c r="N1142">
        <v>1</v>
      </c>
      <c r="O1142">
        <v>87999.25</v>
      </c>
      <c r="P1142">
        <v>3</v>
      </c>
      <c r="Q1142">
        <v>5</v>
      </c>
      <c r="R1142">
        <v>3.1</v>
      </c>
      <c r="S1142" t="s">
        <v>2310</v>
      </c>
      <c r="V1142">
        <f t="shared" si="51"/>
        <v>0</v>
      </c>
      <c r="W1142">
        <f t="shared" si="52"/>
        <v>0</v>
      </c>
      <c r="X1142" t="str">
        <f t="shared" si="53"/>
        <v>MATCH</v>
      </c>
    </row>
    <row r="1143" spans="1:24" x14ac:dyDescent="0.3">
      <c r="A1143">
        <v>95</v>
      </c>
      <c r="B1143" t="s">
        <v>18</v>
      </c>
      <c r="C1143">
        <v>87999.25</v>
      </c>
      <c r="D1143" t="s">
        <v>2290</v>
      </c>
      <c r="E1143">
        <v>87999.25</v>
      </c>
      <c r="F1143">
        <v>0</v>
      </c>
      <c r="G1143" t="s">
        <v>827</v>
      </c>
      <c r="H1143">
        <v>0</v>
      </c>
      <c r="I1143">
        <v>87999.25</v>
      </c>
      <c r="J1143">
        <v>1</v>
      </c>
      <c r="K1143">
        <v>0</v>
      </c>
      <c r="L1143">
        <v>23</v>
      </c>
      <c r="M1143">
        <v>0</v>
      </c>
      <c r="N1143">
        <v>1</v>
      </c>
      <c r="O1143">
        <v>87999.25</v>
      </c>
      <c r="P1143">
        <v>3</v>
      </c>
      <c r="Q1143">
        <v>4</v>
      </c>
      <c r="R1143">
        <v>2.8000000000000003</v>
      </c>
      <c r="S1143" t="s">
        <v>2312</v>
      </c>
      <c r="V1143">
        <f t="shared" si="51"/>
        <v>0</v>
      </c>
      <c r="W1143">
        <f t="shared" si="52"/>
        <v>0</v>
      </c>
      <c r="X1143" t="str">
        <f t="shared" si="53"/>
        <v>MATCH</v>
      </c>
    </row>
  </sheetData>
  <conditionalFormatting sqref="X2:Z1143">
    <cfRule type="cellIs" dxfId="1" priority="1" operator="equal">
      <formula>"BREAK"</formula>
    </cfRule>
    <cfRule type="cellIs" dxfId="0" priority="2" operator="equal">
      <formula>"MATCH"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36D4C-EBB9-4D52-BD62-9E09D8E70C9D}">
  <dimension ref="A1:H25"/>
  <sheetViews>
    <sheetView tabSelected="1" zoomScale="89" zoomScaleNormal="89" workbookViewId="0">
      <selection activeCell="M12" sqref="M12"/>
    </sheetView>
  </sheetViews>
  <sheetFormatPr defaultRowHeight="14.4" x14ac:dyDescent="0.3"/>
  <cols>
    <col min="1" max="1" width="18.33203125" bestFit="1" customWidth="1"/>
    <col min="2" max="2" width="10.6640625" bestFit="1" customWidth="1"/>
    <col min="3" max="3" width="12.5546875" bestFit="1" customWidth="1"/>
    <col min="5" max="5" width="14.5546875" bestFit="1" customWidth="1"/>
    <col min="7" max="7" width="15.44140625" bestFit="1" customWidth="1"/>
  </cols>
  <sheetData>
    <row r="1" spans="1:8" ht="33" customHeight="1" thickBot="1" x14ac:dyDescent="0.55000000000000004">
      <c r="A1" s="8" t="s">
        <v>2318</v>
      </c>
      <c r="B1" s="9"/>
      <c r="C1" s="9"/>
      <c r="D1" s="9"/>
      <c r="E1" s="9"/>
      <c r="F1" s="9"/>
      <c r="G1" s="9"/>
      <c r="H1" s="10"/>
    </row>
    <row r="2" spans="1:8" ht="15" thickBot="1" x14ac:dyDescent="0.35">
      <c r="A2" s="5"/>
      <c r="B2" s="6"/>
      <c r="C2" s="6"/>
      <c r="D2" s="6"/>
      <c r="E2" s="6"/>
      <c r="F2" s="6"/>
      <c r="G2" s="6"/>
      <c r="H2" s="7"/>
    </row>
    <row r="3" spans="1:8" x14ac:dyDescent="0.3">
      <c r="A3" s="11" t="s">
        <v>2319</v>
      </c>
      <c r="B3" s="12"/>
      <c r="C3" s="11" t="s">
        <v>2320</v>
      </c>
      <c r="D3" s="12"/>
      <c r="E3" s="11" t="s">
        <v>2321</v>
      </c>
      <c r="F3" s="12"/>
      <c r="G3" s="11" t="s">
        <v>2322</v>
      </c>
      <c r="H3" s="7"/>
    </row>
    <row r="4" spans="1:8" ht="24" thickBot="1" x14ac:dyDescent="0.5">
      <c r="A4" s="13">
        <v>1048575</v>
      </c>
      <c r="B4" s="14"/>
      <c r="C4" s="13">
        <v>1142</v>
      </c>
      <c r="D4" s="14"/>
      <c r="E4" s="15">
        <v>1.0889999999999999E-3</v>
      </c>
      <c r="F4" s="14"/>
      <c r="G4" s="13">
        <f>COUNTIF(Risk_Scoring!T:T,"HIGH")</f>
        <v>1</v>
      </c>
      <c r="H4" s="7"/>
    </row>
    <row r="5" spans="1:8" x14ac:dyDescent="0.3">
      <c r="A5" s="5"/>
      <c r="B5" s="6"/>
      <c r="C5" s="6"/>
      <c r="D5" s="6"/>
      <c r="E5" s="6"/>
      <c r="F5" s="6"/>
      <c r="G5" s="6"/>
      <c r="H5" s="7"/>
    </row>
    <row r="6" spans="1:8" ht="15" thickBot="1" x14ac:dyDescent="0.35">
      <c r="A6" s="5"/>
      <c r="B6" s="6"/>
      <c r="C6" s="6"/>
      <c r="D6" s="6"/>
      <c r="E6" s="6"/>
      <c r="F6" s="6"/>
      <c r="G6" s="6"/>
      <c r="H6" s="7"/>
    </row>
    <row r="7" spans="1:8" ht="43.8" customHeight="1" thickBot="1" x14ac:dyDescent="0.35">
      <c r="A7" s="16" t="s">
        <v>2323</v>
      </c>
      <c r="B7" s="18" t="s">
        <v>2324</v>
      </c>
      <c r="C7" s="17" t="s">
        <v>2325</v>
      </c>
      <c r="D7" s="6"/>
      <c r="E7" s="36"/>
      <c r="F7" s="37"/>
      <c r="G7" s="19"/>
      <c r="H7" s="7"/>
    </row>
    <row r="8" spans="1:8" ht="21" x14ac:dyDescent="0.3">
      <c r="A8" s="44" t="s">
        <v>2310</v>
      </c>
      <c r="B8" s="40">
        <v>875</v>
      </c>
      <c r="C8" s="41">
        <f>B8/1142*100</f>
        <v>76.619964973730291</v>
      </c>
      <c r="D8" s="6"/>
      <c r="E8" s="5"/>
      <c r="F8" s="6"/>
      <c r="G8" s="7"/>
      <c r="H8" s="7"/>
    </row>
    <row r="9" spans="1:8" ht="21" x14ac:dyDescent="0.3">
      <c r="A9" s="45" t="s">
        <v>2312</v>
      </c>
      <c r="B9" s="40">
        <v>239</v>
      </c>
      <c r="C9" s="41">
        <f t="shared" ref="C9:C10" si="0">B9/1142*100</f>
        <v>20.928196147110334</v>
      </c>
      <c r="D9" s="6"/>
      <c r="E9" s="5"/>
      <c r="F9" s="6"/>
      <c r="G9" s="7"/>
      <c r="H9" s="7"/>
    </row>
    <row r="10" spans="1:8" ht="21.6" thickBot="1" x14ac:dyDescent="0.35">
      <c r="A10" s="46" t="s">
        <v>2311</v>
      </c>
      <c r="B10" s="42">
        <v>28</v>
      </c>
      <c r="C10" s="43">
        <f t="shared" si="0"/>
        <v>2.4518388791593697</v>
      </c>
      <c r="D10" s="6"/>
      <c r="E10" s="38"/>
      <c r="F10" s="39"/>
      <c r="G10" s="20"/>
      <c r="H10" s="7"/>
    </row>
    <row r="11" spans="1:8" ht="15" thickBot="1" x14ac:dyDescent="0.35">
      <c r="A11" s="5"/>
      <c r="B11" s="6"/>
      <c r="C11" s="6"/>
      <c r="D11" s="6"/>
      <c r="E11" s="6"/>
      <c r="F11" s="6"/>
      <c r="G11" s="6"/>
      <c r="H11" s="7"/>
    </row>
    <row r="12" spans="1:8" ht="22.2" customHeight="1" thickBot="1" x14ac:dyDescent="0.35">
      <c r="A12" s="47" t="s">
        <v>2326</v>
      </c>
      <c r="B12" s="48"/>
      <c r="C12" s="6"/>
      <c r="D12" s="36"/>
      <c r="E12" s="37"/>
      <c r="F12" s="37"/>
      <c r="G12" s="19"/>
      <c r="H12" s="7"/>
    </row>
    <row r="13" spans="1:8" x14ac:dyDescent="0.3">
      <c r="A13" s="4" t="s">
        <v>2327</v>
      </c>
      <c r="B13" s="19">
        <v>1142</v>
      </c>
      <c r="C13" s="6"/>
      <c r="D13" s="5"/>
      <c r="E13" s="6"/>
      <c r="F13" s="6"/>
      <c r="G13" s="7"/>
      <c r="H13" s="7"/>
    </row>
    <row r="14" spans="1:8" x14ac:dyDescent="0.3">
      <c r="A14" s="21" t="s">
        <v>2328</v>
      </c>
      <c r="B14" s="7">
        <v>1111</v>
      </c>
      <c r="C14" s="6"/>
      <c r="D14" s="5"/>
      <c r="E14" s="6"/>
      <c r="F14" s="6"/>
      <c r="G14" s="7"/>
      <c r="H14" s="7"/>
    </row>
    <row r="15" spans="1:8" x14ac:dyDescent="0.3">
      <c r="A15" s="21" t="s">
        <v>2329</v>
      </c>
      <c r="B15" s="7">
        <v>31</v>
      </c>
      <c r="C15" s="6"/>
      <c r="D15" s="5"/>
      <c r="E15" s="6"/>
      <c r="F15" s="6"/>
      <c r="G15" s="7"/>
      <c r="H15" s="7"/>
    </row>
    <row r="16" spans="1:8" ht="15" thickBot="1" x14ac:dyDescent="0.35">
      <c r="A16" s="22" t="s">
        <v>2317</v>
      </c>
      <c r="B16" s="20">
        <f>B15/B13*100</f>
        <v>2.7145359019264448</v>
      </c>
      <c r="C16" s="6"/>
      <c r="D16" s="5"/>
      <c r="E16" s="6"/>
      <c r="F16" s="6"/>
      <c r="G16" s="7"/>
      <c r="H16" s="7"/>
    </row>
    <row r="17" spans="1:8" ht="15" thickBot="1" x14ac:dyDescent="0.35">
      <c r="A17" s="5"/>
      <c r="B17" s="6"/>
      <c r="C17" s="6"/>
      <c r="D17" s="38"/>
      <c r="E17" s="39"/>
      <c r="F17" s="39"/>
      <c r="G17" s="20"/>
      <c r="H17" s="7"/>
    </row>
    <row r="18" spans="1:8" ht="16.2" thickBot="1" x14ac:dyDescent="0.35">
      <c r="A18" s="29" t="s">
        <v>2330</v>
      </c>
      <c r="B18" s="6"/>
      <c r="C18" s="6"/>
      <c r="D18" s="6"/>
      <c r="E18" s="6"/>
      <c r="F18" s="6"/>
      <c r="G18" s="6"/>
      <c r="H18" s="7"/>
    </row>
    <row r="19" spans="1:8" x14ac:dyDescent="0.3">
      <c r="A19" s="30" t="s">
        <v>2332</v>
      </c>
      <c r="B19" s="31"/>
      <c r="C19" s="31"/>
      <c r="D19" s="31"/>
      <c r="E19" s="31"/>
      <c r="F19" s="31"/>
      <c r="G19" s="31"/>
      <c r="H19" s="32"/>
    </row>
    <row r="20" spans="1:8" x14ac:dyDescent="0.3">
      <c r="A20" s="23" t="s">
        <v>2333</v>
      </c>
      <c r="B20" s="24"/>
      <c r="C20" s="24"/>
      <c r="D20" s="24"/>
      <c r="E20" s="24"/>
      <c r="F20" s="24"/>
      <c r="G20" s="24"/>
      <c r="H20" s="25"/>
    </row>
    <row r="21" spans="1:8" x14ac:dyDescent="0.3">
      <c r="A21" s="23" t="s">
        <v>2334</v>
      </c>
      <c r="B21" s="24"/>
      <c r="C21" s="24"/>
      <c r="D21" s="24"/>
      <c r="E21" s="24"/>
      <c r="F21" s="24"/>
      <c r="G21" s="24"/>
      <c r="H21" s="25"/>
    </row>
    <row r="22" spans="1:8" x14ac:dyDescent="0.3">
      <c r="A22" s="23" t="s">
        <v>2335</v>
      </c>
      <c r="B22" s="24"/>
      <c r="C22" s="24"/>
      <c r="D22" s="24"/>
      <c r="E22" s="24"/>
      <c r="F22" s="24"/>
      <c r="G22" s="24"/>
      <c r="H22" s="25"/>
    </row>
    <row r="23" spans="1:8" ht="15" thickBot="1" x14ac:dyDescent="0.35">
      <c r="A23" s="33" t="s">
        <v>2336</v>
      </c>
      <c r="B23" s="34"/>
      <c r="C23" s="34"/>
      <c r="D23" s="34"/>
      <c r="E23" s="34"/>
      <c r="F23" s="34"/>
      <c r="G23" s="34"/>
      <c r="H23" s="35"/>
    </row>
    <row r="24" spans="1:8" ht="15" thickBot="1" x14ac:dyDescent="0.35">
      <c r="A24" s="5"/>
      <c r="B24" s="6"/>
      <c r="C24" s="6"/>
      <c r="D24" s="6"/>
      <c r="E24" s="6"/>
      <c r="F24" s="6"/>
      <c r="G24" s="6"/>
      <c r="H24" s="7"/>
    </row>
    <row r="25" spans="1:8" ht="16.2" thickBot="1" x14ac:dyDescent="0.35">
      <c r="A25" s="26" t="s">
        <v>2331</v>
      </c>
      <c r="B25" s="27"/>
      <c r="C25" s="27"/>
      <c r="D25" s="27"/>
      <c r="E25" s="27"/>
      <c r="F25" s="27"/>
      <c r="G25" s="27"/>
      <c r="H25" s="28"/>
    </row>
  </sheetData>
  <mergeCells count="8">
    <mergeCell ref="A1:H1"/>
    <mergeCell ref="A25:H25"/>
    <mergeCell ref="A12:B12"/>
    <mergeCell ref="A19:H19"/>
    <mergeCell ref="A20:H20"/>
    <mergeCell ref="A21:H21"/>
    <mergeCell ref="A22:H22"/>
    <mergeCell ref="A23:H2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C2CCD-355E-4448-A119-8DD0757EF3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</vt:vector>
  </HeadingPairs>
  <TitlesOfParts>
    <vt:vector size="8" baseType="lpstr">
      <vt:lpstr>Flagged_transactions</vt:lpstr>
      <vt:lpstr>Fraud_By_Type</vt:lpstr>
      <vt:lpstr>Hourly_Pattern</vt:lpstr>
      <vt:lpstr>Risk_Scoring</vt:lpstr>
      <vt:lpstr>Pivot</vt:lpstr>
      <vt:lpstr>Reconciliation</vt:lpstr>
      <vt:lpstr>DASHBOARD</vt:lpstr>
      <vt:lpstr>Risk_Chart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Lalaji</dc:creator>
  <cp:lastModifiedBy>Vijay Lalaji</cp:lastModifiedBy>
  <dcterms:created xsi:type="dcterms:W3CDTF">2026-03-19T15:37:06Z</dcterms:created>
  <dcterms:modified xsi:type="dcterms:W3CDTF">2026-03-20T09:44:32Z</dcterms:modified>
</cp:coreProperties>
</file>